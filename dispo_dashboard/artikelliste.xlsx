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n.kocak\OneDrive - norm-fasteners.com.tr\Desktop\"/>
    </mc:Choice>
  </mc:AlternateContent>
  <xr:revisionPtr revIDLastSave="0" documentId="13_ncr:1_{EAF4DED9-9A33-48D7-8ECA-F6DDC557A0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Tabelle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06" i="2" l="1"/>
  <c r="P1606" i="2"/>
  <c r="O1606" i="2"/>
  <c r="J1606" i="2"/>
  <c r="K1606" i="2" s="1"/>
  <c r="H1606" i="2"/>
  <c r="E1606" i="2"/>
  <c r="D1606" i="2"/>
  <c r="B1606" i="2"/>
  <c r="A1606" i="2"/>
  <c r="S1605" i="2"/>
  <c r="P1605" i="2"/>
  <c r="O1605" i="2"/>
  <c r="J1605" i="2"/>
  <c r="K1605" i="2" s="1"/>
  <c r="H1605" i="2"/>
  <c r="E1605" i="2"/>
  <c r="D1605" i="2"/>
  <c r="B1605" i="2"/>
  <c r="A1605" i="2"/>
  <c r="S1604" i="2"/>
  <c r="P1604" i="2"/>
  <c r="O1604" i="2"/>
  <c r="J1604" i="2"/>
  <c r="K1604" i="2" s="1"/>
  <c r="H1604" i="2"/>
  <c r="T1604" i="2" s="1"/>
  <c r="E1604" i="2"/>
  <c r="D1604" i="2"/>
  <c r="B1604" i="2"/>
  <c r="A1604" i="2"/>
  <c r="S1603" i="2"/>
  <c r="P1603" i="2"/>
  <c r="O1603" i="2"/>
  <c r="J1603" i="2"/>
  <c r="K1603" i="2" s="1"/>
  <c r="H1603" i="2"/>
  <c r="E1603" i="2"/>
  <c r="D1603" i="2"/>
  <c r="B1603" i="2"/>
  <c r="A1603" i="2"/>
  <c r="S1602" i="2"/>
  <c r="P1602" i="2"/>
  <c r="O1602" i="2"/>
  <c r="J1602" i="2"/>
  <c r="K1602" i="2" s="1"/>
  <c r="H1602" i="2"/>
  <c r="E1602" i="2"/>
  <c r="D1602" i="2"/>
  <c r="B1602" i="2"/>
  <c r="A1602" i="2"/>
  <c r="S1601" i="2"/>
  <c r="P1601" i="2"/>
  <c r="O1601" i="2"/>
  <c r="J1601" i="2"/>
  <c r="K1601" i="2" s="1"/>
  <c r="H1601" i="2"/>
  <c r="E1601" i="2"/>
  <c r="D1601" i="2"/>
  <c r="B1601" i="2"/>
  <c r="A1601" i="2"/>
  <c r="S1600" i="2"/>
  <c r="P1600" i="2"/>
  <c r="O1600" i="2"/>
  <c r="J1600" i="2"/>
  <c r="K1600" i="2" s="1"/>
  <c r="H1600" i="2"/>
  <c r="E1600" i="2"/>
  <c r="D1600" i="2"/>
  <c r="B1600" i="2"/>
  <c r="A1600" i="2"/>
  <c r="S1599" i="2"/>
  <c r="P1599" i="2"/>
  <c r="O1599" i="2"/>
  <c r="J1599" i="2"/>
  <c r="K1599" i="2" s="1"/>
  <c r="H1599" i="2"/>
  <c r="T1599" i="2" s="1"/>
  <c r="E1599" i="2"/>
  <c r="D1599" i="2"/>
  <c r="B1599" i="2"/>
  <c r="A1599" i="2"/>
  <c r="S1598" i="2"/>
  <c r="P1598" i="2"/>
  <c r="O1598" i="2"/>
  <c r="J1598" i="2"/>
  <c r="K1598" i="2" s="1"/>
  <c r="H1598" i="2"/>
  <c r="E1598" i="2"/>
  <c r="D1598" i="2"/>
  <c r="B1598" i="2"/>
  <c r="A1598" i="2"/>
  <c r="S1597" i="2"/>
  <c r="P1597" i="2"/>
  <c r="O1597" i="2"/>
  <c r="J1597" i="2"/>
  <c r="K1597" i="2" s="1"/>
  <c r="H1597" i="2"/>
  <c r="T1597" i="2" s="1"/>
  <c r="E1597" i="2"/>
  <c r="D1597" i="2"/>
  <c r="B1597" i="2"/>
  <c r="A1597" i="2"/>
  <c r="S1596" i="2"/>
  <c r="P1596" i="2"/>
  <c r="O1596" i="2"/>
  <c r="J1596" i="2"/>
  <c r="K1596" i="2" s="1"/>
  <c r="H1596" i="2"/>
  <c r="E1596" i="2"/>
  <c r="D1596" i="2"/>
  <c r="B1596" i="2"/>
  <c r="A1596" i="2"/>
  <c r="S1595" i="2"/>
  <c r="P1595" i="2"/>
  <c r="O1595" i="2"/>
  <c r="J1595" i="2"/>
  <c r="K1595" i="2" s="1"/>
  <c r="H1595" i="2"/>
  <c r="E1595" i="2"/>
  <c r="D1595" i="2"/>
  <c r="B1595" i="2"/>
  <c r="A1595" i="2"/>
  <c r="S1594" i="2"/>
  <c r="P1594" i="2"/>
  <c r="O1594" i="2"/>
  <c r="J1594" i="2"/>
  <c r="K1594" i="2" s="1"/>
  <c r="H1594" i="2"/>
  <c r="E1594" i="2"/>
  <c r="D1594" i="2"/>
  <c r="B1594" i="2"/>
  <c r="A1594" i="2"/>
  <c r="S1593" i="2"/>
  <c r="P1593" i="2"/>
  <c r="O1593" i="2"/>
  <c r="J1593" i="2"/>
  <c r="K1593" i="2" s="1"/>
  <c r="H1593" i="2"/>
  <c r="E1593" i="2"/>
  <c r="D1593" i="2"/>
  <c r="B1593" i="2"/>
  <c r="A1593" i="2"/>
  <c r="S1592" i="2"/>
  <c r="P1592" i="2"/>
  <c r="O1592" i="2"/>
  <c r="J1592" i="2"/>
  <c r="K1592" i="2" s="1"/>
  <c r="H1592" i="2"/>
  <c r="T1592" i="2" s="1"/>
  <c r="E1592" i="2"/>
  <c r="D1592" i="2"/>
  <c r="B1592" i="2"/>
  <c r="A1592" i="2"/>
  <c r="S1591" i="2"/>
  <c r="P1591" i="2"/>
  <c r="O1591" i="2"/>
  <c r="J1591" i="2"/>
  <c r="K1591" i="2" s="1"/>
  <c r="H1591" i="2"/>
  <c r="T1591" i="2" s="1"/>
  <c r="E1591" i="2"/>
  <c r="D1591" i="2"/>
  <c r="B1591" i="2"/>
  <c r="A1591" i="2"/>
  <c r="S1590" i="2"/>
  <c r="P1590" i="2"/>
  <c r="O1590" i="2"/>
  <c r="J1590" i="2"/>
  <c r="K1590" i="2" s="1"/>
  <c r="H1590" i="2"/>
  <c r="E1590" i="2"/>
  <c r="D1590" i="2"/>
  <c r="B1590" i="2"/>
  <c r="A1590" i="2"/>
  <c r="S1589" i="2"/>
  <c r="P1589" i="2"/>
  <c r="O1589" i="2"/>
  <c r="J1589" i="2"/>
  <c r="K1589" i="2" s="1"/>
  <c r="H1589" i="2"/>
  <c r="E1589" i="2"/>
  <c r="D1589" i="2"/>
  <c r="B1589" i="2"/>
  <c r="A1589" i="2"/>
  <c r="S1588" i="2"/>
  <c r="P1588" i="2"/>
  <c r="O1588" i="2"/>
  <c r="J1588" i="2"/>
  <c r="K1588" i="2" s="1"/>
  <c r="H1588" i="2"/>
  <c r="E1588" i="2"/>
  <c r="D1588" i="2"/>
  <c r="B1588" i="2"/>
  <c r="A1588" i="2"/>
  <c r="S1587" i="2"/>
  <c r="P1587" i="2"/>
  <c r="O1587" i="2"/>
  <c r="J1587" i="2"/>
  <c r="K1587" i="2" s="1"/>
  <c r="H1587" i="2"/>
  <c r="E1587" i="2"/>
  <c r="D1587" i="2"/>
  <c r="B1587" i="2"/>
  <c r="A1587" i="2"/>
  <c r="S1586" i="2"/>
  <c r="P1586" i="2"/>
  <c r="O1586" i="2"/>
  <c r="J1586" i="2"/>
  <c r="K1586" i="2" s="1"/>
  <c r="H1586" i="2"/>
  <c r="T1586" i="2" s="1"/>
  <c r="E1586" i="2"/>
  <c r="D1586" i="2"/>
  <c r="B1586" i="2"/>
  <c r="A1586" i="2"/>
  <c r="S1585" i="2"/>
  <c r="P1585" i="2"/>
  <c r="O1585" i="2"/>
  <c r="J1585" i="2"/>
  <c r="K1585" i="2" s="1"/>
  <c r="H1585" i="2"/>
  <c r="T1585" i="2" s="1"/>
  <c r="E1585" i="2"/>
  <c r="D1585" i="2"/>
  <c r="B1585" i="2"/>
  <c r="A1585" i="2"/>
  <c r="S1584" i="2"/>
  <c r="P1584" i="2"/>
  <c r="O1584" i="2"/>
  <c r="J1584" i="2"/>
  <c r="K1584" i="2" s="1"/>
  <c r="H1584" i="2"/>
  <c r="E1584" i="2"/>
  <c r="D1584" i="2"/>
  <c r="B1584" i="2"/>
  <c r="A1584" i="2"/>
  <c r="S1583" i="2"/>
  <c r="P1583" i="2"/>
  <c r="O1583" i="2"/>
  <c r="J1583" i="2"/>
  <c r="K1583" i="2" s="1"/>
  <c r="H1583" i="2"/>
  <c r="E1583" i="2"/>
  <c r="D1583" i="2"/>
  <c r="B1583" i="2"/>
  <c r="A1583" i="2"/>
  <c r="S1582" i="2"/>
  <c r="P1582" i="2"/>
  <c r="O1582" i="2"/>
  <c r="J1582" i="2"/>
  <c r="K1582" i="2" s="1"/>
  <c r="H1582" i="2"/>
  <c r="E1582" i="2"/>
  <c r="D1582" i="2"/>
  <c r="B1582" i="2"/>
  <c r="A1582" i="2"/>
  <c r="S1581" i="2"/>
  <c r="P1581" i="2"/>
  <c r="O1581" i="2"/>
  <c r="J1581" i="2"/>
  <c r="K1581" i="2" s="1"/>
  <c r="H1581" i="2"/>
  <c r="E1581" i="2"/>
  <c r="D1581" i="2"/>
  <c r="B1581" i="2"/>
  <c r="A1581" i="2"/>
  <c r="S1580" i="2"/>
  <c r="P1580" i="2"/>
  <c r="O1580" i="2"/>
  <c r="J1580" i="2"/>
  <c r="K1580" i="2" s="1"/>
  <c r="H1580" i="2"/>
  <c r="E1580" i="2"/>
  <c r="D1580" i="2"/>
  <c r="B1580" i="2"/>
  <c r="A1580" i="2"/>
  <c r="S1579" i="2"/>
  <c r="P1579" i="2"/>
  <c r="O1579" i="2"/>
  <c r="J1579" i="2"/>
  <c r="K1579" i="2" s="1"/>
  <c r="H1579" i="2"/>
  <c r="T1579" i="2" s="1"/>
  <c r="E1579" i="2"/>
  <c r="D1579" i="2"/>
  <c r="B1579" i="2"/>
  <c r="A1579" i="2"/>
  <c r="S1578" i="2"/>
  <c r="P1578" i="2"/>
  <c r="O1578" i="2"/>
  <c r="J1578" i="2"/>
  <c r="K1578" i="2" s="1"/>
  <c r="H1578" i="2"/>
  <c r="E1578" i="2"/>
  <c r="D1578" i="2"/>
  <c r="B1578" i="2"/>
  <c r="A1578" i="2"/>
  <c r="S1577" i="2"/>
  <c r="P1577" i="2"/>
  <c r="O1577" i="2"/>
  <c r="J1577" i="2"/>
  <c r="K1577" i="2" s="1"/>
  <c r="H1577" i="2"/>
  <c r="E1577" i="2"/>
  <c r="D1577" i="2"/>
  <c r="B1577" i="2"/>
  <c r="A1577" i="2"/>
  <c r="S1576" i="2"/>
  <c r="P1576" i="2"/>
  <c r="O1576" i="2"/>
  <c r="J1576" i="2"/>
  <c r="K1576" i="2" s="1"/>
  <c r="H1576" i="2"/>
  <c r="E1576" i="2"/>
  <c r="D1576" i="2"/>
  <c r="B1576" i="2"/>
  <c r="A1576" i="2"/>
  <c r="S1575" i="2"/>
  <c r="P1575" i="2"/>
  <c r="O1575" i="2"/>
  <c r="J1575" i="2"/>
  <c r="K1575" i="2" s="1"/>
  <c r="H1575" i="2"/>
  <c r="E1575" i="2"/>
  <c r="D1575" i="2"/>
  <c r="B1575" i="2"/>
  <c r="A1575" i="2"/>
  <c r="S1574" i="2"/>
  <c r="P1574" i="2"/>
  <c r="O1574" i="2"/>
  <c r="J1574" i="2"/>
  <c r="K1574" i="2" s="1"/>
  <c r="H1574" i="2"/>
  <c r="E1574" i="2"/>
  <c r="D1574" i="2"/>
  <c r="B1574" i="2"/>
  <c r="A1574" i="2"/>
  <c r="S1573" i="2"/>
  <c r="P1573" i="2"/>
  <c r="O1573" i="2"/>
  <c r="J1573" i="2"/>
  <c r="K1573" i="2" s="1"/>
  <c r="H1573" i="2"/>
  <c r="T1573" i="2" s="1"/>
  <c r="E1573" i="2"/>
  <c r="D1573" i="2"/>
  <c r="B1573" i="2"/>
  <c r="A1573" i="2"/>
  <c r="S1572" i="2"/>
  <c r="P1572" i="2"/>
  <c r="O1572" i="2"/>
  <c r="J1572" i="2"/>
  <c r="K1572" i="2" s="1"/>
  <c r="H1572" i="2"/>
  <c r="E1572" i="2"/>
  <c r="D1572" i="2"/>
  <c r="B1572" i="2"/>
  <c r="A1572" i="2"/>
  <c r="S1571" i="2"/>
  <c r="P1571" i="2"/>
  <c r="O1571" i="2"/>
  <c r="J1571" i="2"/>
  <c r="K1571" i="2" s="1"/>
  <c r="H1571" i="2"/>
  <c r="E1571" i="2"/>
  <c r="D1571" i="2"/>
  <c r="B1571" i="2"/>
  <c r="A1571" i="2"/>
  <c r="S1570" i="2"/>
  <c r="P1570" i="2"/>
  <c r="O1570" i="2"/>
  <c r="J1570" i="2"/>
  <c r="K1570" i="2" s="1"/>
  <c r="H1570" i="2"/>
  <c r="E1570" i="2"/>
  <c r="D1570" i="2"/>
  <c r="B1570" i="2"/>
  <c r="A1570" i="2"/>
  <c r="S1569" i="2"/>
  <c r="P1569" i="2"/>
  <c r="O1569" i="2"/>
  <c r="J1569" i="2"/>
  <c r="K1569" i="2" s="1"/>
  <c r="H1569" i="2"/>
  <c r="E1569" i="2"/>
  <c r="D1569" i="2"/>
  <c r="B1569" i="2"/>
  <c r="A1569" i="2"/>
  <c r="S1568" i="2"/>
  <c r="P1568" i="2"/>
  <c r="O1568" i="2"/>
  <c r="J1568" i="2"/>
  <c r="K1568" i="2" s="1"/>
  <c r="H1568" i="2"/>
  <c r="E1568" i="2"/>
  <c r="D1568" i="2"/>
  <c r="B1568" i="2"/>
  <c r="A1568" i="2"/>
  <c r="S1567" i="2"/>
  <c r="P1567" i="2"/>
  <c r="O1567" i="2"/>
  <c r="J1567" i="2"/>
  <c r="K1567" i="2" s="1"/>
  <c r="H1567" i="2"/>
  <c r="T1567" i="2" s="1"/>
  <c r="E1567" i="2"/>
  <c r="D1567" i="2"/>
  <c r="B1567" i="2"/>
  <c r="A1567" i="2"/>
  <c r="S1566" i="2"/>
  <c r="P1566" i="2"/>
  <c r="O1566" i="2"/>
  <c r="J1566" i="2"/>
  <c r="K1566" i="2" s="1"/>
  <c r="H1566" i="2"/>
  <c r="E1566" i="2"/>
  <c r="D1566" i="2"/>
  <c r="B1566" i="2"/>
  <c r="A1566" i="2"/>
  <c r="S1565" i="2"/>
  <c r="P1565" i="2"/>
  <c r="O1565" i="2"/>
  <c r="J1565" i="2"/>
  <c r="K1565" i="2" s="1"/>
  <c r="H1565" i="2"/>
  <c r="E1565" i="2"/>
  <c r="D1565" i="2"/>
  <c r="B1565" i="2"/>
  <c r="A1565" i="2"/>
  <c r="S1564" i="2"/>
  <c r="P1564" i="2"/>
  <c r="O1564" i="2"/>
  <c r="J1564" i="2"/>
  <c r="K1564" i="2" s="1"/>
  <c r="H1564" i="2"/>
  <c r="E1564" i="2"/>
  <c r="D1564" i="2"/>
  <c r="B1564" i="2"/>
  <c r="A1564" i="2"/>
  <c r="S1563" i="2"/>
  <c r="P1563" i="2"/>
  <c r="O1563" i="2"/>
  <c r="J1563" i="2"/>
  <c r="K1563" i="2" s="1"/>
  <c r="H1563" i="2"/>
  <c r="E1563" i="2"/>
  <c r="D1563" i="2"/>
  <c r="B1563" i="2"/>
  <c r="A1563" i="2"/>
  <c r="S1562" i="2"/>
  <c r="P1562" i="2"/>
  <c r="O1562" i="2"/>
  <c r="J1562" i="2"/>
  <c r="K1562" i="2" s="1"/>
  <c r="H1562" i="2"/>
  <c r="E1562" i="2"/>
  <c r="D1562" i="2"/>
  <c r="B1562" i="2"/>
  <c r="A1562" i="2"/>
  <c r="S1561" i="2"/>
  <c r="P1561" i="2"/>
  <c r="O1561" i="2"/>
  <c r="J1561" i="2"/>
  <c r="K1561" i="2" s="1"/>
  <c r="H1561" i="2"/>
  <c r="T1561" i="2" s="1"/>
  <c r="E1561" i="2"/>
  <c r="D1561" i="2"/>
  <c r="B1561" i="2"/>
  <c r="A1561" i="2"/>
  <c r="S1560" i="2"/>
  <c r="P1560" i="2"/>
  <c r="O1560" i="2"/>
  <c r="J1560" i="2"/>
  <c r="K1560" i="2" s="1"/>
  <c r="H1560" i="2"/>
  <c r="E1560" i="2"/>
  <c r="D1560" i="2"/>
  <c r="B1560" i="2"/>
  <c r="A1560" i="2"/>
  <c r="S1559" i="2"/>
  <c r="P1559" i="2"/>
  <c r="O1559" i="2"/>
  <c r="J1559" i="2"/>
  <c r="K1559" i="2" s="1"/>
  <c r="H1559" i="2"/>
  <c r="E1559" i="2"/>
  <c r="D1559" i="2"/>
  <c r="B1559" i="2"/>
  <c r="A1559" i="2"/>
  <c r="S1558" i="2"/>
  <c r="P1558" i="2"/>
  <c r="O1558" i="2"/>
  <c r="J1558" i="2"/>
  <c r="K1558" i="2" s="1"/>
  <c r="H1558" i="2"/>
  <c r="E1558" i="2"/>
  <c r="D1558" i="2"/>
  <c r="B1558" i="2"/>
  <c r="A1558" i="2"/>
  <c r="S1557" i="2"/>
  <c r="P1557" i="2"/>
  <c r="O1557" i="2"/>
  <c r="J1557" i="2"/>
  <c r="K1557" i="2" s="1"/>
  <c r="H1557" i="2"/>
  <c r="E1557" i="2"/>
  <c r="D1557" i="2"/>
  <c r="B1557" i="2"/>
  <c r="A1557" i="2"/>
  <c r="S1556" i="2"/>
  <c r="P1556" i="2"/>
  <c r="O1556" i="2"/>
  <c r="J1556" i="2"/>
  <c r="K1556" i="2" s="1"/>
  <c r="H1556" i="2"/>
  <c r="E1556" i="2"/>
  <c r="D1556" i="2"/>
  <c r="B1556" i="2"/>
  <c r="A1556" i="2"/>
  <c r="S1555" i="2"/>
  <c r="P1555" i="2"/>
  <c r="O1555" i="2"/>
  <c r="J1555" i="2"/>
  <c r="K1555" i="2" s="1"/>
  <c r="H1555" i="2"/>
  <c r="E1555" i="2"/>
  <c r="D1555" i="2"/>
  <c r="B1555" i="2"/>
  <c r="A1555" i="2"/>
  <c r="S1554" i="2"/>
  <c r="P1554" i="2"/>
  <c r="O1554" i="2"/>
  <c r="J1554" i="2"/>
  <c r="K1554" i="2" s="1"/>
  <c r="H1554" i="2"/>
  <c r="E1554" i="2"/>
  <c r="D1554" i="2"/>
  <c r="B1554" i="2"/>
  <c r="A1554" i="2"/>
  <c r="S1553" i="2"/>
  <c r="P1553" i="2"/>
  <c r="O1553" i="2"/>
  <c r="J1553" i="2"/>
  <c r="K1553" i="2" s="1"/>
  <c r="H1553" i="2"/>
  <c r="E1553" i="2"/>
  <c r="D1553" i="2"/>
  <c r="B1553" i="2"/>
  <c r="A1553" i="2"/>
  <c r="S1552" i="2"/>
  <c r="P1552" i="2"/>
  <c r="O1552" i="2"/>
  <c r="J1552" i="2"/>
  <c r="K1552" i="2" s="1"/>
  <c r="H1552" i="2"/>
  <c r="E1552" i="2"/>
  <c r="D1552" i="2"/>
  <c r="B1552" i="2"/>
  <c r="A1552" i="2"/>
  <c r="S1551" i="2"/>
  <c r="P1551" i="2"/>
  <c r="O1551" i="2"/>
  <c r="J1551" i="2"/>
  <c r="K1551" i="2" s="1"/>
  <c r="H1551" i="2"/>
  <c r="T1551" i="2" s="1"/>
  <c r="E1551" i="2"/>
  <c r="D1551" i="2"/>
  <c r="B1551" i="2"/>
  <c r="A1551" i="2"/>
  <c r="S1550" i="2"/>
  <c r="P1550" i="2"/>
  <c r="O1550" i="2"/>
  <c r="J1550" i="2"/>
  <c r="K1550" i="2" s="1"/>
  <c r="H1550" i="2"/>
  <c r="E1550" i="2"/>
  <c r="D1550" i="2"/>
  <c r="B1550" i="2"/>
  <c r="A1550" i="2"/>
  <c r="S1549" i="2"/>
  <c r="P1549" i="2"/>
  <c r="O1549" i="2"/>
  <c r="J1549" i="2"/>
  <c r="K1549" i="2" s="1"/>
  <c r="H1549" i="2"/>
  <c r="T1549" i="2" s="1"/>
  <c r="E1549" i="2"/>
  <c r="D1549" i="2"/>
  <c r="B1549" i="2"/>
  <c r="A1549" i="2"/>
  <c r="S1548" i="2"/>
  <c r="P1548" i="2"/>
  <c r="O1548" i="2"/>
  <c r="J1548" i="2"/>
  <c r="K1548" i="2" s="1"/>
  <c r="H1548" i="2"/>
  <c r="E1548" i="2"/>
  <c r="D1548" i="2"/>
  <c r="B1548" i="2"/>
  <c r="A1548" i="2"/>
  <c r="T1547" i="2"/>
  <c r="S1547" i="2"/>
  <c r="P1547" i="2"/>
  <c r="O1547" i="2"/>
  <c r="J1547" i="2"/>
  <c r="K1547" i="2" s="1"/>
  <c r="H1547" i="2"/>
  <c r="E1547" i="2"/>
  <c r="D1547" i="2"/>
  <c r="B1547" i="2"/>
  <c r="A1547" i="2"/>
  <c r="S1546" i="2"/>
  <c r="P1546" i="2"/>
  <c r="T1546" i="2" s="1"/>
  <c r="O1546" i="2"/>
  <c r="J1546" i="2"/>
  <c r="K1546" i="2" s="1"/>
  <c r="H1546" i="2"/>
  <c r="E1546" i="2"/>
  <c r="D1546" i="2"/>
  <c r="B1546" i="2"/>
  <c r="A1546" i="2"/>
  <c r="S1545" i="2"/>
  <c r="P1545" i="2"/>
  <c r="O1545" i="2"/>
  <c r="J1545" i="2"/>
  <c r="K1545" i="2" s="1"/>
  <c r="H1545" i="2"/>
  <c r="T1545" i="2" s="1"/>
  <c r="E1545" i="2"/>
  <c r="D1545" i="2"/>
  <c r="B1545" i="2"/>
  <c r="A1545" i="2"/>
  <c r="S1544" i="2"/>
  <c r="P1544" i="2"/>
  <c r="O1544" i="2"/>
  <c r="J1544" i="2"/>
  <c r="K1544" i="2" s="1"/>
  <c r="H1544" i="2"/>
  <c r="E1544" i="2"/>
  <c r="D1544" i="2"/>
  <c r="B1544" i="2"/>
  <c r="A1544" i="2"/>
  <c r="S1543" i="2"/>
  <c r="P1543" i="2"/>
  <c r="O1543" i="2"/>
  <c r="J1543" i="2"/>
  <c r="K1543" i="2" s="1"/>
  <c r="H1543" i="2"/>
  <c r="T1543" i="2" s="1"/>
  <c r="E1543" i="2"/>
  <c r="D1543" i="2"/>
  <c r="B1543" i="2"/>
  <c r="A1543" i="2"/>
  <c r="S1542" i="2"/>
  <c r="P1542" i="2"/>
  <c r="O1542" i="2"/>
  <c r="J1542" i="2"/>
  <c r="K1542" i="2" s="1"/>
  <c r="H1542" i="2"/>
  <c r="E1542" i="2"/>
  <c r="D1542" i="2"/>
  <c r="B1542" i="2"/>
  <c r="A1542" i="2"/>
  <c r="S1541" i="2"/>
  <c r="P1541" i="2"/>
  <c r="O1541" i="2"/>
  <c r="J1541" i="2"/>
  <c r="K1541" i="2" s="1"/>
  <c r="H1541" i="2"/>
  <c r="T1541" i="2" s="1"/>
  <c r="E1541" i="2"/>
  <c r="D1541" i="2"/>
  <c r="B1541" i="2"/>
  <c r="A1541" i="2"/>
  <c r="S1540" i="2"/>
  <c r="P1540" i="2"/>
  <c r="O1540" i="2"/>
  <c r="J1540" i="2"/>
  <c r="K1540" i="2" s="1"/>
  <c r="H1540" i="2"/>
  <c r="T1540" i="2" s="1"/>
  <c r="E1540" i="2"/>
  <c r="D1540" i="2"/>
  <c r="B1540" i="2"/>
  <c r="A1540" i="2"/>
  <c r="S1539" i="2"/>
  <c r="P1539" i="2"/>
  <c r="O1539" i="2"/>
  <c r="J1539" i="2"/>
  <c r="K1539" i="2" s="1"/>
  <c r="H1539" i="2"/>
  <c r="E1539" i="2"/>
  <c r="D1539" i="2"/>
  <c r="B1539" i="2"/>
  <c r="A1539" i="2"/>
  <c r="S1538" i="2"/>
  <c r="P1538" i="2"/>
  <c r="O1538" i="2"/>
  <c r="J1538" i="2"/>
  <c r="K1538" i="2" s="1"/>
  <c r="H1538" i="2"/>
  <c r="T1538" i="2" s="1"/>
  <c r="E1538" i="2"/>
  <c r="D1538" i="2"/>
  <c r="B1538" i="2"/>
  <c r="A1538" i="2"/>
  <c r="S1537" i="2"/>
  <c r="T1537" i="2" s="1"/>
  <c r="P1537" i="2"/>
  <c r="O1537" i="2"/>
  <c r="J1537" i="2"/>
  <c r="K1537" i="2" s="1"/>
  <c r="H1537" i="2"/>
  <c r="E1537" i="2"/>
  <c r="D1537" i="2"/>
  <c r="B1537" i="2"/>
  <c r="A1537" i="2"/>
  <c r="S1536" i="2"/>
  <c r="P1536" i="2"/>
  <c r="T1536" i="2" s="1"/>
  <c r="O1536" i="2"/>
  <c r="J1536" i="2"/>
  <c r="K1536" i="2" s="1"/>
  <c r="H1536" i="2"/>
  <c r="E1536" i="2"/>
  <c r="D1536" i="2"/>
  <c r="B1536" i="2"/>
  <c r="A1536" i="2"/>
  <c r="T1535" i="2"/>
  <c r="S1535" i="2"/>
  <c r="P1535" i="2"/>
  <c r="O1535" i="2"/>
  <c r="J1535" i="2"/>
  <c r="K1535" i="2" s="1"/>
  <c r="H1535" i="2"/>
  <c r="E1535" i="2"/>
  <c r="D1535" i="2"/>
  <c r="B1535" i="2"/>
  <c r="A1535" i="2"/>
  <c r="S1534" i="2"/>
  <c r="T1534" i="2" s="1"/>
  <c r="P1534" i="2"/>
  <c r="O1534" i="2"/>
  <c r="J1534" i="2"/>
  <c r="K1534" i="2" s="1"/>
  <c r="H1534" i="2"/>
  <c r="E1534" i="2"/>
  <c r="D1534" i="2"/>
  <c r="B1534" i="2"/>
  <c r="A1534" i="2"/>
  <c r="S1533" i="2"/>
  <c r="P1533" i="2"/>
  <c r="O1533" i="2"/>
  <c r="J1533" i="2"/>
  <c r="K1533" i="2" s="1"/>
  <c r="H1533" i="2"/>
  <c r="E1533" i="2"/>
  <c r="D1533" i="2"/>
  <c r="B1533" i="2"/>
  <c r="A1533" i="2"/>
  <c r="S1532" i="2"/>
  <c r="P1532" i="2"/>
  <c r="O1532" i="2"/>
  <c r="J1532" i="2"/>
  <c r="K1532" i="2" s="1"/>
  <c r="H1532" i="2"/>
  <c r="E1532" i="2"/>
  <c r="D1532" i="2"/>
  <c r="B1532" i="2"/>
  <c r="A1532" i="2"/>
  <c r="S1531" i="2"/>
  <c r="P1531" i="2"/>
  <c r="O1531" i="2"/>
  <c r="J1531" i="2"/>
  <c r="K1531" i="2" s="1"/>
  <c r="H1531" i="2"/>
  <c r="T1531" i="2" s="1"/>
  <c r="E1531" i="2"/>
  <c r="D1531" i="2"/>
  <c r="B1531" i="2"/>
  <c r="A1531" i="2"/>
  <c r="S1530" i="2"/>
  <c r="P1530" i="2"/>
  <c r="O1530" i="2"/>
  <c r="J1530" i="2"/>
  <c r="K1530" i="2" s="1"/>
  <c r="H1530" i="2"/>
  <c r="E1530" i="2"/>
  <c r="D1530" i="2"/>
  <c r="B1530" i="2"/>
  <c r="A1530" i="2"/>
  <c r="S1529" i="2"/>
  <c r="P1529" i="2"/>
  <c r="O1529" i="2"/>
  <c r="J1529" i="2"/>
  <c r="K1529" i="2" s="1"/>
  <c r="H1529" i="2"/>
  <c r="T1529" i="2" s="1"/>
  <c r="E1529" i="2"/>
  <c r="D1529" i="2"/>
  <c r="B1529" i="2"/>
  <c r="A1529" i="2"/>
  <c r="S1528" i="2"/>
  <c r="P1528" i="2"/>
  <c r="O1528" i="2"/>
  <c r="J1528" i="2"/>
  <c r="K1528" i="2" s="1"/>
  <c r="H1528" i="2"/>
  <c r="E1528" i="2"/>
  <c r="D1528" i="2"/>
  <c r="B1528" i="2"/>
  <c r="A1528" i="2"/>
  <c r="S1527" i="2"/>
  <c r="P1527" i="2"/>
  <c r="O1527" i="2"/>
  <c r="J1527" i="2"/>
  <c r="K1527" i="2" s="1"/>
  <c r="H1527" i="2"/>
  <c r="E1527" i="2"/>
  <c r="D1527" i="2"/>
  <c r="B1527" i="2"/>
  <c r="A1527" i="2"/>
  <c r="T1526" i="2"/>
  <c r="S1526" i="2"/>
  <c r="P1526" i="2"/>
  <c r="O1526" i="2"/>
  <c r="J1526" i="2"/>
  <c r="K1526" i="2" s="1"/>
  <c r="H1526" i="2"/>
  <c r="E1526" i="2"/>
  <c r="D1526" i="2"/>
  <c r="B1526" i="2"/>
  <c r="A1526" i="2"/>
  <c r="S1525" i="2"/>
  <c r="T1525" i="2" s="1"/>
  <c r="P1525" i="2"/>
  <c r="O1525" i="2"/>
  <c r="J1525" i="2"/>
  <c r="K1525" i="2" s="1"/>
  <c r="H1525" i="2"/>
  <c r="E1525" i="2"/>
  <c r="D1525" i="2"/>
  <c r="B1525" i="2"/>
  <c r="A1525" i="2"/>
  <c r="S1524" i="2"/>
  <c r="P1524" i="2"/>
  <c r="T1524" i="2" s="1"/>
  <c r="O1524" i="2"/>
  <c r="J1524" i="2"/>
  <c r="K1524" i="2" s="1"/>
  <c r="H1524" i="2"/>
  <c r="E1524" i="2"/>
  <c r="D1524" i="2"/>
  <c r="B1524" i="2"/>
  <c r="A1524" i="2"/>
  <c r="S1523" i="2"/>
  <c r="P1523" i="2"/>
  <c r="T1523" i="2" s="1"/>
  <c r="O1523" i="2"/>
  <c r="J1523" i="2"/>
  <c r="K1523" i="2" s="1"/>
  <c r="H1523" i="2"/>
  <c r="E1523" i="2"/>
  <c r="D1523" i="2"/>
  <c r="B1523" i="2"/>
  <c r="A1523" i="2"/>
  <c r="T1522" i="2"/>
  <c r="S1522" i="2"/>
  <c r="P1522" i="2"/>
  <c r="O1522" i="2"/>
  <c r="J1522" i="2"/>
  <c r="K1522" i="2" s="1"/>
  <c r="H1522" i="2"/>
  <c r="E1522" i="2"/>
  <c r="D1522" i="2"/>
  <c r="B1522" i="2"/>
  <c r="A1522" i="2"/>
  <c r="S1521" i="2"/>
  <c r="P1521" i="2"/>
  <c r="O1521" i="2"/>
  <c r="K1521" i="2"/>
  <c r="J1521" i="2"/>
  <c r="H1521" i="2"/>
  <c r="E1521" i="2"/>
  <c r="D1521" i="2"/>
  <c r="B1521" i="2"/>
  <c r="A1521" i="2"/>
  <c r="S1520" i="2"/>
  <c r="P1520" i="2"/>
  <c r="O1520" i="2"/>
  <c r="J1520" i="2"/>
  <c r="K1520" i="2" s="1"/>
  <c r="H1520" i="2"/>
  <c r="E1520" i="2"/>
  <c r="D1520" i="2"/>
  <c r="B1520" i="2"/>
  <c r="A1520" i="2"/>
  <c r="S1519" i="2"/>
  <c r="P1519" i="2"/>
  <c r="O1519" i="2"/>
  <c r="K1519" i="2"/>
  <c r="J1519" i="2"/>
  <c r="H1519" i="2"/>
  <c r="E1519" i="2"/>
  <c r="D1519" i="2"/>
  <c r="B1519" i="2"/>
  <c r="A1519" i="2"/>
  <c r="S1518" i="2"/>
  <c r="P1518" i="2"/>
  <c r="O1518" i="2"/>
  <c r="J1518" i="2"/>
  <c r="K1518" i="2" s="1"/>
  <c r="H1518" i="2"/>
  <c r="E1518" i="2"/>
  <c r="D1518" i="2"/>
  <c r="B1518" i="2"/>
  <c r="A1518" i="2"/>
  <c r="S1517" i="2"/>
  <c r="P1517" i="2"/>
  <c r="O1517" i="2"/>
  <c r="J1517" i="2"/>
  <c r="K1517" i="2" s="1"/>
  <c r="H1517" i="2"/>
  <c r="E1517" i="2"/>
  <c r="D1517" i="2"/>
  <c r="B1517" i="2"/>
  <c r="A1517" i="2"/>
  <c r="S1516" i="2"/>
  <c r="P1516" i="2"/>
  <c r="O1516" i="2"/>
  <c r="K1516" i="2"/>
  <c r="J1516" i="2"/>
  <c r="H1516" i="2"/>
  <c r="T1516" i="2" s="1"/>
  <c r="E1516" i="2"/>
  <c r="D1516" i="2"/>
  <c r="B1516" i="2"/>
  <c r="A1516" i="2"/>
  <c r="S1515" i="2"/>
  <c r="P1515" i="2"/>
  <c r="O1515" i="2"/>
  <c r="J1515" i="2"/>
  <c r="K1515" i="2" s="1"/>
  <c r="H1515" i="2"/>
  <c r="E1515" i="2"/>
  <c r="D1515" i="2"/>
  <c r="B1515" i="2"/>
  <c r="A1515" i="2"/>
  <c r="S1514" i="2"/>
  <c r="P1514" i="2"/>
  <c r="O1514" i="2"/>
  <c r="J1514" i="2"/>
  <c r="K1514" i="2" s="1"/>
  <c r="H1514" i="2"/>
  <c r="E1514" i="2"/>
  <c r="D1514" i="2"/>
  <c r="B1514" i="2"/>
  <c r="A1514" i="2"/>
  <c r="S1513" i="2"/>
  <c r="P1513" i="2"/>
  <c r="O1513" i="2"/>
  <c r="K1513" i="2"/>
  <c r="J1513" i="2"/>
  <c r="H1513" i="2"/>
  <c r="E1513" i="2"/>
  <c r="D1513" i="2"/>
  <c r="B1513" i="2"/>
  <c r="A1513" i="2"/>
  <c r="S1512" i="2"/>
  <c r="P1512" i="2"/>
  <c r="O1512" i="2"/>
  <c r="K1512" i="2"/>
  <c r="J1512" i="2"/>
  <c r="H1512" i="2"/>
  <c r="E1512" i="2"/>
  <c r="D1512" i="2"/>
  <c r="B1512" i="2"/>
  <c r="A1512" i="2"/>
  <c r="S1511" i="2"/>
  <c r="P1511" i="2"/>
  <c r="O1511" i="2"/>
  <c r="J1511" i="2"/>
  <c r="K1511" i="2" s="1"/>
  <c r="H1511" i="2"/>
  <c r="E1511" i="2"/>
  <c r="D1511" i="2"/>
  <c r="B1511" i="2"/>
  <c r="A1511" i="2"/>
  <c r="S1510" i="2"/>
  <c r="P1510" i="2"/>
  <c r="O1510" i="2"/>
  <c r="J1510" i="2"/>
  <c r="K1510" i="2" s="1"/>
  <c r="H1510" i="2"/>
  <c r="E1510" i="2"/>
  <c r="D1510" i="2"/>
  <c r="B1510" i="2"/>
  <c r="A1510" i="2"/>
  <c r="S1509" i="2"/>
  <c r="P1509" i="2"/>
  <c r="O1509" i="2"/>
  <c r="K1509" i="2"/>
  <c r="J1509" i="2"/>
  <c r="H1509" i="2"/>
  <c r="E1509" i="2"/>
  <c r="D1509" i="2"/>
  <c r="B1509" i="2"/>
  <c r="A1509" i="2"/>
  <c r="S1508" i="2"/>
  <c r="P1508" i="2"/>
  <c r="O1508" i="2"/>
  <c r="J1508" i="2"/>
  <c r="K1508" i="2" s="1"/>
  <c r="H1508" i="2"/>
  <c r="E1508" i="2"/>
  <c r="D1508" i="2"/>
  <c r="B1508" i="2"/>
  <c r="A1508" i="2"/>
  <c r="S1507" i="2"/>
  <c r="P1507" i="2"/>
  <c r="O1507" i="2"/>
  <c r="J1507" i="2"/>
  <c r="K1507" i="2" s="1"/>
  <c r="H1507" i="2"/>
  <c r="T1507" i="2" s="1"/>
  <c r="E1507" i="2"/>
  <c r="D1507" i="2"/>
  <c r="B1507" i="2"/>
  <c r="A1507" i="2"/>
  <c r="S1506" i="2"/>
  <c r="P1506" i="2"/>
  <c r="O1506" i="2"/>
  <c r="K1506" i="2"/>
  <c r="J1506" i="2"/>
  <c r="H1506" i="2"/>
  <c r="E1506" i="2"/>
  <c r="D1506" i="2"/>
  <c r="B1506" i="2"/>
  <c r="A1506" i="2"/>
  <c r="S1505" i="2"/>
  <c r="P1505" i="2"/>
  <c r="O1505" i="2"/>
  <c r="J1505" i="2"/>
  <c r="K1505" i="2" s="1"/>
  <c r="H1505" i="2"/>
  <c r="E1505" i="2"/>
  <c r="D1505" i="2"/>
  <c r="B1505" i="2"/>
  <c r="A1505" i="2"/>
  <c r="S1504" i="2"/>
  <c r="P1504" i="2"/>
  <c r="O1504" i="2"/>
  <c r="K1504" i="2"/>
  <c r="J1504" i="2"/>
  <c r="H1504" i="2"/>
  <c r="T1504" i="2" s="1"/>
  <c r="E1504" i="2"/>
  <c r="D1504" i="2"/>
  <c r="B1504" i="2"/>
  <c r="A1504" i="2"/>
  <c r="S1503" i="2"/>
  <c r="P1503" i="2"/>
  <c r="O1503" i="2"/>
  <c r="J1503" i="2"/>
  <c r="K1503" i="2" s="1"/>
  <c r="H1503" i="2"/>
  <c r="E1503" i="2"/>
  <c r="D1503" i="2"/>
  <c r="B1503" i="2"/>
  <c r="A1503" i="2"/>
  <c r="S1502" i="2"/>
  <c r="P1502" i="2"/>
  <c r="O1502" i="2"/>
  <c r="J1502" i="2"/>
  <c r="K1502" i="2" s="1"/>
  <c r="H1502" i="2"/>
  <c r="E1502" i="2"/>
  <c r="D1502" i="2"/>
  <c r="B1502" i="2"/>
  <c r="A1502" i="2"/>
  <c r="S1501" i="2"/>
  <c r="P1501" i="2"/>
  <c r="O1501" i="2"/>
  <c r="K1501" i="2"/>
  <c r="J1501" i="2"/>
  <c r="H1501" i="2"/>
  <c r="E1501" i="2"/>
  <c r="D1501" i="2"/>
  <c r="B1501" i="2"/>
  <c r="A1501" i="2"/>
  <c r="S1500" i="2"/>
  <c r="P1500" i="2"/>
  <c r="O1500" i="2"/>
  <c r="K1500" i="2"/>
  <c r="J1500" i="2"/>
  <c r="H1500" i="2"/>
  <c r="E1500" i="2"/>
  <c r="D1500" i="2"/>
  <c r="B1500" i="2"/>
  <c r="A1500" i="2"/>
  <c r="S1499" i="2"/>
  <c r="P1499" i="2"/>
  <c r="O1499" i="2"/>
  <c r="J1499" i="2"/>
  <c r="K1499" i="2" s="1"/>
  <c r="H1499" i="2"/>
  <c r="E1499" i="2"/>
  <c r="D1499" i="2"/>
  <c r="B1499" i="2"/>
  <c r="A1499" i="2"/>
  <c r="S1498" i="2"/>
  <c r="P1498" i="2"/>
  <c r="O1498" i="2"/>
  <c r="J1498" i="2"/>
  <c r="K1498" i="2" s="1"/>
  <c r="H1498" i="2"/>
  <c r="E1498" i="2"/>
  <c r="D1498" i="2"/>
  <c r="B1498" i="2"/>
  <c r="A1498" i="2"/>
  <c r="S1497" i="2"/>
  <c r="P1497" i="2"/>
  <c r="O1497" i="2"/>
  <c r="K1497" i="2"/>
  <c r="J1497" i="2"/>
  <c r="H1497" i="2"/>
  <c r="E1497" i="2"/>
  <c r="D1497" i="2"/>
  <c r="B1497" i="2"/>
  <c r="A1497" i="2"/>
  <c r="S1496" i="2"/>
  <c r="P1496" i="2"/>
  <c r="O1496" i="2"/>
  <c r="J1496" i="2"/>
  <c r="K1496" i="2" s="1"/>
  <c r="H1496" i="2"/>
  <c r="E1496" i="2"/>
  <c r="D1496" i="2"/>
  <c r="B1496" i="2"/>
  <c r="A1496" i="2"/>
  <c r="S1495" i="2"/>
  <c r="P1495" i="2"/>
  <c r="O1495" i="2"/>
  <c r="J1495" i="2"/>
  <c r="K1495" i="2" s="1"/>
  <c r="H1495" i="2"/>
  <c r="T1495" i="2" s="1"/>
  <c r="E1495" i="2"/>
  <c r="D1495" i="2"/>
  <c r="B1495" i="2"/>
  <c r="A1495" i="2"/>
  <c r="S1494" i="2"/>
  <c r="P1494" i="2"/>
  <c r="O1494" i="2"/>
  <c r="K1494" i="2"/>
  <c r="J1494" i="2"/>
  <c r="H1494" i="2"/>
  <c r="E1494" i="2"/>
  <c r="D1494" i="2"/>
  <c r="B1494" i="2"/>
  <c r="A1494" i="2"/>
  <c r="S1493" i="2"/>
  <c r="P1493" i="2"/>
  <c r="O1493" i="2"/>
  <c r="J1493" i="2"/>
  <c r="K1493" i="2" s="1"/>
  <c r="H1493" i="2"/>
  <c r="E1493" i="2"/>
  <c r="D1493" i="2"/>
  <c r="B1493" i="2"/>
  <c r="A1493" i="2"/>
  <c r="S1492" i="2"/>
  <c r="P1492" i="2"/>
  <c r="O1492" i="2"/>
  <c r="J1492" i="2"/>
  <c r="K1492" i="2" s="1"/>
  <c r="H1492" i="2"/>
  <c r="T1492" i="2" s="1"/>
  <c r="E1492" i="2"/>
  <c r="D1492" i="2"/>
  <c r="B1492" i="2"/>
  <c r="A1492" i="2"/>
  <c r="S1491" i="2"/>
  <c r="P1491" i="2"/>
  <c r="O1491" i="2"/>
  <c r="J1491" i="2"/>
  <c r="K1491" i="2" s="1"/>
  <c r="H1491" i="2"/>
  <c r="T1491" i="2" s="1"/>
  <c r="E1491" i="2"/>
  <c r="D1491" i="2"/>
  <c r="B1491" i="2"/>
  <c r="A1491" i="2"/>
  <c r="S1490" i="2"/>
  <c r="P1490" i="2"/>
  <c r="O1490" i="2"/>
  <c r="J1490" i="2"/>
  <c r="K1490" i="2" s="1"/>
  <c r="H1490" i="2"/>
  <c r="E1490" i="2"/>
  <c r="D1490" i="2"/>
  <c r="B1490" i="2"/>
  <c r="A1490" i="2"/>
  <c r="S1489" i="2"/>
  <c r="P1489" i="2"/>
  <c r="O1489" i="2"/>
  <c r="K1489" i="2"/>
  <c r="J1489" i="2"/>
  <c r="H1489" i="2"/>
  <c r="E1489" i="2"/>
  <c r="D1489" i="2"/>
  <c r="B1489" i="2"/>
  <c r="A1489" i="2"/>
  <c r="S1488" i="2"/>
  <c r="P1488" i="2"/>
  <c r="O1488" i="2"/>
  <c r="K1488" i="2"/>
  <c r="J1488" i="2"/>
  <c r="H1488" i="2"/>
  <c r="E1488" i="2"/>
  <c r="D1488" i="2"/>
  <c r="B1488" i="2"/>
  <c r="A1488" i="2"/>
  <c r="S1487" i="2"/>
  <c r="P1487" i="2"/>
  <c r="O1487" i="2"/>
  <c r="J1487" i="2"/>
  <c r="K1487" i="2" s="1"/>
  <c r="H1487" i="2"/>
  <c r="E1487" i="2"/>
  <c r="D1487" i="2"/>
  <c r="B1487" i="2"/>
  <c r="A1487" i="2"/>
  <c r="S1486" i="2"/>
  <c r="P1486" i="2"/>
  <c r="O1486" i="2"/>
  <c r="J1486" i="2"/>
  <c r="K1486" i="2" s="1"/>
  <c r="H1486" i="2"/>
  <c r="E1486" i="2"/>
  <c r="D1486" i="2"/>
  <c r="B1486" i="2"/>
  <c r="A1486" i="2"/>
  <c r="S1485" i="2"/>
  <c r="P1485" i="2"/>
  <c r="O1485" i="2"/>
  <c r="K1485" i="2"/>
  <c r="J1485" i="2"/>
  <c r="H1485" i="2"/>
  <c r="E1485" i="2"/>
  <c r="D1485" i="2"/>
  <c r="B1485" i="2"/>
  <c r="A1485" i="2"/>
  <c r="S1484" i="2"/>
  <c r="P1484" i="2"/>
  <c r="O1484" i="2"/>
  <c r="J1484" i="2"/>
  <c r="K1484" i="2" s="1"/>
  <c r="H1484" i="2"/>
  <c r="E1484" i="2"/>
  <c r="D1484" i="2"/>
  <c r="B1484" i="2"/>
  <c r="A1484" i="2"/>
  <c r="S1483" i="2"/>
  <c r="P1483" i="2"/>
  <c r="O1483" i="2"/>
  <c r="J1483" i="2"/>
  <c r="K1483" i="2" s="1"/>
  <c r="H1483" i="2"/>
  <c r="E1483" i="2"/>
  <c r="D1483" i="2"/>
  <c r="B1483" i="2"/>
  <c r="A1483" i="2"/>
  <c r="S1482" i="2"/>
  <c r="P1482" i="2"/>
  <c r="O1482" i="2"/>
  <c r="K1482" i="2"/>
  <c r="J1482" i="2"/>
  <c r="H1482" i="2"/>
  <c r="E1482" i="2"/>
  <c r="D1482" i="2"/>
  <c r="B1482" i="2"/>
  <c r="A1482" i="2"/>
  <c r="S1481" i="2"/>
  <c r="P1481" i="2"/>
  <c r="O1481" i="2"/>
  <c r="J1481" i="2"/>
  <c r="K1481" i="2" s="1"/>
  <c r="H1481" i="2"/>
  <c r="T1481" i="2" s="1"/>
  <c r="E1481" i="2"/>
  <c r="D1481" i="2"/>
  <c r="B1481" i="2"/>
  <c r="A1481" i="2"/>
  <c r="S1480" i="2"/>
  <c r="P1480" i="2"/>
  <c r="O1480" i="2"/>
  <c r="K1480" i="2"/>
  <c r="J1480" i="2"/>
  <c r="H1480" i="2"/>
  <c r="E1480" i="2"/>
  <c r="D1480" i="2"/>
  <c r="B1480" i="2"/>
  <c r="A1480" i="2"/>
  <c r="S1479" i="2"/>
  <c r="P1479" i="2"/>
  <c r="O1479" i="2"/>
  <c r="J1479" i="2"/>
  <c r="K1479" i="2" s="1"/>
  <c r="H1479" i="2"/>
  <c r="T1479" i="2" s="1"/>
  <c r="E1479" i="2"/>
  <c r="D1479" i="2"/>
  <c r="B1479" i="2"/>
  <c r="A1479" i="2"/>
  <c r="S1478" i="2"/>
  <c r="P1478" i="2"/>
  <c r="O1478" i="2"/>
  <c r="J1478" i="2"/>
  <c r="K1478" i="2" s="1"/>
  <c r="H1478" i="2"/>
  <c r="T1478" i="2" s="1"/>
  <c r="E1478" i="2"/>
  <c r="D1478" i="2"/>
  <c r="B1478" i="2"/>
  <c r="A1478" i="2"/>
  <c r="S1477" i="2"/>
  <c r="P1477" i="2"/>
  <c r="O1477" i="2"/>
  <c r="K1477" i="2"/>
  <c r="J1477" i="2"/>
  <c r="H1477" i="2"/>
  <c r="E1477" i="2"/>
  <c r="D1477" i="2"/>
  <c r="B1477" i="2"/>
  <c r="A1477" i="2"/>
  <c r="S1476" i="2"/>
  <c r="P1476" i="2"/>
  <c r="O1476" i="2"/>
  <c r="K1476" i="2"/>
  <c r="J1476" i="2"/>
  <c r="H1476" i="2"/>
  <c r="E1476" i="2"/>
  <c r="D1476" i="2"/>
  <c r="B1476" i="2"/>
  <c r="A1476" i="2"/>
  <c r="S1475" i="2"/>
  <c r="P1475" i="2"/>
  <c r="O1475" i="2"/>
  <c r="J1475" i="2"/>
  <c r="K1475" i="2" s="1"/>
  <c r="H1475" i="2"/>
  <c r="E1475" i="2"/>
  <c r="D1475" i="2"/>
  <c r="B1475" i="2"/>
  <c r="A1475" i="2"/>
  <c r="S1474" i="2"/>
  <c r="P1474" i="2"/>
  <c r="O1474" i="2"/>
  <c r="K1474" i="2"/>
  <c r="J1474" i="2"/>
  <c r="H1474" i="2"/>
  <c r="T1474" i="2" s="1"/>
  <c r="E1474" i="2"/>
  <c r="D1474" i="2"/>
  <c r="B1474" i="2"/>
  <c r="A1474" i="2"/>
  <c r="S1473" i="2"/>
  <c r="P1473" i="2"/>
  <c r="O1473" i="2"/>
  <c r="J1473" i="2"/>
  <c r="K1473" i="2" s="1"/>
  <c r="H1473" i="2"/>
  <c r="E1473" i="2"/>
  <c r="D1473" i="2"/>
  <c r="B1473" i="2"/>
  <c r="A1473" i="2"/>
  <c r="S1472" i="2"/>
  <c r="P1472" i="2"/>
  <c r="O1472" i="2"/>
  <c r="J1472" i="2"/>
  <c r="K1472" i="2" s="1"/>
  <c r="H1472" i="2"/>
  <c r="E1472" i="2"/>
  <c r="D1472" i="2"/>
  <c r="B1472" i="2"/>
  <c r="A1472" i="2"/>
  <c r="S1471" i="2"/>
  <c r="P1471" i="2"/>
  <c r="O1471" i="2"/>
  <c r="K1471" i="2"/>
  <c r="J1471" i="2"/>
  <c r="H1471" i="2"/>
  <c r="E1471" i="2"/>
  <c r="D1471" i="2"/>
  <c r="B1471" i="2"/>
  <c r="A1471" i="2"/>
  <c r="S1470" i="2"/>
  <c r="P1470" i="2"/>
  <c r="O1470" i="2"/>
  <c r="J1470" i="2"/>
  <c r="K1470" i="2" s="1"/>
  <c r="H1470" i="2"/>
  <c r="E1470" i="2"/>
  <c r="D1470" i="2"/>
  <c r="B1470" i="2"/>
  <c r="A1470" i="2"/>
  <c r="S1469" i="2"/>
  <c r="P1469" i="2"/>
  <c r="O1469" i="2"/>
  <c r="K1469" i="2"/>
  <c r="J1469" i="2"/>
  <c r="H1469" i="2"/>
  <c r="E1469" i="2"/>
  <c r="D1469" i="2"/>
  <c r="B1469" i="2"/>
  <c r="A1469" i="2"/>
  <c r="S1468" i="2"/>
  <c r="P1468" i="2"/>
  <c r="O1468" i="2"/>
  <c r="J1468" i="2"/>
  <c r="K1468" i="2" s="1"/>
  <c r="H1468" i="2"/>
  <c r="E1468" i="2"/>
  <c r="D1468" i="2"/>
  <c r="B1468" i="2"/>
  <c r="A1468" i="2"/>
  <c r="S1467" i="2"/>
  <c r="P1467" i="2"/>
  <c r="O1467" i="2"/>
  <c r="J1467" i="2"/>
  <c r="K1467" i="2" s="1"/>
  <c r="H1467" i="2"/>
  <c r="T1467" i="2" s="1"/>
  <c r="E1467" i="2"/>
  <c r="D1467" i="2"/>
  <c r="B1467" i="2"/>
  <c r="A1467" i="2"/>
  <c r="S1466" i="2"/>
  <c r="P1466" i="2"/>
  <c r="O1466" i="2"/>
  <c r="J1466" i="2"/>
  <c r="K1466" i="2" s="1"/>
  <c r="H1466" i="2"/>
  <c r="E1466" i="2"/>
  <c r="D1466" i="2"/>
  <c r="B1466" i="2"/>
  <c r="A1466" i="2"/>
  <c r="S1465" i="2"/>
  <c r="P1465" i="2"/>
  <c r="O1465" i="2"/>
  <c r="K1465" i="2"/>
  <c r="J1465" i="2"/>
  <c r="H1465" i="2"/>
  <c r="T1465" i="2" s="1"/>
  <c r="E1465" i="2"/>
  <c r="D1465" i="2"/>
  <c r="B1465" i="2"/>
  <c r="A1465" i="2"/>
  <c r="S1464" i="2"/>
  <c r="P1464" i="2"/>
  <c r="O1464" i="2"/>
  <c r="K1464" i="2"/>
  <c r="J1464" i="2"/>
  <c r="H1464" i="2"/>
  <c r="E1464" i="2"/>
  <c r="D1464" i="2"/>
  <c r="B1464" i="2"/>
  <c r="A1464" i="2"/>
  <c r="S1463" i="2"/>
  <c r="P1463" i="2"/>
  <c r="O1463" i="2"/>
  <c r="J1463" i="2"/>
  <c r="K1463" i="2" s="1"/>
  <c r="H1463" i="2"/>
  <c r="E1463" i="2"/>
  <c r="D1463" i="2"/>
  <c r="B1463" i="2"/>
  <c r="A1463" i="2"/>
  <c r="S1462" i="2"/>
  <c r="P1462" i="2"/>
  <c r="O1462" i="2"/>
  <c r="K1462" i="2"/>
  <c r="J1462" i="2"/>
  <c r="H1462" i="2"/>
  <c r="T1462" i="2" s="1"/>
  <c r="E1462" i="2"/>
  <c r="D1462" i="2"/>
  <c r="B1462" i="2"/>
  <c r="A1462" i="2"/>
  <c r="S1461" i="2"/>
  <c r="P1461" i="2"/>
  <c r="O1461" i="2"/>
  <c r="K1461" i="2"/>
  <c r="J1461" i="2"/>
  <c r="H1461" i="2"/>
  <c r="E1461" i="2"/>
  <c r="D1461" i="2"/>
  <c r="B1461" i="2"/>
  <c r="A1461" i="2"/>
  <c r="S1460" i="2"/>
  <c r="P1460" i="2"/>
  <c r="O1460" i="2"/>
  <c r="J1460" i="2"/>
  <c r="K1460" i="2" s="1"/>
  <c r="H1460" i="2"/>
  <c r="E1460" i="2"/>
  <c r="D1460" i="2"/>
  <c r="B1460" i="2"/>
  <c r="A1460" i="2"/>
  <c r="S1459" i="2"/>
  <c r="P1459" i="2"/>
  <c r="O1459" i="2"/>
  <c r="K1459" i="2"/>
  <c r="J1459" i="2"/>
  <c r="H1459" i="2"/>
  <c r="T1459" i="2" s="1"/>
  <c r="E1459" i="2"/>
  <c r="D1459" i="2"/>
  <c r="B1459" i="2"/>
  <c r="A1459" i="2"/>
  <c r="S1458" i="2"/>
  <c r="P1458" i="2"/>
  <c r="O1458" i="2"/>
  <c r="J1458" i="2"/>
  <c r="K1458" i="2" s="1"/>
  <c r="H1458" i="2"/>
  <c r="E1458" i="2"/>
  <c r="D1458" i="2"/>
  <c r="B1458" i="2"/>
  <c r="A1458" i="2"/>
  <c r="S1457" i="2"/>
  <c r="P1457" i="2"/>
  <c r="O1457" i="2"/>
  <c r="K1457" i="2"/>
  <c r="J1457" i="2"/>
  <c r="H1457" i="2"/>
  <c r="E1457" i="2"/>
  <c r="D1457" i="2"/>
  <c r="B1457" i="2"/>
  <c r="A1457" i="2"/>
  <c r="S1456" i="2"/>
  <c r="P1456" i="2"/>
  <c r="O1456" i="2"/>
  <c r="J1456" i="2"/>
  <c r="K1456" i="2" s="1"/>
  <c r="H1456" i="2"/>
  <c r="E1456" i="2"/>
  <c r="D1456" i="2"/>
  <c r="B1456" i="2"/>
  <c r="A1456" i="2"/>
  <c r="S1455" i="2"/>
  <c r="P1455" i="2"/>
  <c r="O1455" i="2"/>
  <c r="K1455" i="2"/>
  <c r="J1455" i="2"/>
  <c r="H1455" i="2"/>
  <c r="E1455" i="2"/>
  <c r="D1455" i="2"/>
  <c r="B1455" i="2"/>
  <c r="A1455" i="2"/>
  <c r="S1454" i="2"/>
  <c r="P1454" i="2"/>
  <c r="O1454" i="2"/>
  <c r="K1454" i="2"/>
  <c r="J1454" i="2"/>
  <c r="H1454" i="2"/>
  <c r="E1454" i="2"/>
  <c r="D1454" i="2"/>
  <c r="B1454" i="2"/>
  <c r="A1454" i="2"/>
  <c r="S1453" i="2"/>
  <c r="P1453" i="2"/>
  <c r="O1453" i="2"/>
  <c r="J1453" i="2"/>
  <c r="K1453" i="2" s="1"/>
  <c r="H1453" i="2"/>
  <c r="E1453" i="2"/>
  <c r="D1453" i="2"/>
  <c r="B1453" i="2"/>
  <c r="A1453" i="2"/>
  <c r="S1452" i="2"/>
  <c r="P1452" i="2"/>
  <c r="O1452" i="2"/>
  <c r="J1452" i="2"/>
  <c r="K1452" i="2" s="1"/>
  <c r="H1452" i="2"/>
  <c r="E1452" i="2"/>
  <c r="D1452" i="2"/>
  <c r="B1452" i="2"/>
  <c r="A1452" i="2"/>
  <c r="S1451" i="2"/>
  <c r="P1451" i="2"/>
  <c r="O1451" i="2"/>
  <c r="K1451" i="2"/>
  <c r="J1451" i="2"/>
  <c r="H1451" i="2"/>
  <c r="E1451" i="2"/>
  <c r="D1451" i="2"/>
  <c r="B1451" i="2"/>
  <c r="A1451" i="2"/>
  <c r="S1450" i="2"/>
  <c r="P1450" i="2"/>
  <c r="O1450" i="2"/>
  <c r="K1450" i="2"/>
  <c r="J1450" i="2"/>
  <c r="H1450" i="2"/>
  <c r="E1450" i="2"/>
  <c r="D1450" i="2"/>
  <c r="B1450" i="2"/>
  <c r="A1450" i="2"/>
  <c r="S1449" i="2"/>
  <c r="P1449" i="2"/>
  <c r="O1449" i="2"/>
  <c r="J1449" i="2"/>
  <c r="K1449" i="2" s="1"/>
  <c r="H1449" i="2"/>
  <c r="T1449" i="2" s="1"/>
  <c r="E1449" i="2"/>
  <c r="D1449" i="2"/>
  <c r="B1449" i="2"/>
  <c r="A1449" i="2"/>
  <c r="S1448" i="2"/>
  <c r="P1448" i="2"/>
  <c r="O1448" i="2"/>
  <c r="J1448" i="2"/>
  <c r="K1448" i="2" s="1"/>
  <c r="H1448" i="2"/>
  <c r="E1448" i="2"/>
  <c r="D1448" i="2"/>
  <c r="B1448" i="2"/>
  <c r="A1448" i="2"/>
  <c r="T1447" i="2"/>
  <c r="S1447" i="2"/>
  <c r="P1447" i="2"/>
  <c r="O1447" i="2"/>
  <c r="J1447" i="2"/>
  <c r="K1447" i="2" s="1"/>
  <c r="H1447" i="2"/>
  <c r="E1447" i="2"/>
  <c r="D1447" i="2"/>
  <c r="B1447" i="2"/>
  <c r="A1447" i="2"/>
  <c r="T1446" i="2"/>
  <c r="S1446" i="2"/>
  <c r="P1446" i="2"/>
  <c r="O1446" i="2"/>
  <c r="J1446" i="2"/>
  <c r="K1446" i="2" s="1"/>
  <c r="H1446" i="2"/>
  <c r="E1446" i="2"/>
  <c r="D1446" i="2"/>
  <c r="B1446" i="2"/>
  <c r="A1446" i="2"/>
  <c r="S1445" i="2"/>
  <c r="T1445" i="2" s="1"/>
  <c r="P1445" i="2"/>
  <c r="O1445" i="2"/>
  <c r="J1445" i="2"/>
  <c r="K1445" i="2" s="1"/>
  <c r="H1445" i="2"/>
  <c r="E1445" i="2"/>
  <c r="D1445" i="2"/>
  <c r="B1445" i="2"/>
  <c r="A1445" i="2"/>
  <c r="S1444" i="2"/>
  <c r="P1444" i="2"/>
  <c r="O1444" i="2"/>
  <c r="J1444" i="2"/>
  <c r="K1444" i="2" s="1"/>
  <c r="H1444" i="2"/>
  <c r="T1444" i="2" s="1"/>
  <c r="E1444" i="2"/>
  <c r="D1444" i="2"/>
  <c r="B1444" i="2"/>
  <c r="A1444" i="2"/>
  <c r="T1443" i="2"/>
  <c r="S1443" i="2"/>
  <c r="P1443" i="2"/>
  <c r="O1443" i="2"/>
  <c r="J1443" i="2"/>
  <c r="K1443" i="2" s="1"/>
  <c r="H1443" i="2"/>
  <c r="E1443" i="2"/>
  <c r="D1443" i="2"/>
  <c r="B1443" i="2"/>
  <c r="A1443" i="2"/>
  <c r="T1442" i="2"/>
  <c r="S1442" i="2"/>
  <c r="P1442" i="2"/>
  <c r="O1442" i="2"/>
  <c r="J1442" i="2"/>
  <c r="K1442" i="2" s="1"/>
  <c r="H1442" i="2"/>
  <c r="E1442" i="2"/>
  <c r="D1442" i="2"/>
  <c r="B1442" i="2"/>
  <c r="A1442" i="2"/>
  <c r="S1441" i="2"/>
  <c r="P1441" i="2"/>
  <c r="O1441" i="2"/>
  <c r="J1441" i="2"/>
  <c r="K1441" i="2" s="1"/>
  <c r="H1441" i="2"/>
  <c r="E1441" i="2"/>
  <c r="D1441" i="2"/>
  <c r="B1441" i="2"/>
  <c r="A1441" i="2"/>
  <c r="S1440" i="2"/>
  <c r="P1440" i="2"/>
  <c r="O1440" i="2"/>
  <c r="J1440" i="2"/>
  <c r="K1440" i="2" s="1"/>
  <c r="H1440" i="2"/>
  <c r="E1440" i="2"/>
  <c r="D1440" i="2"/>
  <c r="B1440" i="2"/>
  <c r="A1440" i="2"/>
  <c r="S1439" i="2"/>
  <c r="P1439" i="2"/>
  <c r="O1439" i="2"/>
  <c r="J1439" i="2"/>
  <c r="K1439" i="2" s="1"/>
  <c r="H1439" i="2"/>
  <c r="T1439" i="2" s="1"/>
  <c r="E1439" i="2"/>
  <c r="D1439" i="2"/>
  <c r="B1439" i="2"/>
  <c r="A1439" i="2"/>
  <c r="S1438" i="2"/>
  <c r="P1438" i="2"/>
  <c r="O1438" i="2"/>
  <c r="J1438" i="2"/>
  <c r="K1438" i="2" s="1"/>
  <c r="H1438" i="2"/>
  <c r="T1438" i="2" s="1"/>
  <c r="E1438" i="2"/>
  <c r="D1438" i="2"/>
  <c r="B1438" i="2"/>
  <c r="A1438" i="2"/>
  <c r="S1437" i="2"/>
  <c r="P1437" i="2"/>
  <c r="O1437" i="2"/>
  <c r="J1437" i="2"/>
  <c r="K1437" i="2" s="1"/>
  <c r="H1437" i="2"/>
  <c r="T1437" i="2" s="1"/>
  <c r="E1437" i="2"/>
  <c r="D1437" i="2"/>
  <c r="B1437" i="2"/>
  <c r="A1437" i="2"/>
  <c r="S1436" i="2"/>
  <c r="P1436" i="2"/>
  <c r="T1436" i="2" s="1"/>
  <c r="O1436" i="2"/>
  <c r="J1436" i="2"/>
  <c r="K1436" i="2" s="1"/>
  <c r="H1436" i="2"/>
  <c r="E1436" i="2"/>
  <c r="D1436" i="2"/>
  <c r="B1436" i="2"/>
  <c r="A1436" i="2"/>
  <c r="T1435" i="2"/>
  <c r="S1435" i="2"/>
  <c r="P1435" i="2"/>
  <c r="O1435" i="2"/>
  <c r="J1435" i="2"/>
  <c r="K1435" i="2" s="1"/>
  <c r="H1435" i="2"/>
  <c r="E1435" i="2"/>
  <c r="D1435" i="2"/>
  <c r="B1435" i="2"/>
  <c r="A1435" i="2"/>
  <c r="T1434" i="2"/>
  <c r="S1434" i="2"/>
  <c r="P1434" i="2"/>
  <c r="O1434" i="2"/>
  <c r="J1434" i="2"/>
  <c r="K1434" i="2" s="1"/>
  <c r="H1434" i="2"/>
  <c r="E1434" i="2"/>
  <c r="D1434" i="2"/>
  <c r="B1434" i="2"/>
  <c r="A1434" i="2"/>
  <c r="S1433" i="2"/>
  <c r="T1433" i="2" s="1"/>
  <c r="P1433" i="2"/>
  <c r="O1433" i="2"/>
  <c r="J1433" i="2"/>
  <c r="K1433" i="2" s="1"/>
  <c r="H1433" i="2"/>
  <c r="E1433" i="2"/>
  <c r="D1433" i="2"/>
  <c r="B1433" i="2"/>
  <c r="A1433" i="2"/>
  <c r="S1432" i="2"/>
  <c r="P1432" i="2"/>
  <c r="O1432" i="2"/>
  <c r="J1432" i="2"/>
  <c r="K1432" i="2" s="1"/>
  <c r="H1432" i="2"/>
  <c r="T1432" i="2" s="1"/>
  <c r="E1432" i="2"/>
  <c r="D1432" i="2"/>
  <c r="B1432" i="2"/>
  <c r="A1432" i="2"/>
  <c r="T1431" i="2"/>
  <c r="S1431" i="2"/>
  <c r="P1431" i="2"/>
  <c r="O1431" i="2"/>
  <c r="J1431" i="2"/>
  <c r="K1431" i="2" s="1"/>
  <c r="H1431" i="2"/>
  <c r="E1431" i="2"/>
  <c r="D1431" i="2"/>
  <c r="B1431" i="2"/>
  <c r="A1431" i="2"/>
  <c r="S1430" i="2"/>
  <c r="P1430" i="2"/>
  <c r="O1430" i="2"/>
  <c r="J1430" i="2"/>
  <c r="K1430" i="2" s="1"/>
  <c r="H1430" i="2"/>
  <c r="T1430" i="2" s="1"/>
  <c r="E1430" i="2"/>
  <c r="D1430" i="2"/>
  <c r="B1430" i="2"/>
  <c r="A1430" i="2"/>
  <c r="S1429" i="2"/>
  <c r="P1429" i="2"/>
  <c r="O1429" i="2"/>
  <c r="J1429" i="2"/>
  <c r="K1429" i="2" s="1"/>
  <c r="H1429" i="2"/>
  <c r="T1429" i="2" s="1"/>
  <c r="E1429" i="2"/>
  <c r="D1429" i="2"/>
  <c r="B1429" i="2"/>
  <c r="A1429" i="2"/>
  <c r="S1428" i="2"/>
  <c r="P1428" i="2"/>
  <c r="O1428" i="2"/>
  <c r="J1428" i="2"/>
  <c r="K1428" i="2" s="1"/>
  <c r="H1428" i="2"/>
  <c r="E1428" i="2"/>
  <c r="D1428" i="2"/>
  <c r="B1428" i="2"/>
  <c r="A1428" i="2"/>
  <c r="S1427" i="2"/>
  <c r="P1427" i="2"/>
  <c r="O1427" i="2"/>
  <c r="J1427" i="2"/>
  <c r="K1427" i="2" s="1"/>
  <c r="H1427" i="2"/>
  <c r="E1427" i="2"/>
  <c r="D1427" i="2"/>
  <c r="B1427" i="2"/>
  <c r="A1427" i="2"/>
  <c r="S1426" i="2"/>
  <c r="P1426" i="2"/>
  <c r="O1426" i="2"/>
  <c r="J1426" i="2"/>
  <c r="K1426" i="2" s="1"/>
  <c r="H1426" i="2"/>
  <c r="E1426" i="2"/>
  <c r="D1426" i="2"/>
  <c r="B1426" i="2"/>
  <c r="A1426" i="2"/>
  <c r="S1425" i="2"/>
  <c r="P1425" i="2"/>
  <c r="O1425" i="2"/>
  <c r="J1425" i="2"/>
  <c r="K1425" i="2" s="1"/>
  <c r="H1425" i="2"/>
  <c r="T1425" i="2" s="1"/>
  <c r="E1425" i="2"/>
  <c r="D1425" i="2"/>
  <c r="B1425" i="2"/>
  <c r="A1425" i="2"/>
  <c r="S1424" i="2"/>
  <c r="P1424" i="2"/>
  <c r="T1424" i="2" s="1"/>
  <c r="O1424" i="2"/>
  <c r="J1424" i="2"/>
  <c r="K1424" i="2" s="1"/>
  <c r="H1424" i="2"/>
  <c r="E1424" i="2"/>
  <c r="D1424" i="2"/>
  <c r="B1424" i="2"/>
  <c r="A1424" i="2"/>
  <c r="T1423" i="2"/>
  <c r="S1423" i="2"/>
  <c r="P1423" i="2"/>
  <c r="O1423" i="2"/>
  <c r="J1423" i="2"/>
  <c r="K1423" i="2" s="1"/>
  <c r="H1423" i="2"/>
  <c r="E1423" i="2"/>
  <c r="D1423" i="2"/>
  <c r="B1423" i="2"/>
  <c r="A1423" i="2"/>
  <c r="T1422" i="2"/>
  <c r="S1422" i="2"/>
  <c r="P1422" i="2"/>
  <c r="O1422" i="2"/>
  <c r="J1422" i="2"/>
  <c r="K1422" i="2" s="1"/>
  <c r="H1422" i="2"/>
  <c r="E1422" i="2"/>
  <c r="D1422" i="2"/>
  <c r="B1422" i="2"/>
  <c r="A1422" i="2"/>
  <c r="S1421" i="2"/>
  <c r="P1421" i="2"/>
  <c r="O1421" i="2"/>
  <c r="J1421" i="2"/>
  <c r="K1421" i="2" s="1"/>
  <c r="H1421" i="2"/>
  <c r="E1421" i="2"/>
  <c r="D1421" i="2"/>
  <c r="B1421" i="2"/>
  <c r="A1421" i="2"/>
  <c r="S1420" i="2"/>
  <c r="P1420" i="2"/>
  <c r="O1420" i="2"/>
  <c r="J1420" i="2"/>
  <c r="K1420" i="2" s="1"/>
  <c r="H1420" i="2"/>
  <c r="E1420" i="2"/>
  <c r="D1420" i="2"/>
  <c r="B1420" i="2"/>
  <c r="A1420" i="2"/>
  <c r="S1419" i="2"/>
  <c r="P1419" i="2"/>
  <c r="O1419" i="2"/>
  <c r="J1419" i="2"/>
  <c r="K1419" i="2" s="1"/>
  <c r="T1419" i="2" s="1"/>
  <c r="H1419" i="2"/>
  <c r="E1419" i="2"/>
  <c r="D1419" i="2"/>
  <c r="B1419" i="2"/>
  <c r="A1419" i="2"/>
  <c r="S1418" i="2"/>
  <c r="P1418" i="2"/>
  <c r="O1418" i="2"/>
  <c r="J1418" i="2"/>
  <c r="K1418" i="2" s="1"/>
  <c r="H1418" i="2"/>
  <c r="T1418" i="2" s="1"/>
  <c r="E1418" i="2"/>
  <c r="D1418" i="2"/>
  <c r="B1418" i="2"/>
  <c r="A1418" i="2"/>
  <c r="S1417" i="2"/>
  <c r="P1417" i="2"/>
  <c r="O1417" i="2"/>
  <c r="J1417" i="2"/>
  <c r="K1417" i="2" s="1"/>
  <c r="H1417" i="2"/>
  <c r="E1417" i="2"/>
  <c r="D1417" i="2"/>
  <c r="B1417" i="2"/>
  <c r="A1417" i="2"/>
  <c r="S1416" i="2"/>
  <c r="P1416" i="2"/>
  <c r="O1416" i="2"/>
  <c r="J1416" i="2"/>
  <c r="K1416" i="2" s="1"/>
  <c r="H1416" i="2"/>
  <c r="E1416" i="2"/>
  <c r="D1416" i="2"/>
  <c r="B1416" i="2"/>
  <c r="A1416" i="2"/>
  <c r="S1415" i="2"/>
  <c r="P1415" i="2"/>
  <c r="O1415" i="2"/>
  <c r="J1415" i="2"/>
  <c r="K1415" i="2" s="1"/>
  <c r="H1415" i="2"/>
  <c r="E1415" i="2"/>
  <c r="D1415" i="2"/>
  <c r="B1415" i="2"/>
  <c r="A1415" i="2"/>
  <c r="S1414" i="2"/>
  <c r="P1414" i="2"/>
  <c r="O1414" i="2"/>
  <c r="J1414" i="2"/>
  <c r="K1414" i="2" s="1"/>
  <c r="H1414" i="2"/>
  <c r="E1414" i="2"/>
  <c r="D1414" i="2"/>
  <c r="B1414" i="2"/>
  <c r="A1414" i="2"/>
  <c r="S1413" i="2"/>
  <c r="P1413" i="2"/>
  <c r="O1413" i="2"/>
  <c r="J1413" i="2"/>
  <c r="K1413" i="2" s="1"/>
  <c r="H1413" i="2"/>
  <c r="T1413" i="2" s="1"/>
  <c r="E1413" i="2"/>
  <c r="D1413" i="2"/>
  <c r="B1413" i="2"/>
  <c r="A1413" i="2"/>
  <c r="S1412" i="2"/>
  <c r="P1412" i="2"/>
  <c r="T1412" i="2" s="1"/>
  <c r="O1412" i="2"/>
  <c r="J1412" i="2"/>
  <c r="K1412" i="2" s="1"/>
  <c r="H1412" i="2"/>
  <c r="E1412" i="2"/>
  <c r="D1412" i="2"/>
  <c r="B1412" i="2"/>
  <c r="A1412" i="2"/>
  <c r="T1411" i="2"/>
  <c r="S1411" i="2"/>
  <c r="P1411" i="2"/>
  <c r="O1411" i="2"/>
  <c r="J1411" i="2"/>
  <c r="K1411" i="2" s="1"/>
  <c r="H1411" i="2"/>
  <c r="E1411" i="2"/>
  <c r="D1411" i="2"/>
  <c r="B1411" i="2"/>
  <c r="A1411" i="2"/>
  <c r="T1410" i="2"/>
  <c r="S1410" i="2"/>
  <c r="P1410" i="2"/>
  <c r="O1410" i="2"/>
  <c r="J1410" i="2"/>
  <c r="K1410" i="2" s="1"/>
  <c r="H1410" i="2"/>
  <c r="E1410" i="2"/>
  <c r="D1410" i="2"/>
  <c r="B1410" i="2"/>
  <c r="A1410" i="2"/>
  <c r="S1409" i="2"/>
  <c r="P1409" i="2"/>
  <c r="T1409" i="2" s="1"/>
  <c r="O1409" i="2"/>
  <c r="J1409" i="2"/>
  <c r="K1409" i="2" s="1"/>
  <c r="H1409" i="2"/>
  <c r="E1409" i="2"/>
  <c r="D1409" i="2"/>
  <c r="B1409" i="2"/>
  <c r="A1409" i="2"/>
  <c r="S1408" i="2"/>
  <c r="P1408" i="2"/>
  <c r="O1408" i="2"/>
  <c r="J1408" i="2"/>
  <c r="K1408" i="2" s="1"/>
  <c r="H1408" i="2"/>
  <c r="T1408" i="2" s="1"/>
  <c r="E1408" i="2"/>
  <c r="D1408" i="2"/>
  <c r="B1408" i="2"/>
  <c r="A1408" i="2"/>
  <c r="T1407" i="2"/>
  <c r="S1407" i="2"/>
  <c r="P1407" i="2"/>
  <c r="O1407" i="2"/>
  <c r="J1407" i="2"/>
  <c r="K1407" i="2" s="1"/>
  <c r="H1407" i="2"/>
  <c r="E1407" i="2"/>
  <c r="D1407" i="2"/>
  <c r="B1407" i="2"/>
  <c r="A1407" i="2"/>
  <c r="S1406" i="2"/>
  <c r="T1406" i="2" s="1"/>
  <c r="P1406" i="2"/>
  <c r="O1406" i="2"/>
  <c r="J1406" i="2"/>
  <c r="K1406" i="2" s="1"/>
  <c r="H1406" i="2"/>
  <c r="E1406" i="2"/>
  <c r="D1406" i="2"/>
  <c r="B1406" i="2"/>
  <c r="A1406" i="2"/>
  <c r="S1405" i="2"/>
  <c r="P1405" i="2"/>
  <c r="O1405" i="2"/>
  <c r="J1405" i="2"/>
  <c r="K1405" i="2" s="1"/>
  <c r="H1405" i="2"/>
  <c r="E1405" i="2"/>
  <c r="D1405" i="2"/>
  <c r="B1405" i="2"/>
  <c r="A1405" i="2"/>
  <c r="S1404" i="2"/>
  <c r="P1404" i="2"/>
  <c r="O1404" i="2"/>
  <c r="J1404" i="2"/>
  <c r="K1404" i="2" s="1"/>
  <c r="H1404" i="2"/>
  <c r="T1404" i="2" s="1"/>
  <c r="E1404" i="2"/>
  <c r="D1404" i="2"/>
  <c r="B1404" i="2"/>
  <c r="A1404" i="2"/>
  <c r="S1403" i="2"/>
  <c r="P1403" i="2"/>
  <c r="O1403" i="2"/>
  <c r="J1403" i="2"/>
  <c r="K1403" i="2" s="1"/>
  <c r="H1403" i="2"/>
  <c r="T1403" i="2" s="1"/>
  <c r="E1403" i="2"/>
  <c r="D1403" i="2"/>
  <c r="B1403" i="2"/>
  <c r="A1403" i="2"/>
  <c r="S1402" i="2"/>
  <c r="P1402" i="2"/>
  <c r="O1402" i="2"/>
  <c r="J1402" i="2"/>
  <c r="K1402" i="2" s="1"/>
  <c r="H1402" i="2"/>
  <c r="E1402" i="2"/>
  <c r="D1402" i="2"/>
  <c r="B1402" i="2"/>
  <c r="A1402" i="2"/>
  <c r="S1401" i="2"/>
  <c r="P1401" i="2"/>
  <c r="O1401" i="2"/>
  <c r="J1401" i="2"/>
  <c r="K1401" i="2" s="1"/>
  <c r="H1401" i="2"/>
  <c r="T1401" i="2" s="1"/>
  <c r="E1401" i="2"/>
  <c r="D1401" i="2"/>
  <c r="B1401" i="2"/>
  <c r="A1401" i="2"/>
  <c r="S1400" i="2"/>
  <c r="P1400" i="2"/>
  <c r="T1400" i="2" s="1"/>
  <c r="O1400" i="2"/>
  <c r="J1400" i="2"/>
  <c r="K1400" i="2" s="1"/>
  <c r="H1400" i="2"/>
  <c r="E1400" i="2"/>
  <c r="D1400" i="2"/>
  <c r="B1400" i="2"/>
  <c r="A1400" i="2"/>
  <c r="T1399" i="2"/>
  <c r="S1399" i="2"/>
  <c r="P1399" i="2"/>
  <c r="O1399" i="2"/>
  <c r="J1399" i="2"/>
  <c r="K1399" i="2" s="1"/>
  <c r="H1399" i="2"/>
  <c r="E1399" i="2"/>
  <c r="D1399" i="2"/>
  <c r="B1399" i="2"/>
  <c r="A1399" i="2"/>
  <c r="S1398" i="2"/>
  <c r="P1398" i="2"/>
  <c r="O1398" i="2"/>
  <c r="J1398" i="2"/>
  <c r="K1398" i="2" s="1"/>
  <c r="T1398" i="2" s="1"/>
  <c r="H1398" i="2"/>
  <c r="E1398" i="2"/>
  <c r="D1398" i="2"/>
  <c r="B1398" i="2"/>
  <c r="A1398" i="2"/>
  <c r="S1397" i="2"/>
  <c r="P1397" i="2"/>
  <c r="O1397" i="2"/>
  <c r="J1397" i="2"/>
  <c r="K1397" i="2" s="1"/>
  <c r="H1397" i="2"/>
  <c r="T1397" i="2" s="1"/>
  <c r="E1397" i="2"/>
  <c r="D1397" i="2"/>
  <c r="B1397" i="2"/>
  <c r="A1397" i="2"/>
  <c r="S1396" i="2"/>
  <c r="P1396" i="2"/>
  <c r="O1396" i="2"/>
  <c r="J1396" i="2"/>
  <c r="K1396" i="2" s="1"/>
  <c r="H1396" i="2"/>
  <c r="E1396" i="2"/>
  <c r="D1396" i="2"/>
  <c r="B1396" i="2"/>
  <c r="A1396" i="2"/>
  <c r="T1395" i="2"/>
  <c r="S1395" i="2"/>
  <c r="P1395" i="2"/>
  <c r="O1395" i="2"/>
  <c r="J1395" i="2"/>
  <c r="K1395" i="2" s="1"/>
  <c r="H1395" i="2"/>
  <c r="E1395" i="2"/>
  <c r="D1395" i="2"/>
  <c r="B1395" i="2"/>
  <c r="A1395" i="2"/>
  <c r="S1394" i="2"/>
  <c r="T1394" i="2" s="1"/>
  <c r="P1394" i="2"/>
  <c r="O1394" i="2"/>
  <c r="J1394" i="2"/>
  <c r="K1394" i="2" s="1"/>
  <c r="H1394" i="2"/>
  <c r="E1394" i="2"/>
  <c r="D1394" i="2"/>
  <c r="B1394" i="2"/>
  <c r="A1394" i="2"/>
  <c r="S1393" i="2"/>
  <c r="P1393" i="2"/>
  <c r="O1393" i="2"/>
  <c r="J1393" i="2"/>
  <c r="K1393" i="2" s="1"/>
  <c r="H1393" i="2"/>
  <c r="E1393" i="2"/>
  <c r="D1393" i="2"/>
  <c r="B1393" i="2"/>
  <c r="A1393" i="2"/>
  <c r="S1392" i="2"/>
  <c r="P1392" i="2"/>
  <c r="O1392" i="2"/>
  <c r="J1392" i="2"/>
  <c r="K1392" i="2" s="1"/>
  <c r="H1392" i="2"/>
  <c r="T1392" i="2" s="1"/>
  <c r="E1392" i="2"/>
  <c r="D1392" i="2"/>
  <c r="B1392" i="2"/>
  <c r="A1392" i="2"/>
  <c r="S1391" i="2"/>
  <c r="P1391" i="2"/>
  <c r="O1391" i="2"/>
  <c r="J1391" i="2"/>
  <c r="K1391" i="2" s="1"/>
  <c r="H1391" i="2"/>
  <c r="T1391" i="2" s="1"/>
  <c r="E1391" i="2"/>
  <c r="D1391" i="2"/>
  <c r="B1391" i="2"/>
  <c r="A1391" i="2"/>
  <c r="S1390" i="2"/>
  <c r="P1390" i="2"/>
  <c r="O1390" i="2"/>
  <c r="J1390" i="2"/>
  <c r="K1390" i="2" s="1"/>
  <c r="H1390" i="2"/>
  <c r="T1390" i="2" s="1"/>
  <c r="E1390" i="2"/>
  <c r="D1390" i="2"/>
  <c r="B1390" i="2"/>
  <c r="A1390" i="2"/>
  <c r="S1389" i="2"/>
  <c r="P1389" i="2"/>
  <c r="O1389" i="2"/>
  <c r="J1389" i="2"/>
  <c r="K1389" i="2" s="1"/>
  <c r="H1389" i="2"/>
  <c r="E1389" i="2"/>
  <c r="D1389" i="2"/>
  <c r="B1389" i="2"/>
  <c r="A1389" i="2"/>
  <c r="T1388" i="2"/>
  <c r="S1388" i="2"/>
  <c r="P1388" i="2"/>
  <c r="O1388" i="2"/>
  <c r="J1388" i="2"/>
  <c r="K1388" i="2" s="1"/>
  <c r="H1388" i="2"/>
  <c r="E1388" i="2"/>
  <c r="D1388" i="2"/>
  <c r="B1388" i="2"/>
  <c r="A1388" i="2"/>
  <c r="S1387" i="2"/>
  <c r="T1387" i="2" s="1"/>
  <c r="P1387" i="2"/>
  <c r="O1387" i="2"/>
  <c r="J1387" i="2"/>
  <c r="K1387" i="2" s="1"/>
  <c r="H1387" i="2"/>
  <c r="E1387" i="2"/>
  <c r="D1387" i="2"/>
  <c r="B1387" i="2"/>
  <c r="A1387" i="2"/>
  <c r="S1386" i="2"/>
  <c r="T1386" i="2" s="1"/>
  <c r="P1386" i="2"/>
  <c r="O1386" i="2"/>
  <c r="J1386" i="2"/>
  <c r="K1386" i="2" s="1"/>
  <c r="H1386" i="2"/>
  <c r="E1386" i="2"/>
  <c r="D1386" i="2"/>
  <c r="B1386" i="2"/>
  <c r="A1386" i="2"/>
  <c r="S1385" i="2"/>
  <c r="P1385" i="2"/>
  <c r="O1385" i="2"/>
  <c r="J1385" i="2"/>
  <c r="K1385" i="2" s="1"/>
  <c r="H1385" i="2"/>
  <c r="T1385" i="2" s="1"/>
  <c r="E1385" i="2"/>
  <c r="D1385" i="2"/>
  <c r="B1385" i="2"/>
  <c r="A1385" i="2"/>
  <c r="S1384" i="2"/>
  <c r="P1384" i="2"/>
  <c r="O1384" i="2"/>
  <c r="J1384" i="2"/>
  <c r="K1384" i="2" s="1"/>
  <c r="H1384" i="2"/>
  <c r="T1384" i="2" s="1"/>
  <c r="E1384" i="2"/>
  <c r="D1384" i="2"/>
  <c r="B1384" i="2"/>
  <c r="A1384" i="2"/>
  <c r="T1383" i="2"/>
  <c r="S1383" i="2"/>
  <c r="P1383" i="2"/>
  <c r="O1383" i="2"/>
  <c r="J1383" i="2"/>
  <c r="K1383" i="2" s="1"/>
  <c r="H1383" i="2"/>
  <c r="E1383" i="2"/>
  <c r="D1383" i="2"/>
  <c r="B1383" i="2"/>
  <c r="A1383" i="2"/>
  <c r="T1382" i="2"/>
  <c r="S1382" i="2"/>
  <c r="P1382" i="2"/>
  <c r="O1382" i="2"/>
  <c r="K1382" i="2"/>
  <c r="J1382" i="2"/>
  <c r="H1382" i="2"/>
  <c r="E1382" i="2"/>
  <c r="D1382" i="2"/>
  <c r="B1382" i="2"/>
  <c r="A1382" i="2"/>
  <c r="S1381" i="2"/>
  <c r="T1381" i="2" s="1"/>
  <c r="P1381" i="2"/>
  <c r="O1381" i="2"/>
  <c r="J1381" i="2"/>
  <c r="K1381" i="2" s="1"/>
  <c r="H1381" i="2"/>
  <c r="E1381" i="2"/>
  <c r="D1381" i="2"/>
  <c r="B1381" i="2"/>
  <c r="A1381" i="2"/>
  <c r="S1380" i="2"/>
  <c r="T1380" i="2" s="1"/>
  <c r="P1380" i="2"/>
  <c r="O1380" i="2"/>
  <c r="K1380" i="2"/>
  <c r="J1380" i="2"/>
  <c r="H1380" i="2"/>
  <c r="E1380" i="2"/>
  <c r="D1380" i="2"/>
  <c r="B1380" i="2"/>
  <c r="A1380" i="2"/>
  <c r="S1379" i="2"/>
  <c r="P1379" i="2"/>
  <c r="O1379" i="2"/>
  <c r="J1379" i="2"/>
  <c r="K1379" i="2" s="1"/>
  <c r="T1379" i="2" s="1"/>
  <c r="H1379" i="2"/>
  <c r="E1379" i="2"/>
  <c r="D1379" i="2"/>
  <c r="B1379" i="2"/>
  <c r="A1379" i="2"/>
  <c r="S1378" i="2"/>
  <c r="P1378" i="2"/>
  <c r="O1378" i="2"/>
  <c r="K1378" i="2"/>
  <c r="J1378" i="2"/>
  <c r="H1378" i="2"/>
  <c r="T1378" i="2" s="1"/>
  <c r="E1378" i="2"/>
  <c r="D1378" i="2"/>
  <c r="B1378" i="2"/>
  <c r="A1378" i="2"/>
  <c r="S1377" i="2"/>
  <c r="P1377" i="2"/>
  <c r="O1377" i="2"/>
  <c r="J1377" i="2"/>
  <c r="K1377" i="2" s="1"/>
  <c r="H1377" i="2"/>
  <c r="E1377" i="2"/>
  <c r="D1377" i="2"/>
  <c r="B1377" i="2"/>
  <c r="A1377" i="2"/>
  <c r="S1376" i="2"/>
  <c r="P1376" i="2"/>
  <c r="O1376" i="2"/>
  <c r="J1376" i="2"/>
  <c r="K1376" i="2" s="1"/>
  <c r="H1376" i="2"/>
  <c r="T1376" i="2" s="1"/>
  <c r="E1376" i="2"/>
  <c r="D1376" i="2"/>
  <c r="B1376" i="2"/>
  <c r="A1376" i="2"/>
  <c r="S1375" i="2"/>
  <c r="P1375" i="2"/>
  <c r="O1375" i="2"/>
  <c r="K1375" i="2"/>
  <c r="J1375" i="2"/>
  <c r="H1375" i="2"/>
  <c r="T1375" i="2" s="1"/>
  <c r="E1375" i="2"/>
  <c r="D1375" i="2"/>
  <c r="B1375" i="2"/>
  <c r="A1375" i="2"/>
  <c r="S1374" i="2"/>
  <c r="P1374" i="2"/>
  <c r="O1374" i="2"/>
  <c r="J1374" i="2"/>
  <c r="K1374" i="2" s="1"/>
  <c r="H1374" i="2"/>
  <c r="T1374" i="2" s="1"/>
  <c r="E1374" i="2"/>
  <c r="D1374" i="2"/>
  <c r="B1374" i="2"/>
  <c r="A1374" i="2"/>
  <c r="S1373" i="2"/>
  <c r="P1373" i="2"/>
  <c r="O1373" i="2"/>
  <c r="J1373" i="2"/>
  <c r="K1373" i="2" s="1"/>
  <c r="H1373" i="2"/>
  <c r="E1373" i="2"/>
  <c r="D1373" i="2"/>
  <c r="B1373" i="2"/>
  <c r="A1373" i="2"/>
  <c r="T1372" i="2"/>
  <c r="S1372" i="2"/>
  <c r="P1372" i="2"/>
  <c r="O1372" i="2"/>
  <c r="K1372" i="2"/>
  <c r="J1372" i="2"/>
  <c r="H1372" i="2"/>
  <c r="E1372" i="2"/>
  <c r="D1372" i="2"/>
  <c r="B1372" i="2"/>
  <c r="A1372" i="2"/>
  <c r="S1371" i="2"/>
  <c r="T1371" i="2" s="1"/>
  <c r="P1371" i="2"/>
  <c r="O1371" i="2"/>
  <c r="J1371" i="2"/>
  <c r="K1371" i="2" s="1"/>
  <c r="H1371" i="2"/>
  <c r="E1371" i="2"/>
  <c r="D1371" i="2"/>
  <c r="B1371" i="2"/>
  <c r="A1371" i="2"/>
  <c r="T1370" i="2"/>
  <c r="S1370" i="2"/>
  <c r="P1370" i="2"/>
  <c r="O1370" i="2"/>
  <c r="K1370" i="2"/>
  <c r="J1370" i="2"/>
  <c r="H1370" i="2"/>
  <c r="E1370" i="2"/>
  <c r="D1370" i="2"/>
  <c r="B1370" i="2"/>
  <c r="A1370" i="2"/>
  <c r="S1369" i="2"/>
  <c r="T1369" i="2" s="1"/>
  <c r="P1369" i="2"/>
  <c r="O1369" i="2"/>
  <c r="J1369" i="2"/>
  <c r="K1369" i="2" s="1"/>
  <c r="H1369" i="2"/>
  <c r="E1369" i="2"/>
  <c r="D1369" i="2"/>
  <c r="B1369" i="2"/>
  <c r="A1369" i="2"/>
  <c r="S1368" i="2"/>
  <c r="T1368" i="2" s="1"/>
  <c r="P1368" i="2"/>
  <c r="O1368" i="2"/>
  <c r="K1368" i="2"/>
  <c r="J1368" i="2"/>
  <c r="H1368" i="2"/>
  <c r="E1368" i="2"/>
  <c r="D1368" i="2"/>
  <c r="B1368" i="2"/>
  <c r="A1368" i="2"/>
  <c r="S1367" i="2"/>
  <c r="P1367" i="2"/>
  <c r="O1367" i="2"/>
  <c r="J1367" i="2"/>
  <c r="K1367" i="2" s="1"/>
  <c r="T1367" i="2" s="1"/>
  <c r="H1367" i="2"/>
  <c r="E1367" i="2"/>
  <c r="D1367" i="2"/>
  <c r="B1367" i="2"/>
  <c r="A1367" i="2"/>
  <c r="S1366" i="2"/>
  <c r="P1366" i="2"/>
  <c r="O1366" i="2"/>
  <c r="K1366" i="2"/>
  <c r="J1366" i="2"/>
  <c r="H1366" i="2"/>
  <c r="T1366" i="2" s="1"/>
  <c r="E1366" i="2"/>
  <c r="D1366" i="2"/>
  <c r="B1366" i="2"/>
  <c r="A1366" i="2"/>
  <c r="S1365" i="2"/>
  <c r="P1365" i="2"/>
  <c r="O1365" i="2"/>
  <c r="J1365" i="2"/>
  <c r="K1365" i="2" s="1"/>
  <c r="H1365" i="2"/>
  <c r="E1365" i="2"/>
  <c r="D1365" i="2"/>
  <c r="B1365" i="2"/>
  <c r="A1365" i="2"/>
  <c r="S1364" i="2"/>
  <c r="P1364" i="2"/>
  <c r="O1364" i="2"/>
  <c r="J1364" i="2"/>
  <c r="K1364" i="2" s="1"/>
  <c r="H1364" i="2"/>
  <c r="T1364" i="2" s="1"/>
  <c r="E1364" i="2"/>
  <c r="D1364" i="2"/>
  <c r="B1364" i="2"/>
  <c r="A1364" i="2"/>
  <c r="S1363" i="2"/>
  <c r="P1363" i="2"/>
  <c r="O1363" i="2"/>
  <c r="K1363" i="2"/>
  <c r="J1363" i="2"/>
  <c r="H1363" i="2"/>
  <c r="T1363" i="2" s="1"/>
  <c r="E1363" i="2"/>
  <c r="D1363" i="2"/>
  <c r="B1363" i="2"/>
  <c r="A1363" i="2"/>
  <c r="S1362" i="2"/>
  <c r="P1362" i="2"/>
  <c r="O1362" i="2"/>
  <c r="J1362" i="2"/>
  <c r="K1362" i="2" s="1"/>
  <c r="H1362" i="2"/>
  <c r="E1362" i="2"/>
  <c r="D1362" i="2"/>
  <c r="B1362" i="2"/>
  <c r="A1362" i="2"/>
  <c r="S1361" i="2"/>
  <c r="P1361" i="2"/>
  <c r="O1361" i="2"/>
  <c r="J1361" i="2"/>
  <c r="K1361" i="2" s="1"/>
  <c r="H1361" i="2"/>
  <c r="E1361" i="2"/>
  <c r="D1361" i="2"/>
  <c r="B1361" i="2"/>
  <c r="A1361" i="2"/>
  <c r="T1360" i="2"/>
  <c r="S1360" i="2"/>
  <c r="P1360" i="2"/>
  <c r="O1360" i="2"/>
  <c r="K1360" i="2"/>
  <c r="J1360" i="2"/>
  <c r="H1360" i="2"/>
  <c r="E1360" i="2"/>
  <c r="D1360" i="2"/>
  <c r="B1360" i="2"/>
  <c r="A1360" i="2"/>
  <c r="S1359" i="2"/>
  <c r="T1359" i="2" s="1"/>
  <c r="P1359" i="2"/>
  <c r="O1359" i="2"/>
  <c r="J1359" i="2"/>
  <c r="K1359" i="2" s="1"/>
  <c r="H1359" i="2"/>
  <c r="E1359" i="2"/>
  <c r="D1359" i="2"/>
  <c r="B1359" i="2"/>
  <c r="A1359" i="2"/>
  <c r="T1358" i="2"/>
  <c r="S1358" i="2"/>
  <c r="P1358" i="2"/>
  <c r="O1358" i="2"/>
  <c r="K1358" i="2"/>
  <c r="J1358" i="2"/>
  <c r="H1358" i="2"/>
  <c r="E1358" i="2"/>
  <c r="D1358" i="2"/>
  <c r="B1358" i="2"/>
  <c r="A1358" i="2"/>
  <c r="S1357" i="2"/>
  <c r="P1357" i="2"/>
  <c r="O1357" i="2"/>
  <c r="J1357" i="2"/>
  <c r="K1357" i="2" s="1"/>
  <c r="H1357" i="2"/>
  <c r="E1357" i="2"/>
  <c r="D1357" i="2"/>
  <c r="B1357" i="2"/>
  <c r="A1357" i="2"/>
  <c r="S1356" i="2"/>
  <c r="P1356" i="2"/>
  <c r="O1356" i="2"/>
  <c r="K1356" i="2"/>
  <c r="J1356" i="2"/>
  <c r="H1356" i="2"/>
  <c r="T1356" i="2" s="1"/>
  <c r="E1356" i="2"/>
  <c r="D1356" i="2"/>
  <c r="B1356" i="2"/>
  <c r="A1356" i="2"/>
  <c r="S1355" i="2"/>
  <c r="P1355" i="2"/>
  <c r="O1355" i="2"/>
  <c r="J1355" i="2"/>
  <c r="K1355" i="2" s="1"/>
  <c r="H1355" i="2"/>
  <c r="E1355" i="2"/>
  <c r="D1355" i="2"/>
  <c r="B1355" i="2"/>
  <c r="A1355" i="2"/>
  <c r="S1354" i="2"/>
  <c r="P1354" i="2"/>
  <c r="O1354" i="2"/>
  <c r="K1354" i="2"/>
  <c r="J1354" i="2"/>
  <c r="H1354" i="2"/>
  <c r="T1354" i="2" s="1"/>
  <c r="E1354" i="2"/>
  <c r="D1354" i="2"/>
  <c r="B1354" i="2"/>
  <c r="A1354" i="2"/>
  <c r="S1353" i="2"/>
  <c r="P1353" i="2"/>
  <c r="O1353" i="2"/>
  <c r="J1353" i="2"/>
  <c r="K1353" i="2" s="1"/>
  <c r="H1353" i="2"/>
  <c r="T1353" i="2" s="1"/>
  <c r="E1353" i="2"/>
  <c r="D1353" i="2"/>
  <c r="B1353" i="2"/>
  <c r="A1353" i="2"/>
  <c r="S1352" i="2"/>
  <c r="P1352" i="2"/>
  <c r="O1352" i="2"/>
  <c r="J1352" i="2"/>
  <c r="K1352" i="2" s="1"/>
  <c r="H1352" i="2"/>
  <c r="E1352" i="2"/>
  <c r="D1352" i="2"/>
  <c r="B1352" i="2"/>
  <c r="A1352" i="2"/>
  <c r="S1351" i="2"/>
  <c r="P1351" i="2"/>
  <c r="O1351" i="2"/>
  <c r="K1351" i="2"/>
  <c r="J1351" i="2"/>
  <c r="H1351" i="2"/>
  <c r="T1351" i="2" s="1"/>
  <c r="E1351" i="2"/>
  <c r="D1351" i="2"/>
  <c r="B1351" i="2"/>
  <c r="A1351" i="2"/>
  <c r="S1350" i="2"/>
  <c r="P1350" i="2"/>
  <c r="O1350" i="2"/>
  <c r="J1350" i="2"/>
  <c r="K1350" i="2" s="1"/>
  <c r="T1350" i="2" s="1"/>
  <c r="H1350" i="2"/>
  <c r="E1350" i="2"/>
  <c r="D1350" i="2"/>
  <c r="B1350" i="2"/>
  <c r="A1350" i="2"/>
  <c r="S1349" i="2"/>
  <c r="P1349" i="2"/>
  <c r="O1349" i="2"/>
  <c r="J1349" i="2"/>
  <c r="K1349" i="2" s="1"/>
  <c r="T1349" i="2" s="1"/>
  <c r="H1349" i="2"/>
  <c r="E1349" i="2"/>
  <c r="D1349" i="2"/>
  <c r="B1349" i="2"/>
  <c r="A1349" i="2"/>
  <c r="T1348" i="2"/>
  <c r="S1348" i="2"/>
  <c r="P1348" i="2"/>
  <c r="O1348" i="2"/>
  <c r="K1348" i="2"/>
  <c r="J1348" i="2"/>
  <c r="H1348" i="2"/>
  <c r="E1348" i="2"/>
  <c r="D1348" i="2"/>
  <c r="B1348" i="2"/>
  <c r="A1348" i="2"/>
  <c r="S1347" i="2"/>
  <c r="P1347" i="2"/>
  <c r="O1347" i="2"/>
  <c r="J1347" i="2"/>
  <c r="K1347" i="2" s="1"/>
  <c r="H1347" i="2"/>
  <c r="E1347" i="2"/>
  <c r="D1347" i="2"/>
  <c r="B1347" i="2"/>
  <c r="A1347" i="2"/>
  <c r="T1346" i="2"/>
  <c r="S1346" i="2"/>
  <c r="P1346" i="2"/>
  <c r="O1346" i="2"/>
  <c r="K1346" i="2"/>
  <c r="J1346" i="2"/>
  <c r="H1346" i="2"/>
  <c r="E1346" i="2"/>
  <c r="D1346" i="2"/>
  <c r="B1346" i="2"/>
  <c r="A1346" i="2"/>
  <c r="T1345" i="2"/>
  <c r="S1345" i="2"/>
  <c r="P1345" i="2"/>
  <c r="O1345" i="2"/>
  <c r="K1345" i="2"/>
  <c r="J1345" i="2"/>
  <c r="H1345" i="2"/>
  <c r="E1345" i="2"/>
  <c r="D1345" i="2"/>
  <c r="B1345" i="2"/>
  <c r="A1345" i="2"/>
  <c r="S1344" i="2"/>
  <c r="P1344" i="2"/>
  <c r="O1344" i="2"/>
  <c r="K1344" i="2"/>
  <c r="J1344" i="2"/>
  <c r="H1344" i="2"/>
  <c r="T1344" i="2" s="1"/>
  <c r="E1344" i="2"/>
  <c r="D1344" i="2"/>
  <c r="B1344" i="2"/>
  <c r="A1344" i="2"/>
  <c r="S1343" i="2"/>
  <c r="P1343" i="2"/>
  <c r="O1343" i="2"/>
  <c r="J1343" i="2"/>
  <c r="K1343" i="2" s="1"/>
  <c r="H1343" i="2"/>
  <c r="T1343" i="2" s="1"/>
  <c r="E1343" i="2"/>
  <c r="D1343" i="2"/>
  <c r="B1343" i="2"/>
  <c r="A1343" i="2"/>
  <c r="S1342" i="2"/>
  <c r="P1342" i="2"/>
  <c r="O1342" i="2"/>
  <c r="K1342" i="2"/>
  <c r="J1342" i="2"/>
  <c r="H1342" i="2"/>
  <c r="T1342" i="2" s="1"/>
  <c r="E1342" i="2"/>
  <c r="D1342" i="2"/>
  <c r="B1342" i="2"/>
  <c r="A1342" i="2"/>
  <c r="S1341" i="2"/>
  <c r="P1341" i="2"/>
  <c r="O1341" i="2"/>
  <c r="K1341" i="2"/>
  <c r="J1341" i="2"/>
  <c r="H1341" i="2"/>
  <c r="T1341" i="2" s="1"/>
  <c r="E1341" i="2"/>
  <c r="D1341" i="2"/>
  <c r="B1341" i="2"/>
  <c r="A1341" i="2"/>
  <c r="S1340" i="2"/>
  <c r="P1340" i="2"/>
  <c r="O1340" i="2"/>
  <c r="J1340" i="2"/>
  <c r="K1340" i="2" s="1"/>
  <c r="H1340" i="2"/>
  <c r="E1340" i="2"/>
  <c r="D1340" i="2"/>
  <c r="B1340" i="2"/>
  <c r="A1340" i="2"/>
  <c r="S1339" i="2"/>
  <c r="P1339" i="2"/>
  <c r="O1339" i="2"/>
  <c r="K1339" i="2"/>
  <c r="J1339" i="2"/>
  <c r="H1339" i="2"/>
  <c r="T1339" i="2" s="1"/>
  <c r="E1339" i="2"/>
  <c r="D1339" i="2"/>
  <c r="B1339" i="2"/>
  <c r="A1339" i="2"/>
  <c r="S1338" i="2"/>
  <c r="P1338" i="2"/>
  <c r="O1338" i="2"/>
  <c r="J1338" i="2"/>
  <c r="K1338" i="2" s="1"/>
  <c r="T1338" i="2" s="1"/>
  <c r="H1338" i="2"/>
  <c r="E1338" i="2"/>
  <c r="D1338" i="2"/>
  <c r="B1338" i="2"/>
  <c r="A1338" i="2"/>
  <c r="S1337" i="2"/>
  <c r="P1337" i="2"/>
  <c r="O1337" i="2"/>
  <c r="J1337" i="2"/>
  <c r="K1337" i="2" s="1"/>
  <c r="T1337" i="2" s="1"/>
  <c r="H1337" i="2"/>
  <c r="E1337" i="2"/>
  <c r="D1337" i="2"/>
  <c r="B1337" i="2"/>
  <c r="A1337" i="2"/>
  <c r="T1336" i="2"/>
  <c r="S1336" i="2"/>
  <c r="P1336" i="2"/>
  <c r="O1336" i="2"/>
  <c r="K1336" i="2"/>
  <c r="J1336" i="2"/>
  <c r="H1336" i="2"/>
  <c r="E1336" i="2"/>
  <c r="D1336" i="2"/>
  <c r="B1336" i="2"/>
  <c r="A1336" i="2"/>
  <c r="S1335" i="2"/>
  <c r="T1335" i="2" s="1"/>
  <c r="P1335" i="2"/>
  <c r="O1335" i="2"/>
  <c r="J1335" i="2"/>
  <c r="K1335" i="2" s="1"/>
  <c r="H1335" i="2"/>
  <c r="E1335" i="2"/>
  <c r="D1335" i="2"/>
  <c r="B1335" i="2"/>
  <c r="A1335" i="2"/>
  <c r="T1334" i="2"/>
  <c r="S1334" i="2"/>
  <c r="P1334" i="2"/>
  <c r="O1334" i="2"/>
  <c r="K1334" i="2"/>
  <c r="J1334" i="2"/>
  <c r="H1334" i="2"/>
  <c r="E1334" i="2"/>
  <c r="D1334" i="2"/>
  <c r="B1334" i="2"/>
  <c r="A1334" i="2"/>
  <c r="T1333" i="2"/>
  <c r="S1333" i="2"/>
  <c r="P1333" i="2"/>
  <c r="O1333" i="2"/>
  <c r="K1333" i="2"/>
  <c r="J1333" i="2"/>
  <c r="H1333" i="2"/>
  <c r="E1333" i="2"/>
  <c r="D1333" i="2"/>
  <c r="B1333" i="2"/>
  <c r="A1333" i="2"/>
  <c r="S1332" i="2"/>
  <c r="P1332" i="2"/>
  <c r="O1332" i="2"/>
  <c r="K1332" i="2"/>
  <c r="J1332" i="2"/>
  <c r="H1332" i="2"/>
  <c r="T1332" i="2" s="1"/>
  <c r="E1332" i="2"/>
  <c r="D1332" i="2"/>
  <c r="B1332" i="2"/>
  <c r="A1332" i="2"/>
  <c r="S1331" i="2"/>
  <c r="P1331" i="2"/>
  <c r="O1331" i="2"/>
  <c r="J1331" i="2"/>
  <c r="K1331" i="2" s="1"/>
  <c r="H1331" i="2"/>
  <c r="T1331" i="2" s="1"/>
  <c r="E1331" i="2"/>
  <c r="D1331" i="2"/>
  <c r="B1331" i="2"/>
  <c r="A1331" i="2"/>
  <c r="S1330" i="2"/>
  <c r="P1330" i="2"/>
  <c r="O1330" i="2"/>
  <c r="K1330" i="2"/>
  <c r="J1330" i="2"/>
  <c r="H1330" i="2"/>
  <c r="T1330" i="2" s="1"/>
  <c r="E1330" i="2"/>
  <c r="D1330" i="2"/>
  <c r="B1330" i="2"/>
  <c r="A1330" i="2"/>
  <c r="S1329" i="2"/>
  <c r="P1329" i="2"/>
  <c r="O1329" i="2"/>
  <c r="K1329" i="2"/>
  <c r="J1329" i="2"/>
  <c r="H1329" i="2"/>
  <c r="T1329" i="2" s="1"/>
  <c r="E1329" i="2"/>
  <c r="D1329" i="2"/>
  <c r="B1329" i="2"/>
  <c r="A1329" i="2"/>
  <c r="S1328" i="2"/>
  <c r="P1328" i="2"/>
  <c r="O1328" i="2"/>
  <c r="J1328" i="2"/>
  <c r="K1328" i="2" s="1"/>
  <c r="H1328" i="2"/>
  <c r="E1328" i="2"/>
  <c r="D1328" i="2"/>
  <c r="B1328" i="2"/>
  <c r="A1328" i="2"/>
  <c r="S1327" i="2"/>
  <c r="P1327" i="2"/>
  <c r="O1327" i="2"/>
  <c r="K1327" i="2"/>
  <c r="J1327" i="2"/>
  <c r="H1327" i="2"/>
  <c r="T1327" i="2" s="1"/>
  <c r="E1327" i="2"/>
  <c r="D1327" i="2"/>
  <c r="B1327" i="2"/>
  <c r="A1327" i="2"/>
  <c r="S1326" i="2"/>
  <c r="P1326" i="2"/>
  <c r="O1326" i="2"/>
  <c r="J1326" i="2"/>
  <c r="K1326" i="2" s="1"/>
  <c r="T1326" i="2" s="1"/>
  <c r="H1326" i="2"/>
  <c r="E1326" i="2"/>
  <c r="D1326" i="2"/>
  <c r="B1326" i="2"/>
  <c r="A1326" i="2"/>
  <c r="S1325" i="2"/>
  <c r="P1325" i="2"/>
  <c r="O1325" i="2"/>
  <c r="J1325" i="2"/>
  <c r="K1325" i="2" s="1"/>
  <c r="T1325" i="2" s="1"/>
  <c r="H1325" i="2"/>
  <c r="E1325" i="2"/>
  <c r="D1325" i="2"/>
  <c r="B1325" i="2"/>
  <c r="A1325" i="2"/>
  <c r="T1324" i="2"/>
  <c r="S1324" i="2"/>
  <c r="P1324" i="2"/>
  <c r="O1324" i="2"/>
  <c r="K1324" i="2"/>
  <c r="J1324" i="2"/>
  <c r="H1324" i="2"/>
  <c r="E1324" i="2"/>
  <c r="D1324" i="2"/>
  <c r="B1324" i="2"/>
  <c r="A1324" i="2"/>
  <c r="S1323" i="2"/>
  <c r="T1323" i="2" s="1"/>
  <c r="P1323" i="2"/>
  <c r="O1323" i="2"/>
  <c r="J1323" i="2"/>
  <c r="K1323" i="2" s="1"/>
  <c r="H1323" i="2"/>
  <c r="E1323" i="2"/>
  <c r="D1323" i="2"/>
  <c r="B1323" i="2"/>
  <c r="A1323" i="2"/>
  <c r="T1322" i="2"/>
  <c r="S1322" i="2"/>
  <c r="P1322" i="2"/>
  <c r="O1322" i="2"/>
  <c r="K1322" i="2"/>
  <c r="J1322" i="2"/>
  <c r="H1322" i="2"/>
  <c r="E1322" i="2"/>
  <c r="D1322" i="2"/>
  <c r="B1322" i="2"/>
  <c r="A1322" i="2"/>
  <c r="T1321" i="2"/>
  <c r="S1321" i="2"/>
  <c r="P1321" i="2"/>
  <c r="O1321" i="2"/>
  <c r="K1321" i="2"/>
  <c r="J1321" i="2"/>
  <c r="H1321" i="2"/>
  <c r="E1321" i="2"/>
  <c r="D1321" i="2"/>
  <c r="B1321" i="2"/>
  <c r="A1321" i="2"/>
  <c r="S1320" i="2"/>
  <c r="P1320" i="2"/>
  <c r="O1320" i="2"/>
  <c r="K1320" i="2"/>
  <c r="J1320" i="2"/>
  <c r="H1320" i="2"/>
  <c r="E1320" i="2"/>
  <c r="D1320" i="2"/>
  <c r="B1320" i="2"/>
  <c r="A1320" i="2"/>
  <c r="S1319" i="2"/>
  <c r="P1319" i="2"/>
  <c r="O1319" i="2"/>
  <c r="J1319" i="2"/>
  <c r="K1319" i="2" s="1"/>
  <c r="H1319" i="2"/>
  <c r="T1319" i="2" s="1"/>
  <c r="E1319" i="2"/>
  <c r="D1319" i="2"/>
  <c r="B1319" i="2"/>
  <c r="A1319" i="2"/>
  <c r="S1318" i="2"/>
  <c r="P1318" i="2"/>
  <c r="O1318" i="2"/>
  <c r="K1318" i="2"/>
  <c r="J1318" i="2"/>
  <c r="H1318" i="2"/>
  <c r="T1318" i="2" s="1"/>
  <c r="E1318" i="2"/>
  <c r="D1318" i="2"/>
  <c r="B1318" i="2"/>
  <c r="A1318" i="2"/>
  <c r="S1317" i="2"/>
  <c r="P1317" i="2"/>
  <c r="O1317" i="2"/>
  <c r="K1317" i="2"/>
  <c r="J1317" i="2"/>
  <c r="H1317" i="2"/>
  <c r="E1317" i="2"/>
  <c r="D1317" i="2"/>
  <c r="B1317" i="2"/>
  <c r="A1317" i="2"/>
  <c r="S1316" i="2"/>
  <c r="P1316" i="2"/>
  <c r="O1316" i="2"/>
  <c r="J1316" i="2"/>
  <c r="K1316" i="2" s="1"/>
  <c r="H1316" i="2"/>
  <c r="T1316" i="2" s="1"/>
  <c r="E1316" i="2"/>
  <c r="D1316" i="2"/>
  <c r="B1316" i="2"/>
  <c r="A1316" i="2"/>
  <c r="S1315" i="2"/>
  <c r="P1315" i="2"/>
  <c r="O1315" i="2"/>
  <c r="K1315" i="2"/>
  <c r="J1315" i="2"/>
  <c r="H1315" i="2"/>
  <c r="T1315" i="2" s="1"/>
  <c r="E1315" i="2"/>
  <c r="D1315" i="2"/>
  <c r="B1315" i="2"/>
  <c r="A1315" i="2"/>
  <c r="S1314" i="2"/>
  <c r="P1314" i="2"/>
  <c r="O1314" i="2"/>
  <c r="K1314" i="2"/>
  <c r="J1314" i="2"/>
  <c r="H1314" i="2"/>
  <c r="T1314" i="2" s="1"/>
  <c r="E1314" i="2"/>
  <c r="D1314" i="2"/>
  <c r="B1314" i="2"/>
  <c r="A1314" i="2"/>
  <c r="S1313" i="2"/>
  <c r="P1313" i="2"/>
  <c r="O1313" i="2"/>
  <c r="K1313" i="2"/>
  <c r="J1313" i="2"/>
  <c r="H1313" i="2"/>
  <c r="T1313" i="2" s="1"/>
  <c r="E1313" i="2"/>
  <c r="D1313" i="2"/>
  <c r="B1313" i="2"/>
  <c r="A1313" i="2"/>
  <c r="S1312" i="2"/>
  <c r="P1312" i="2"/>
  <c r="O1312" i="2"/>
  <c r="K1312" i="2"/>
  <c r="J1312" i="2"/>
  <c r="H1312" i="2"/>
  <c r="T1312" i="2" s="1"/>
  <c r="E1312" i="2"/>
  <c r="D1312" i="2"/>
  <c r="B1312" i="2"/>
  <c r="A1312" i="2"/>
  <c r="S1311" i="2"/>
  <c r="P1311" i="2"/>
  <c r="O1311" i="2"/>
  <c r="K1311" i="2"/>
  <c r="J1311" i="2"/>
  <c r="H1311" i="2"/>
  <c r="T1311" i="2" s="1"/>
  <c r="E1311" i="2"/>
  <c r="D1311" i="2"/>
  <c r="B1311" i="2"/>
  <c r="A1311" i="2"/>
  <c r="S1310" i="2"/>
  <c r="P1310" i="2"/>
  <c r="O1310" i="2"/>
  <c r="K1310" i="2"/>
  <c r="J1310" i="2"/>
  <c r="H1310" i="2"/>
  <c r="T1310" i="2" s="1"/>
  <c r="E1310" i="2"/>
  <c r="D1310" i="2"/>
  <c r="B1310" i="2"/>
  <c r="A1310" i="2"/>
  <c r="S1309" i="2"/>
  <c r="P1309" i="2"/>
  <c r="O1309" i="2"/>
  <c r="K1309" i="2"/>
  <c r="J1309" i="2"/>
  <c r="H1309" i="2"/>
  <c r="T1309" i="2" s="1"/>
  <c r="E1309" i="2"/>
  <c r="D1309" i="2"/>
  <c r="B1309" i="2"/>
  <c r="A1309" i="2"/>
  <c r="S1308" i="2"/>
  <c r="P1308" i="2"/>
  <c r="O1308" i="2"/>
  <c r="K1308" i="2"/>
  <c r="J1308" i="2"/>
  <c r="H1308" i="2"/>
  <c r="T1308" i="2" s="1"/>
  <c r="E1308" i="2"/>
  <c r="D1308" i="2"/>
  <c r="B1308" i="2"/>
  <c r="A1308" i="2"/>
  <c r="S1307" i="2"/>
  <c r="P1307" i="2"/>
  <c r="O1307" i="2"/>
  <c r="K1307" i="2"/>
  <c r="J1307" i="2"/>
  <c r="H1307" i="2"/>
  <c r="T1307" i="2" s="1"/>
  <c r="E1307" i="2"/>
  <c r="D1307" i="2"/>
  <c r="B1307" i="2"/>
  <c r="A1307" i="2"/>
  <c r="S1306" i="2"/>
  <c r="P1306" i="2"/>
  <c r="O1306" i="2"/>
  <c r="K1306" i="2"/>
  <c r="J1306" i="2"/>
  <c r="H1306" i="2"/>
  <c r="T1306" i="2" s="1"/>
  <c r="E1306" i="2"/>
  <c r="D1306" i="2"/>
  <c r="B1306" i="2"/>
  <c r="A1306" i="2"/>
  <c r="S1305" i="2"/>
  <c r="P1305" i="2"/>
  <c r="O1305" i="2"/>
  <c r="K1305" i="2"/>
  <c r="J1305" i="2"/>
  <c r="H1305" i="2"/>
  <c r="T1305" i="2" s="1"/>
  <c r="E1305" i="2"/>
  <c r="D1305" i="2"/>
  <c r="B1305" i="2"/>
  <c r="A1305" i="2"/>
  <c r="S1304" i="2"/>
  <c r="P1304" i="2"/>
  <c r="O1304" i="2"/>
  <c r="K1304" i="2"/>
  <c r="J1304" i="2"/>
  <c r="H1304" i="2"/>
  <c r="T1304" i="2" s="1"/>
  <c r="E1304" i="2"/>
  <c r="D1304" i="2"/>
  <c r="B1304" i="2"/>
  <c r="A1304" i="2"/>
  <c r="S1303" i="2"/>
  <c r="P1303" i="2"/>
  <c r="O1303" i="2"/>
  <c r="K1303" i="2"/>
  <c r="J1303" i="2"/>
  <c r="H1303" i="2"/>
  <c r="T1303" i="2" s="1"/>
  <c r="E1303" i="2"/>
  <c r="D1303" i="2"/>
  <c r="B1303" i="2"/>
  <c r="A1303" i="2"/>
  <c r="S1302" i="2"/>
  <c r="P1302" i="2"/>
  <c r="O1302" i="2"/>
  <c r="K1302" i="2"/>
  <c r="J1302" i="2"/>
  <c r="H1302" i="2"/>
  <c r="T1302" i="2" s="1"/>
  <c r="E1302" i="2"/>
  <c r="D1302" i="2"/>
  <c r="B1302" i="2"/>
  <c r="A1302" i="2"/>
  <c r="S1301" i="2"/>
  <c r="P1301" i="2"/>
  <c r="O1301" i="2"/>
  <c r="K1301" i="2"/>
  <c r="J1301" i="2"/>
  <c r="H1301" i="2"/>
  <c r="T1301" i="2" s="1"/>
  <c r="E1301" i="2"/>
  <c r="D1301" i="2"/>
  <c r="B1301" i="2"/>
  <c r="A1301" i="2"/>
  <c r="S1300" i="2"/>
  <c r="P1300" i="2"/>
  <c r="O1300" i="2"/>
  <c r="K1300" i="2"/>
  <c r="J1300" i="2"/>
  <c r="H1300" i="2"/>
  <c r="T1300" i="2" s="1"/>
  <c r="E1300" i="2"/>
  <c r="D1300" i="2"/>
  <c r="B1300" i="2"/>
  <c r="A1300" i="2"/>
  <c r="S1299" i="2"/>
  <c r="P1299" i="2"/>
  <c r="O1299" i="2"/>
  <c r="K1299" i="2"/>
  <c r="J1299" i="2"/>
  <c r="H1299" i="2"/>
  <c r="T1299" i="2" s="1"/>
  <c r="E1299" i="2"/>
  <c r="D1299" i="2"/>
  <c r="B1299" i="2"/>
  <c r="A1299" i="2"/>
  <c r="S1298" i="2"/>
  <c r="P1298" i="2"/>
  <c r="O1298" i="2"/>
  <c r="K1298" i="2"/>
  <c r="J1298" i="2"/>
  <c r="H1298" i="2"/>
  <c r="T1298" i="2" s="1"/>
  <c r="E1298" i="2"/>
  <c r="D1298" i="2"/>
  <c r="B1298" i="2"/>
  <c r="A1298" i="2"/>
  <c r="S1297" i="2"/>
  <c r="P1297" i="2"/>
  <c r="O1297" i="2"/>
  <c r="K1297" i="2"/>
  <c r="J1297" i="2"/>
  <c r="H1297" i="2"/>
  <c r="T1297" i="2" s="1"/>
  <c r="E1297" i="2"/>
  <c r="D1297" i="2"/>
  <c r="B1297" i="2"/>
  <c r="A1297" i="2"/>
  <c r="S1296" i="2"/>
  <c r="P1296" i="2"/>
  <c r="O1296" i="2"/>
  <c r="K1296" i="2"/>
  <c r="J1296" i="2"/>
  <c r="H1296" i="2"/>
  <c r="T1296" i="2" s="1"/>
  <c r="E1296" i="2"/>
  <c r="D1296" i="2"/>
  <c r="B1296" i="2"/>
  <c r="A1296" i="2"/>
  <c r="S1295" i="2"/>
  <c r="P1295" i="2"/>
  <c r="O1295" i="2"/>
  <c r="K1295" i="2"/>
  <c r="J1295" i="2"/>
  <c r="H1295" i="2"/>
  <c r="T1295" i="2" s="1"/>
  <c r="E1295" i="2"/>
  <c r="D1295" i="2"/>
  <c r="B1295" i="2"/>
  <c r="A1295" i="2"/>
  <c r="S1294" i="2"/>
  <c r="P1294" i="2"/>
  <c r="O1294" i="2"/>
  <c r="K1294" i="2"/>
  <c r="J1294" i="2"/>
  <c r="H1294" i="2"/>
  <c r="T1294" i="2" s="1"/>
  <c r="E1294" i="2"/>
  <c r="D1294" i="2"/>
  <c r="B1294" i="2"/>
  <c r="A1294" i="2"/>
  <c r="S1293" i="2"/>
  <c r="P1293" i="2"/>
  <c r="O1293" i="2"/>
  <c r="K1293" i="2"/>
  <c r="J1293" i="2"/>
  <c r="H1293" i="2"/>
  <c r="T1293" i="2" s="1"/>
  <c r="E1293" i="2"/>
  <c r="D1293" i="2"/>
  <c r="B1293" i="2"/>
  <c r="A1293" i="2"/>
  <c r="S1292" i="2"/>
  <c r="P1292" i="2"/>
  <c r="O1292" i="2"/>
  <c r="K1292" i="2"/>
  <c r="J1292" i="2"/>
  <c r="H1292" i="2"/>
  <c r="T1292" i="2" s="1"/>
  <c r="E1292" i="2"/>
  <c r="D1292" i="2"/>
  <c r="B1292" i="2"/>
  <c r="A1292" i="2"/>
  <c r="S1291" i="2"/>
  <c r="P1291" i="2"/>
  <c r="O1291" i="2"/>
  <c r="K1291" i="2"/>
  <c r="J1291" i="2"/>
  <c r="H1291" i="2"/>
  <c r="T1291" i="2" s="1"/>
  <c r="E1291" i="2"/>
  <c r="D1291" i="2"/>
  <c r="B1291" i="2"/>
  <c r="A1291" i="2"/>
  <c r="S1290" i="2"/>
  <c r="P1290" i="2"/>
  <c r="O1290" i="2"/>
  <c r="K1290" i="2"/>
  <c r="J1290" i="2"/>
  <c r="H1290" i="2"/>
  <c r="T1290" i="2" s="1"/>
  <c r="E1290" i="2"/>
  <c r="D1290" i="2"/>
  <c r="B1290" i="2"/>
  <c r="A1290" i="2"/>
  <c r="S1289" i="2"/>
  <c r="P1289" i="2"/>
  <c r="O1289" i="2"/>
  <c r="K1289" i="2"/>
  <c r="J1289" i="2"/>
  <c r="H1289" i="2"/>
  <c r="T1289" i="2" s="1"/>
  <c r="E1289" i="2"/>
  <c r="D1289" i="2"/>
  <c r="B1289" i="2"/>
  <c r="A1289" i="2"/>
  <c r="S1288" i="2"/>
  <c r="P1288" i="2"/>
  <c r="O1288" i="2"/>
  <c r="K1288" i="2"/>
  <c r="J1288" i="2"/>
  <c r="H1288" i="2"/>
  <c r="T1288" i="2" s="1"/>
  <c r="E1288" i="2"/>
  <c r="D1288" i="2"/>
  <c r="B1288" i="2"/>
  <c r="A1288" i="2"/>
  <c r="S1287" i="2"/>
  <c r="P1287" i="2"/>
  <c r="O1287" i="2"/>
  <c r="K1287" i="2"/>
  <c r="J1287" i="2"/>
  <c r="H1287" i="2"/>
  <c r="T1287" i="2" s="1"/>
  <c r="E1287" i="2"/>
  <c r="D1287" i="2"/>
  <c r="B1287" i="2"/>
  <c r="A1287" i="2"/>
  <c r="S1286" i="2"/>
  <c r="P1286" i="2"/>
  <c r="O1286" i="2"/>
  <c r="K1286" i="2"/>
  <c r="J1286" i="2"/>
  <c r="H1286" i="2"/>
  <c r="T1286" i="2" s="1"/>
  <c r="E1286" i="2"/>
  <c r="D1286" i="2"/>
  <c r="B1286" i="2"/>
  <c r="A1286" i="2"/>
  <c r="S1285" i="2"/>
  <c r="P1285" i="2"/>
  <c r="O1285" i="2"/>
  <c r="K1285" i="2"/>
  <c r="J1285" i="2"/>
  <c r="H1285" i="2"/>
  <c r="T1285" i="2" s="1"/>
  <c r="E1285" i="2"/>
  <c r="D1285" i="2"/>
  <c r="B1285" i="2"/>
  <c r="A1285" i="2"/>
  <c r="S1284" i="2"/>
  <c r="P1284" i="2"/>
  <c r="O1284" i="2"/>
  <c r="K1284" i="2"/>
  <c r="J1284" i="2"/>
  <c r="H1284" i="2"/>
  <c r="T1284" i="2" s="1"/>
  <c r="E1284" i="2"/>
  <c r="D1284" i="2"/>
  <c r="B1284" i="2"/>
  <c r="A1284" i="2"/>
  <c r="V1283" i="2"/>
  <c r="U1283" i="2"/>
  <c r="S1283" i="2"/>
  <c r="P1283" i="2"/>
  <c r="O1283" i="2"/>
  <c r="K1283" i="2"/>
  <c r="J1283" i="2"/>
  <c r="H1283" i="2"/>
  <c r="T1283" i="2" s="1"/>
  <c r="E1283" i="2"/>
  <c r="D1283" i="2"/>
  <c r="B1283" i="2"/>
  <c r="A1283" i="2"/>
  <c r="V1282" i="2"/>
  <c r="U1282" i="2"/>
  <c r="S1282" i="2"/>
  <c r="P1282" i="2"/>
  <c r="O1282" i="2"/>
  <c r="J1282" i="2"/>
  <c r="K1282" i="2" s="1"/>
  <c r="H1282" i="2"/>
  <c r="E1282" i="2"/>
  <c r="D1282" i="2"/>
  <c r="B1282" i="2"/>
  <c r="A1282" i="2"/>
  <c r="V1281" i="2"/>
  <c r="U1281" i="2"/>
  <c r="T1281" i="2"/>
  <c r="S1281" i="2"/>
  <c r="P1281" i="2"/>
  <c r="O1281" i="2"/>
  <c r="K1281" i="2"/>
  <c r="J1281" i="2"/>
  <c r="H1281" i="2"/>
  <c r="E1281" i="2"/>
  <c r="D1281" i="2"/>
  <c r="B1281" i="2"/>
  <c r="A1281" i="2"/>
  <c r="V1280" i="2"/>
  <c r="U1280" i="2"/>
  <c r="S1280" i="2"/>
  <c r="P1280" i="2"/>
  <c r="T1280" i="2" s="1"/>
  <c r="O1280" i="2"/>
  <c r="J1280" i="2"/>
  <c r="K1280" i="2" s="1"/>
  <c r="H1280" i="2"/>
  <c r="E1280" i="2"/>
  <c r="D1280" i="2"/>
  <c r="B1280" i="2"/>
  <c r="A1280" i="2"/>
  <c r="V1279" i="2"/>
  <c r="U1279" i="2"/>
  <c r="S1279" i="2"/>
  <c r="P1279" i="2"/>
  <c r="O1279" i="2"/>
  <c r="J1279" i="2"/>
  <c r="K1279" i="2" s="1"/>
  <c r="T1279" i="2" s="1"/>
  <c r="H1279" i="2"/>
  <c r="E1279" i="2"/>
  <c r="D1279" i="2"/>
  <c r="B1279" i="2"/>
  <c r="A1279" i="2"/>
  <c r="V1278" i="2"/>
  <c r="U1278" i="2"/>
  <c r="S1278" i="2"/>
  <c r="P1278" i="2"/>
  <c r="O1278" i="2"/>
  <c r="K1278" i="2"/>
  <c r="J1278" i="2"/>
  <c r="H1278" i="2"/>
  <c r="T1278" i="2" s="1"/>
  <c r="E1278" i="2"/>
  <c r="D1278" i="2"/>
  <c r="B1278" i="2"/>
  <c r="A1278" i="2"/>
  <c r="V1277" i="2"/>
  <c r="U1277" i="2"/>
  <c r="S1277" i="2"/>
  <c r="P1277" i="2"/>
  <c r="O1277" i="2"/>
  <c r="K1277" i="2"/>
  <c r="J1277" i="2"/>
  <c r="H1277" i="2"/>
  <c r="E1277" i="2"/>
  <c r="D1277" i="2"/>
  <c r="B1277" i="2"/>
  <c r="A1277" i="2"/>
  <c r="V1276" i="2"/>
  <c r="U1276" i="2"/>
  <c r="S1276" i="2"/>
  <c r="P1276" i="2"/>
  <c r="O1276" i="2"/>
  <c r="J1276" i="2"/>
  <c r="K1276" i="2" s="1"/>
  <c r="H1276" i="2"/>
  <c r="E1276" i="2"/>
  <c r="D1276" i="2"/>
  <c r="B1276" i="2"/>
  <c r="A1276" i="2"/>
  <c r="V1275" i="2"/>
  <c r="U1275" i="2"/>
  <c r="T1275" i="2"/>
  <c r="S1275" i="2"/>
  <c r="P1275" i="2"/>
  <c r="O1275" i="2"/>
  <c r="K1275" i="2"/>
  <c r="J1275" i="2"/>
  <c r="H1275" i="2"/>
  <c r="E1275" i="2"/>
  <c r="D1275" i="2"/>
  <c r="B1275" i="2"/>
  <c r="A1275" i="2"/>
  <c r="V1274" i="2"/>
  <c r="U1274" i="2"/>
  <c r="S1274" i="2"/>
  <c r="P1274" i="2"/>
  <c r="O1274" i="2"/>
  <c r="J1274" i="2"/>
  <c r="K1274" i="2" s="1"/>
  <c r="H1274" i="2"/>
  <c r="E1274" i="2"/>
  <c r="D1274" i="2"/>
  <c r="B1274" i="2"/>
  <c r="A1274" i="2"/>
  <c r="V1273" i="2"/>
  <c r="U1273" i="2"/>
  <c r="S1273" i="2"/>
  <c r="P1273" i="2"/>
  <c r="O1273" i="2"/>
  <c r="J1273" i="2"/>
  <c r="K1273" i="2" s="1"/>
  <c r="T1273" i="2" s="1"/>
  <c r="H1273" i="2"/>
  <c r="E1273" i="2"/>
  <c r="D1273" i="2"/>
  <c r="B1273" i="2"/>
  <c r="A1273" i="2"/>
  <c r="V1272" i="2"/>
  <c r="U1272" i="2"/>
  <c r="S1272" i="2"/>
  <c r="P1272" i="2"/>
  <c r="O1272" i="2"/>
  <c r="K1272" i="2"/>
  <c r="J1272" i="2"/>
  <c r="H1272" i="2"/>
  <c r="T1272" i="2" s="1"/>
  <c r="E1272" i="2"/>
  <c r="D1272" i="2"/>
  <c r="B1272" i="2"/>
  <c r="A1272" i="2"/>
  <c r="V1271" i="2"/>
  <c r="U1271" i="2"/>
  <c r="S1271" i="2"/>
  <c r="P1271" i="2"/>
  <c r="O1271" i="2"/>
  <c r="K1271" i="2"/>
  <c r="J1271" i="2"/>
  <c r="H1271" i="2"/>
  <c r="T1271" i="2" s="1"/>
  <c r="E1271" i="2"/>
  <c r="D1271" i="2"/>
  <c r="B1271" i="2"/>
  <c r="A1271" i="2"/>
  <c r="V1270" i="2"/>
  <c r="U1270" i="2"/>
  <c r="S1270" i="2"/>
  <c r="P1270" i="2"/>
  <c r="O1270" i="2"/>
  <c r="J1270" i="2"/>
  <c r="K1270" i="2" s="1"/>
  <c r="H1270" i="2"/>
  <c r="E1270" i="2"/>
  <c r="D1270" i="2"/>
  <c r="B1270" i="2"/>
  <c r="A1270" i="2"/>
  <c r="V1269" i="2"/>
  <c r="U1269" i="2"/>
  <c r="T1269" i="2"/>
  <c r="S1269" i="2"/>
  <c r="P1269" i="2"/>
  <c r="O1269" i="2"/>
  <c r="K1269" i="2"/>
  <c r="J1269" i="2"/>
  <c r="H1269" i="2"/>
  <c r="E1269" i="2"/>
  <c r="D1269" i="2"/>
  <c r="B1269" i="2"/>
  <c r="A1269" i="2"/>
  <c r="V1268" i="2"/>
  <c r="U1268" i="2"/>
  <c r="S1268" i="2"/>
  <c r="P1268" i="2"/>
  <c r="O1268" i="2"/>
  <c r="J1268" i="2"/>
  <c r="K1268" i="2" s="1"/>
  <c r="H1268" i="2"/>
  <c r="E1268" i="2"/>
  <c r="D1268" i="2"/>
  <c r="B1268" i="2"/>
  <c r="A1268" i="2"/>
  <c r="V1267" i="2"/>
  <c r="U1267" i="2"/>
  <c r="S1267" i="2"/>
  <c r="P1267" i="2"/>
  <c r="O1267" i="2"/>
  <c r="J1267" i="2"/>
  <c r="K1267" i="2" s="1"/>
  <c r="T1267" i="2" s="1"/>
  <c r="H1267" i="2"/>
  <c r="E1267" i="2"/>
  <c r="D1267" i="2"/>
  <c r="B1267" i="2"/>
  <c r="A1267" i="2"/>
  <c r="V1266" i="2"/>
  <c r="U1266" i="2"/>
  <c r="S1266" i="2"/>
  <c r="P1266" i="2"/>
  <c r="O1266" i="2"/>
  <c r="K1266" i="2"/>
  <c r="J1266" i="2"/>
  <c r="H1266" i="2"/>
  <c r="T1266" i="2" s="1"/>
  <c r="E1266" i="2"/>
  <c r="D1266" i="2"/>
  <c r="B1266" i="2"/>
  <c r="A1266" i="2"/>
  <c r="S1265" i="2"/>
  <c r="P1265" i="2"/>
  <c r="O1265" i="2"/>
  <c r="K1265" i="2"/>
  <c r="J1265" i="2"/>
  <c r="H1265" i="2"/>
  <c r="E1265" i="2"/>
  <c r="D1265" i="2"/>
  <c r="B1265" i="2"/>
  <c r="A1265" i="2"/>
  <c r="S1264" i="2"/>
  <c r="P1264" i="2"/>
  <c r="O1264" i="2"/>
  <c r="J1264" i="2"/>
  <c r="K1264" i="2" s="1"/>
  <c r="H1264" i="2"/>
  <c r="E1264" i="2"/>
  <c r="D1264" i="2"/>
  <c r="B1264" i="2"/>
  <c r="A1264" i="2"/>
  <c r="T1263" i="2"/>
  <c r="S1263" i="2"/>
  <c r="P1263" i="2"/>
  <c r="O1263" i="2"/>
  <c r="J1263" i="2"/>
  <c r="K1263" i="2" s="1"/>
  <c r="H1263" i="2"/>
  <c r="E1263" i="2"/>
  <c r="D1263" i="2"/>
  <c r="B1263" i="2"/>
  <c r="A1263" i="2"/>
  <c r="S1262" i="2"/>
  <c r="P1262" i="2"/>
  <c r="O1262" i="2"/>
  <c r="J1262" i="2"/>
  <c r="K1262" i="2" s="1"/>
  <c r="U1262" i="2" s="1"/>
  <c r="H1262" i="2"/>
  <c r="E1262" i="2"/>
  <c r="D1262" i="2"/>
  <c r="B1262" i="2"/>
  <c r="A1262" i="2"/>
  <c r="S1261" i="2"/>
  <c r="P1261" i="2"/>
  <c r="O1261" i="2"/>
  <c r="J1261" i="2"/>
  <c r="K1261" i="2" s="1"/>
  <c r="V1261" i="2" s="1"/>
  <c r="H1261" i="2"/>
  <c r="E1261" i="2"/>
  <c r="D1261" i="2"/>
  <c r="B1261" i="2"/>
  <c r="A1261" i="2"/>
  <c r="V1260" i="2"/>
  <c r="U1260" i="2"/>
  <c r="S1260" i="2"/>
  <c r="P1260" i="2"/>
  <c r="O1260" i="2"/>
  <c r="K1260" i="2"/>
  <c r="J1260" i="2"/>
  <c r="H1260" i="2"/>
  <c r="T1260" i="2" s="1"/>
  <c r="E1260" i="2"/>
  <c r="D1260" i="2"/>
  <c r="B1260" i="2"/>
  <c r="A1260" i="2"/>
  <c r="S1259" i="2"/>
  <c r="P1259" i="2"/>
  <c r="O1259" i="2"/>
  <c r="K1259" i="2"/>
  <c r="J1259" i="2"/>
  <c r="H1259" i="2"/>
  <c r="T1259" i="2" s="1"/>
  <c r="E1259" i="2"/>
  <c r="D1259" i="2"/>
  <c r="B1259" i="2"/>
  <c r="A1259" i="2"/>
  <c r="S1258" i="2"/>
  <c r="P1258" i="2"/>
  <c r="O1258" i="2"/>
  <c r="J1258" i="2"/>
  <c r="K1258" i="2" s="1"/>
  <c r="H1258" i="2"/>
  <c r="E1258" i="2"/>
  <c r="D1258" i="2"/>
  <c r="B1258" i="2"/>
  <c r="A1258" i="2"/>
  <c r="T1257" i="2"/>
  <c r="S1257" i="2"/>
  <c r="P1257" i="2"/>
  <c r="O1257" i="2"/>
  <c r="J1257" i="2"/>
  <c r="K1257" i="2" s="1"/>
  <c r="H1257" i="2"/>
  <c r="E1257" i="2"/>
  <c r="D1257" i="2"/>
  <c r="B1257" i="2"/>
  <c r="A1257" i="2"/>
  <c r="V1256" i="2"/>
  <c r="S1256" i="2"/>
  <c r="P1256" i="2"/>
  <c r="O1256" i="2"/>
  <c r="J1256" i="2"/>
  <c r="K1256" i="2" s="1"/>
  <c r="U1256" i="2" s="1"/>
  <c r="H1256" i="2"/>
  <c r="E1256" i="2"/>
  <c r="D1256" i="2"/>
  <c r="B1256" i="2"/>
  <c r="A1256" i="2"/>
  <c r="U1255" i="2"/>
  <c r="S1255" i="2"/>
  <c r="T1255" i="2" s="1"/>
  <c r="P1255" i="2"/>
  <c r="O1255" i="2"/>
  <c r="J1255" i="2"/>
  <c r="K1255" i="2" s="1"/>
  <c r="V1255" i="2" s="1"/>
  <c r="H1255" i="2"/>
  <c r="E1255" i="2"/>
  <c r="D1255" i="2"/>
  <c r="B1255" i="2"/>
  <c r="A1255" i="2"/>
  <c r="V1254" i="2"/>
  <c r="U1254" i="2"/>
  <c r="S1254" i="2"/>
  <c r="P1254" i="2"/>
  <c r="O1254" i="2"/>
  <c r="K1254" i="2"/>
  <c r="J1254" i="2"/>
  <c r="H1254" i="2"/>
  <c r="T1254" i="2" s="1"/>
  <c r="E1254" i="2"/>
  <c r="D1254" i="2"/>
  <c r="B1254" i="2"/>
  <c r="A1254" i="2"/>
  <c r="S1253" i="2"/>
  <c r="P1253" i="2"/>
  <c r="O1253" i="2"/>
  <c r="K1253" i="2"/>
  <c r="J1253" i="2"/>
  <c r="H1253" i="2"/>
  <c r="T1253" i="2" s="1"/>
  <c r="E1253" i="2"/>
  <c r="D1253" i="2"/>
  <c r="B1253" i="2"/>
  <c r="A1253" i="2"/>
  <c r="S1252" i="2"/>
  <c r="P1252" i="2"/>
  <c r="O1252" i="2"/>
  <c r="J1252" i="2"/>
  <c r="K1252" i="2" s="1"/>
  <c r="H1252" i="2"/>
  <c r="E1252" i="2"/>
  <c r="D1252" i="2"/>
  <c r="B1252" i="2"/>
  <c r="A1252" i="2"/>
  <c r="T1251" i="2"/>
  <c r="S1251" i="2"/>
  <c r="P1251" i="2"/>
  <c r="O1251" i="2"/>
  <c r="J1251" i="2"/>
  <c r="K1251" i="2" s="1"/>
  <c r="H1251" i="2"/>
  <c r="E1251" i="2"/>
  <c r="D1251" i="2"/>
  <c r="B1251" i="2"/>
  <c r="A1251" i="2"/>
  <c r="V1250" i="2"/>
  <c r="U1250" i="2"/>
  <c r="S1250" i="2"/>
  <c r="P1250" i="2"/>
  <c r="O1250" i="2"/>
  <c r="J1250" i="2"/>
  <c r="K1250" i="2" s="1"/>
  <c r="H1250" i="2"/>
  <c r="E1250" i="2"/>
  <c r="D1250" i="2"/>
  <c r="B1250" i="2"/>
  <c r="A1250" i="2"/>
  <c r="U1249" i="2"/>
  <c r="S1249" i="2"/>
  <c r="T1249" i="2" s="1"/>
  <c r="P1249" i="2"/>
  <c r="O1249" i="2"/>
  <c r="J1249" i="2"/>
  <c r="K1249" i="2" s="1"/>
  <c r="V1249" i="2" s="1"/>
  <c r="H1249" i="2"/>
  <c r="E1249" i="2"/>
  <c r="D1249" i="2"/>
  <c r="B1249" i="2"/>
  <c r="A1249" i="2"/>
  <c r="V1248" i="2"/>
  <c r="U1248" i="2"/>
  <c r="S1248" i="2"/>
  <c r="P1248" i="2"/>
  <c r="O1248" i="2"/>
  <c r="K1248" i="2"/>
  <c r="J1248" i="2"/>
  <c r="H1248" i="2"/>
  <c r="T1248" i="2" s="1"/>
  <c r="E1248" i="2"/>
  <c r="D1248" i="2"/>
  <c r="B1248" i="2"/>
  <c r="A1248" i="2"/>
  <c r="S1247" i="2"/>
  <c r="P1247" i="2"/>
  <c r="O1247" i="2"/>
  <c r="K1247" i="2"/>
  <c r="J1247" i="2"/>
  <c r="H1247" i="2"/>
  <c r="T1247" i="2" s="1"/>
  <c r="E1247" i="2"/>
  <c r="D1247" i="2"/>
  <c r="B1247" i="2"/>
  <c r="A1247" i="2"/>
  <c r="S1246" i="2"/>
  <c r="P1246" i="2"/>
  <c r="O1246" i="2"/>
  <c r="J1246" i="2"/>
  <c r="K1246" i="2" s="1"/>
  <c r="H1246" i="2"/>
  <c r="E1246" i="2"/>
  <c r="D1246" i="2"/>
  <c r="B1246" i="2"/>
  <c r="A1246" i="2"/>
  <c r="S1245" i="2"/>
  <c r="T1245" i="2" s="1"/>
  <c r="P1245" i="2"/>
  <c r="O1245" i="2"/>
  <c r="J1245" i="2"/>
  <c r="K1245" i="2" s="1"/>
  <c r="H1245" i="2"/>
  <c r="E1245" i="2"/>
  <c r="D1245" i="2"/>
  <c r="B1245" i="2"/>
  <c r="A1245" i="2"/>
  <c r="S1244" i="2"/>
  <c r="P1244" i="2"/>
  <c r="T1244" i="2" s="1"/>
  <c r="O1244" i="2"/>
  <c r="J1244" i="2"/>
  <c r="K1244" i="2" s="1"/>
  <c r="V1244" i="2" s="1"/>
  <c r="H1244" i="2"/>
  <c r="E1244" i="2"/>
  <c r="D1244" i="2"/>
  <c r="B1244" i="2"/>
  <c r="A1244" i="2"/>
  <c r="S1243" i="2"/>
  <c r="P1243" i="2"/>
  <c r="O1243" i="2"/>
  <c r="J1243" i="2"/>
  <c r="K1243" i="2" s="1"/>
  <c r="H1243" i="2"/>
  <c r="E1243" i="2"/>
  <c r="D1243" i="2"/>
  <c r="B1243" i="2"/>
  <c r="A1243" i="2"/>
  <c r="V1242" i="2"/>
  <c r="U1242" i="2"/>
  <c r="S1242" i="2"/>
  <c r="P1242" i="2"/>
  <c r="O1242" i="2"/>
  <c r="K1242" i="2"/>
  <c r="J1242" i="2"/>
  <c r="H1242" i="2"/>
  <c r="T1242" i="2" s="1"/>
  <c r="E1242" i="2"/>
  <c r="D1242" i="2"/>
  <c r="B1242" i="2"/>
  <c r="A1242" i="2"/>
  <c r="S1241" i="2"/>
  <c r="P1241" i="2"/>
  <c r="O1241" i="2"/>
  <c r="J1241" i="2"/>
  <c r="K1241" i="2" s="1"/>
  <c r="H1241" i="2"/>
  <c r="T1241" i="2" s="1"/>
  <c r="E1241" i="2"/>
  <c r="D1241" i="2"/>
  <c r="B1241" i="2"/>
  <c r="A1241" i="2"/>
  <c r="S1240" i="2"/>
  <c r="P1240" i="2"/>
  <c r="O1240" i="2"/>
  <c r="J1240" i="2"/>
  <c r="K1240" i="2" s="1"/>
  <c r="H1240" i="2"/>
  <c r="E1240" i="2"/>
  <c r="D1240" i="2"/>
  <c r="B1240" i="2"/>
  <c r="A1240" i="2"/>
  <c r="T1239" i="2"/>
  <c r="S1239" i="2"/>
  <c r="P1239" i="2"/>
  <c r="O1239" i="2"/>
  <c r="J1239" i="2"/>
  <c r="K1239" i="2" s="1"/>
  <c r="H1239" i="2"/>
  <c r="E1239" i="2"/>
  <c r="D1239" i="2"/>
  <c r="B1239" i="2"/>
  <c r="A1239" i="2"/>
  <c r="V1238" i="2"/>
  <c r="U1238" i="2"/>
  <c r="S1238" i="2"/>
  <c r="P1238" i="2"/>
  <c r="O1238" i="2"/>
  <c r="J1238" i="2"/>
  <c r="K1238" i="2" s="1"/>
  <c r="H1238" i="2"/>
  <c r="E1238" i="2"/>
  <c r="D1238" i="2"/>
  <c r="B1238" i="2"/>
  <c r="A1238" i="2"/>
  <c r="U1237" i="2"/>
  <c r="S1237" i="2"/>
  <c r="T1237" i="2" s="1"/>
  <c r="P1237" i="2"/>
  <c r="O1237" i="2"/>
  <c r="J1237" i="2"/>
  <c r="K1237" i="2" s="1"/>
  <c r="V1237" i="2" s="1"/>
  <c r="H1237" i="2"/>
  <c r="E1237" i="2"/>
  <c r="D1237" i="2"/>
  <c r="B1237" i="2"/>
  <c r="A1237" i="2"/>
  <c r="V1236" i="2"/>
  <c r="U1236" i="2"/>
  <c r="S1236" i="2"/>
  <c r="P1236" i="2"/>
  <c r="O1236" i="2"/>
  <c r="K1236" i="2"/>
  <c r="J1236" i="2"/>
  <c r="H1236" i="2"/>
  <c r="T1236" i="2" s="1"/>
  <c r="E1236" i="2"/>
  <c r="D1236" i="2"/>
  <c r="B1236" i="2"/>
  <c r="A1236" i="2"/>
  <c r="S1235" i="2"/>
  <c r="P1235" i="2"/>
  <c r="O1235" i="2"/>
  <c r="K1235" i="2"/>
  <c r="J1235" i="2"/>
  <c r="H1235" i="2"/>
  <c r="E1235" i="2"/>
  <c r="D1235" i="2"/>
  <c r="B1235" i="2"/>
  <c r="A1235" i="2"/>
  <c r="V1234" i="2"/>
  <c r="U1234" i="2"/>
  <c r="S1234" i="2"/>
  <c r="P1234" i="2"/>
  <c r="O1234" i="2"/>
  <c r="J1234" i="2"/>
  <c r="K1234" i="2" s="1"/>
  <c r="H1234" i="2"/>
  <c r="E1234" i="2"/>
  <c r="D1234" i="2"/>
  <c r="B1234" i="2"/>
  <c r="A1234" i="2"/>
  <c r="S1232" i="2"/>
  <c r="T1232" i="2" s="1"/>
  <c r="P1232" i="2"/>
  <c r="O1232" i="2"/>
  <c r="J1232" i="2"/>
  <c r="K1232" i="2" s="1"/>
  <c r="H1232" i="2"/>
  <c r="E1232" i="2"/>
  <c r="D1232" i="2"/>
  <c r="B1232" i="2"/>
  <c r="A1232" i="2"/>
  <c r="S1231" i="2"/>
  <c r="P1231" i="2"/>
  <c r="T1231" i="2" s="1"/>
  <c r="O1231" i="2"/>
  <c r="J1231" i="2"/>
  <c r="K1231" i="2" s="1"/>
  <c r="V1231" i="2" s="1"/>
  <c r="H1231" i="2"/>
  <c r="E1231" i="2"/>
  <c r="D1231" i="2"/>
  <c r="B1231" i="2"/>
  <c r="A1231" i="2"/>
  <c r="U1230" i="2"/>
  <c r="S1230" i="2"/>
  <c r="P1230" i="2"/>
  <c r="O1230" i="2"/>
  <c r="J1230" i="2"/>
  <c r="K1230" i="2" s="1"/>
  <c r="V1230" i="2" s="1"/>
  <c r="H1230" i="2"/>
  <c r="E1230" i="2"/>
  <c r="D1230" i="2"/>
  <c r="B1230" i="2"/>
  <c r="A1230" i="2"/>
  <c r="V1228" i="2"/>
  <c r="U1228" i="2"/>
  <c r="S1228" i="2"/>
  <c r="P1228" i="2"/>
  <c r="O1228" i="2"/>
  <c r="K1228" i="2"/>
  <c r="J1228" i="2"/>
  <c r="H1228" i="2"/>
  <c r="T1228" i="2" s="1"/>
  <c r="E1228" i="2"/>
  <c r="D1228" i="2"/>
  <c r="B1228" i="2"/>
  <c r="A1228" i="2"/>
  <c r="V1227" i="2"/>
  <c r="U1227" i="2"/>
  <c r="S1227" i="2"/>
  <c r="P1227" i="2"/>
  <c r="O1227" i="2"/>
  <c r="K1227" i="2"/>
  <c r="J1227" i="2"/>
  <c r="H1227" i="2"/>
  <c r="E1227" i="2"/>
  <c r="D1227" i="2"/>
  <c r="B1227" i="2"/>
  <c r="A1227" i="2"/>
  <c r="V1226" i="2"/>
  <c r="U1226" i="2"/>
  <c r="S1226" i="2"/>
  <c r="P1226" i="2"/>
  <c r="O1226" i="2"/>
  <c r="J1226" i="2"/>
  <c r="K1226" i="2" s="1"/>
  <c r="H1226" i="2"/>
  <c r="T1226" i="2" s="1"/>
  <c r="E1226" i="2"/>
  <c r="D1226" i="2"/>
  <c r="B1226" i="2"/>
  <c r="A1226" i="2"/>
  <c r="V1225" i="2"/>
  <c r="U1225" i="2"/>
  <c r="S1225" i="2"/>
  <c r="T1225" i="2" s="1"/>
  <c r="P1225" i="2"/>
  <c r="O1225" i="2"/>
  <c r="J1225" i="2"/>
  <c r="K1225" i="2" s="1"/>
  <c r="H1225" i="2"/>
  <c r="E1225" i="2"/>
  <c r="D1225" i="2"/>
  <c r="B1225" i="2"/>
  <c r="A1225" i="2"/>
  <c r="V1224" i="2"/>
  <c r="U1224" i="2"/>
  <c r="S1224" i="2"/>
  <c r="P1224" i="2"/>
  <c r="O1224" i="2"/>
  <c r="J1224" i="2"/>
  <c r="K1224" i="2" s="1"/>
  <c r="H1224" i="2"/>
  <c r="E1224" i="2"/>
  <c r="D1224" i="2"/>
  <c r="B1224" i="2"/>
  <c r="A1224" i="2"/>
  <c r="U1223" i="2"/>
  <c r="S1223" i="2"/>
  <c r="P1223" i="2"/>
  <c r="O1223" i="2"/>
  <c r="J1223" i="2"/>
  <c r="K1223" i="2" s="1"/>
  <c r="V1223" i="2" s="1"/>
  <c r="H1223" i="2"/>
  <c r="D1223" i="2"/>
  <c r="B1223" i="2"/>
  <c r="A1223" i="2"/>
  <c r="V1221" i="2"/>
  <c r="U1221" i="2"/>
  <c r="T1221" i="2"/>
  <c r="S1221" i="2"/>
  <c r="P1221" i="2"/>
  <c r="O1221" i="2"/>
  <c r="K1221" i="2"/>
  <c r="J1221" i="2"/>
  <c r="H1221" i="2"/>
  <c r="E1221" i="2"/>
  <c r="D1221" i="2"/>
  <c r="B1221" i="2"/>
  <c r="A1221" i="2"/>
  <c r="V1219" i="2"/>
  <c r="U1219" i="2"/>
  <c r="S1219" i="2"/>
  <c r="P1219" i="2"/>
  <c r="O1219" i="2"/>
  <c r="J1219" i="2"/>
  <c r="K1219" i="2" s="1"/>
  <c r="H1219" i="2"/>
  <c r="T1219" i="2" s="1"/>
  <c r="E1219" i="2"/>
  <c r="D1219" i="2"/>
  <c r="B1219" i="2"/>
  <c r="A1219" i="2"/>
  <c r="U1218" i="2"/>
  <c r="S1218" i="2"/>
  <c r="P1218" i="2"/>
  <c r="O1218" i="2"/>
  <c r="K1218" i="2"/>
  <c r="V1218" i="2" s="1"/>
  <c r="J1218" i="2"/>
  <c r="H1218" i="2"/>
  <c r="T1218" i="2" s="1"/>
  <c r="E1218" i="2"/>
  <c r="D1218" i="2"/>
  <c r="B1218" i="2"/>
  <c r="A1218" i="2"/>
  <c r="V1216" i="2"/>
  <c r="U1216" i="2"/>
  <c r="S1216" i="2"/>
  <c r="P1216" i="2"/>
  <c r="O1216" i="2"/>
  <c r="J1216" i="2"/>
  <c r="K1216" i="2" s="1"/>
  <c r="H1216" i="2"/>
  <c r="T1216" i="2" s="1"/>
  <c r="E1216" i="2"/>
  <c r="D1216" i="2"/>
  <c r="B1216" i="2"/>
  <c r="A1216" i="2"/>
  <c r="V1214" i="2"/>
  <c r="U1214" i="2"/>
  <c r="T1214" i="2"/>
  <c r="S1214" i="2"/>
  <c r="P1214" i="2"/>
  <c r="O1214" i="2"/>
  <c r="K1214" i="2"/>
  <c r="J1214" i="2"/>
  <c r="H1214" i="2"/>
  <c r="E1214" i="2"/>
  <c r="D1214" i="2"/>
  <c r="B1214" i="2"/>
  <c r="A1214" i="2"/>
  <c r="V1213" i="2"/>
  <c r="U1213" i="2"/>
  <c r="S1213" i="2"/>
  <c r="T1213" i="2" s="1"/>
  <c r="P1213" i="2"/>
  <c r="O1213" i="2"/>
  <c r="K1213" i="2"/>
  <c r="J1213" i="2"/>
  <c r="H1213" i="2"/>
  <c r="E1213" i="2"/>
  <c r="D1213" i="2"/>
  <c r="B1213" i="2"/>
  <c r="A1213" i="2"/>
  <c r="V1211" i="2"/>
  <c r="U1211" i="2"/>
  <c r="T1211" i="2"/>
  <c r="S1211" i="2"/>
  <c r="P1211" i="2"/>
  <c r="O1211" i="2"/>
  <c r="K1211" i="2"/>
  <c r="J1211" i="2"/>
  <c r="H1211" i="2"/>
  <c r="E1211" i="2"/>
  <c r="D1211" i="2"/>
  <c r="B1211" i="2"/>
  <c r="A1211" i="2"/>
  <c r="V1210" i="2"/>
  <c r="U1210" i="2"/>
  <c r="S1210" i="2"/>
  <c r="P1210" i="2"/>
  <c r="O1210" i="2"/>
  <c r="J1210" i="2"/>
  <c r="K1210" i="2" s="1"/>
  <c r="H1210" i="2"/>
  <c r="E1210" i="2"/>
  <c r="D1210" i="2"/>
  <c r="B1210" i="2"/>
  <c r="A1210" i="2"/>
  <c r="U1208" i="2"/>
  <c r="S1208" i="2"/>
  <c r="P1208" i="2"/>
  <c r="O1208" i="2"/>
  <c r="K1208" i="2"/>
  <c r="V1208" i="2" s="1"/>
  <c r="H1208" i="2"/>
  <c r="E1208" i="2"/>
  <c r="D1208" i="2"/>
  <c r="B1208" i="2"/>
  <c r="A1208" i="2"/>
  <c r="V1207" i="2"/>
  <c r="U1207" i="2"/>
  <c r="S1207" i="2"/>
  <c r="P1207" i="2"/>
  <c r="O1207" i="2"/>
  <c r="K1207" i="2"/>
  <c r="H1207" i="2"/>
  <c r="T1207" i="2" s="1"/>
  <c r="E1207" i="2"/>
  <c r="D1207" i="2"/>
  <c r="B1207" i="2"/>
  <c r="A1207" i="2"/>
  <c r="V1205" i="2"/>
  <c r="U1205" i="2"/>
  <c r="S1205" i="2"/>
  <c r="P1205" i="2"/>
  <c r="O1205" i="2"/>
  <c r="K1205" i="2"/>
  <c r="J1205" i="2"/>
  <c r="H1205" i="2"/>
  <c r="E1205" i="2"/>
  <c r="D1205" i="2"/>
  <c r="B1205" i="2"/>
  <c r="A1205" i="2"/>
  <c r="V1203" i="2"/>
  <c r="U1203" i="2"/>
  <c r="S1203" i="2"/>
  <c r="P1203" i="2"/>
  <c r="T1203" i="2" s="1"/>
  <c r="O1203" i="2"/>
  <c r="K1203" i="2"/>
  <c r="J1203" i="2"/>
  <c r="H1203" i="2"/>
  <c r="E1203" i="2"/>
  <c r="D1203" i="2"/>
  <c r="B1203" i="2"/>
  <c r="A1203" i="2"/>
  <c r="V1202" i="2"/>
  <c r="U1202" i="2"/>
  <c r="S1202" i="2"/>
  <c r="P1202" i="2"/>
  <c r="T1202" i="2" s="1"/>
  <c r="O1202" i="2"/>
  <c r="K1202" i="2"/>
  <c r="J1202" i="2"/>
  <c r="H1202" i="2"/>
  <c r="E1202" i="2"/>
  <c r="D1202" i="2"/>
  <c r="B1202" i="2"/>
  <c r="A1202" i="2"/>
  <c r="V1200" i="2"/>
  <c r="U1200" i="2"/>
  <c r="T1200" i="2"/>
  <c r="S1200" i="2"/>
  <c r="P1200" i="2"/>
  <c r="O1200" i="2"/>
  <c r="K1200" i="2"/>
  <c r="J1200" i="2"/>
  <c r="H1200" i="2"/>
  <c r="E1200" i="2"/>
  <c r="D1200" i="2"/>
  <c r="B1200" i="2"/>
  <c r="A1200" i="2"/>
  <c r="U1199" i="2"/>
  <c r="S1199" i="2"/>
  <c r="P1199" i="2"/>
  <c r="O1199" i="2"/>
  <c r="J1199" i="2"/>
  <c r="K1199" i="2" s="1"/>
  <c r="V1199" i="2" s="1"/>
  <c r="H1199" i="2"/>
  <c r="T1199" i="2" s="1"/>
  <c r="E1199" i="2"/>
  <c r="D1199" i="2"/>
  <c r="B1199" i="2"/>
  <c r="A1199" i="2"/>
  <c r="V1197" i="2"/>
  <c r="U1197" i="2"/>
  <c r="S1197" i="2"/>
  <c r="P1197" i="2"/>
  <c r="O1197" i="2"/>
  <c r="J1197" i="2"/>
  <c r="K1197" i="2" s="1"/>
  <c r="H1197" i="2"/>
  <c r="E1197" i="2"/>
  <c r="D1197" i="2"/>
  <c r="B1197" i="2"/>
  <c r="A1197" i="2"/>
  <c r="V1196" i="2"/>
  <c r="U1196" i="2"/>
  <c r="S1196" i="2"/>
  <c r="P1196" i="2"/>
  <c r="O1196" i="2"/>
  <c r="K1196" i="2"/>
  <c r="J1196" i="2"/>
  <c r="H1196" i="2"/>
  <c r="E1196" i="2"/>
  <c r="D1196" i="2"/>
  <c r="B1196" i="2"/>
  <c r="A1196" i="2"/>
  <c r="V1194" i="2"/>
  <c r="U1194" i="2"/>
  <c r="T1194" i="2"/>
  <c r="S1194" i="2"/>
  <c r="P1194" i="2"/>
  <c r="O1194" i="2"/>
  <c r="K1194" i="2"/>
  <c r="J1194" i="2"/>
  <c r="H1194" i="2"/>
  <c r="E1194" i="2"/>
  <c r="D1194" i="2"/>
  <c r="B1194" i="2"/>
  <c r="A1194" i="2"/>
  <c r="V1193" i="2"/>
  <c r="U1193" i="2"/>
  <c r="S1193" i="2"/>
  <c r="P1193" i="2"/>
  <c r="T1193" i="2" s="1"/>
  <c r="O1193" i="2"/>
  <c r="K1193" i="2"/>
  <c r="J1193" i="2"/>
  <c r="H1193" i="2"/>
  <c r="E1193" i="2"/>
  <c r="D1193" i="2"/>
  <c r="B1193" i="2"/>
  <c r="A1193" i="2"/>
  <c r="V1191" i="2"/>
  <c r="U1191" i="2"/>
  <c r="T1191" i="2"/>
  <c r="S1191" i="2"/>
  <c r="P1191" i="2"/>
  <c r="O1191" i="2"/>
  <c r="K1191" i="2"/>
  <c r="J1191" i="2"/>
  <c r="H1191" i="2"/>
  <c r="E1191" i="2"/>
  <c r="D1191" i="2"/>
  <c r="B1191" i="2"/>
  <c r="A1191" i="2"/>
  <c r="V1190" i="2"/>
  <c r="U1190" i="2"/>
  <c r="S1190" i="2"/>
  <c r="P1190" i="2"/>
  <c r="O1190" i="2"/>
  <c r="J1190" i="2"/>
  <c r="K1190" i="2" s="1"/>
  <c r="H1190" i="2"/>
  <c r="E1190" i="2"/>
  <c r="D1190" i="2"/>
  <c r="B1190" i="2"/>
  <c r="A1190" i="2"/>
  <c r="V1188" i="2"/>
  <c r="U1188" i="2"/>
  <c r="S1188" i="2"/>
  <c r="P1188" i="2"/>
  <c r="O1188" i="2"/>
  <c r="J1188" i="2"/>
  <c r="K1188" i="2" s="1"/>
  <c r="H1188" i="2"/>
  <c r="T1188" i="2" s="1"/>
  <c r="E1188" i="2"/>
  <c r="D1188" i="2"/>
  <c r="B1188" i="2"/>
  <c r="A1188" i="2"/>
  <c r="V1186" i="2"/>
  <c r="U1186" i="2"/>
  <c r="S1186" i="2"/>
  <c r="P1186" i="2"/>
  <c r="O1186" i="2"/>
  <c r="J1186" i="2"/>
  <c r="K1186" i="2" s="1"/>
  <c r="H1186" i="2"/>
  <c r="E1186" i="2"/>
  <c r="D1186" i="2"/>
  <c r="B1186" i="2"/>
  <c r="A1186" i="2"/>
  <c r="U1185" i="2"/>
  <c r="T1185" i="2"/>
  <c r="S1185" i="2"/>
  <c r="P1185" i="2"/>
  <c r="O1185" i="2"/>
  <c r="K1185" i="2"/>
  <c r="V1185" i="2" s="1"/>
  <c r="J1185" i="2"/>
  <c r="H1185" i="2"/>
  <c r="E1185" i="2"/>
  <c r="D1185" i="2"/>
  <c r="B1185" i="2"/>
  <c r="A1185" i="2"/>
  <c r="V1183" i="2"/>
  <c r="U1183" i="2"/>
  <c r="S1183" i="2"/>
  <c r="P1183" i="2"/>
  <c r="O1183" i="2"/>
  <c r="K1183" i="2"/>
  <c r="J1183" i="2"/>
  <c r="H1183" i="2"/>
  <c r="T1183" i="2" s="1"/>
  <c r="E1183" i="2"/>
  <c r="D1183" i="2"/>
  <c r="B1183" i="2"/>
  <c r="A1183" i="2"/>
  <c r="V1181" i="2"/>
  <c r="U1181" i="2"/>
  <c r="S1181" i="2"/>
  <c r="P1181" i="2"/>
  <c r="O1181" i="2"/>
  <c r="K1181" i="2"/>
  <c r="T1181" i="2" s="1"/>
  <c r="J1181" i="2"/>
  <c r="H1181" i="2"/>
  <c r="E1181" i="2"/>
  <c r="D1181" i="2"/>
  <c r="B1181" i="2"/>
  <c r="A1181" i="2"/>
  <c r="V1179" i="2"/>
  <c r="U1179" i="2"/>
  <c r="S1179" i="2"/>
  <c r="P1179" i="2"/>
  <c r="O1179" i="2"/>
  <c r="J1179" i="2"/>
  <c r="K1179" i="2" s="1"/>
  <c r="H1179" i="2"/>
  <c r="T1179" i="2" s="1"/>
  <c r="E1179" i="2"/>
  <c r="D1179" i="2"/>
  <c r="B1179" i="2"/>
  <c r="A1179" i="2"/>
  <c r="U1177" i="2"/>
  <c r="T1177" i="2"/>
  <c r="S1177" i="2"/>
  <c r="P1177" i="2"/>
  <c r="O1177" i="2"/>
  <c r="J1177" i="2"/>
  <c r="K1177" i="2" s="1"/>
  <c r="V1177" i="2" s="1"/>
  <c r="H1177" i="2"/>
  <c r="E1177" i="2"/>
  <c r="D1177" i="2"/>
  <c r="B1177" i="2"/>
  <c r="A1177" i="2"/>
  <c r="V1176" i="2"/>
  <c r="U1176" i="2"/>
  <c r="S1176" i="2"/>
  <c r="P1176" i="2"/>
  <c r="O1176" i="2"/>
  <c r="K1176" i="2"/>
  <c r="J1176" i="2"/>
  <c r="H1176" i="2"/>
  <c r="E1176" i="2"/>
  <c r="D1176" i="2"/>
  <c r="B1176" i="2"/>
  <c r="A1176" i="2"/>
  <c r="U1174" i="2"/>
  <c r="S1174" i="2"/>
  <c r="P1174" i="2"/>
  <c r="O1174" i="2"/>
  <c r="K1174" i="2"/>
  <c r="V1174" i="2" s="1"/>
  <c r="J1174" i="2"/>
  <c r="H1174" i="2"/>
  <c r="T1174" i="2" s="1"/>
  <c r="D1174" i="2"/>
  <c r="B1174" i="2"/>
  <c r="A1174" i="2"/>
  <c r="V1172" i="2"/>
  <c r="U1172" i="2"/>
  <c r="S1172" i="2"/>
  <c r="P1172" i="2"/>
  <c r="T1172" i="2" s="1"/>
  <c r="O1172" i="2"/>
  <c r="J1172" i="2"/>
  <c r="K1172" i="2" s="1"/>
  <c r="H1172" i="2"/>
  <c r="E1172" i="2"/>
  <c r="D1172" i="2"/>
  <c r="B1172" i="2"/>
  <c r="A1172" i="2"/>
  <c r="V1171" i="2"/>
  <c r="U1171" i="2"/>
  <c r="T1171" i="2"/>
  <c r="S1171" i="2"/>
  <c r="P1171" i="2"/>
  <c r="O1171" i="2"/>
  <c r="J1171" i="2"/>
  <c r="K1171" i="2" s="1"/>
  <c r="H1171" i="2"/>
  <c r="E1171" i="2"/>
  <c r="D1171" i="2"/>
  <c r="B1171" i="2"/>
  <c r="A1171" i="2"/>
  <c r="V1170" i="2"/>
  <c r="U1170" i="2"/>
  <c r="S1170" i="2"/>
  <c r="P1170" i="2"/>
  <c r="O1170" i="2"/>
  <c r="K1170" i="2"/>
  <c r="J1170" i="2"/>
  <c r="H1170" i="2"/>
  <c r="E1170" i="2"/>
  <c r="D1170" i="2"/>
  <c r="B1170" i="2"/>
  <c r="A1170" i="2"/>
  <c r="U1168" i="2"/>
  <c r="S1168" i="2"/>
  <c r="P1168" i="2"/>
  <c r="O1168" i="2"/>
  <c r="K1168" i="2"/>
  <c r="V1168" i="2" s="1"/>
  <c r="J1168" i="2"/>
  <c r="H1168" i="2"/>
  <c r="E1168" i="2"/>
  <c r="D1168" i="2"/>
  <c r="B1168" i="2"/>
  <c r="A1168" i="2"/>
  <c r="V1166" i="2"/>
  <c r="U1166" i="2"/>
  <c r="S1166" i="2"/>
  <c r="P1166" i="2"/>
  <c r="O1166" i="2"/>
  <c r="J1166" i="2"/>
  <c r="K1166" i="2" s="1"/>
  <c r="H1166" i="2"/>
  <c r="E1166" i="2"/>
  <c r="D1166" i="2"/>
  <c r="B1166" i="2"/>
  <c r="A1166" i="2"/>
  <c r="U1165" i="2"/>
  <c r="S1165" i="2"/>
  <c r="P1165" i="2"/>
  <c r="T1165" i="2" s="1"/>
  <c r="O1165" i="2"/>
  <c r="K1165" i="2"/>
  <c r="V1165" i="2" s="1"/>
  <c r="J1165" i="2"/>
  <c r="H1165" i="2"/>
  <c r="E1165" i="2"/>
  <c r="D1165" i="2"/>
  <c r="B1165" i="2"/>
  <c r="A1165" i="2"/>
  <c r="V1163" i="2"/>
  <c r="U1163" i="2"/>
  <c r="T1163" i="2"/>
  <c r="S1163" i="2"/>
  <c r="P1163" i="2"/>
  <c r="O1163" i="2"/>
  <c r="J1163" i="2"/>
  <c r="K1163" i="2" s="1"/>
  <c r="H1163" i="2"/>
  <c r="E1163" i="2"/>
  <c r="D1163" i="2"/>
  <c r="B1163" i="2"/>
  <c r="A1163" i="2"/>
  <c r="V1162" i="2"/>
  <c r="U1162" i="2"/>
  <c r="S1162" i="2"/>
  <c r="T1162" i="2" s="1"/>
  <c r="P1162" i="2"/>
  <c r="O1162" i="2"/>
  <c r="J1162" i="2"/>
  <c r="K1162" i="2" s="1"/>
  <c r="H1162" i="2"/>
  <c r="E1162" i="2"/>
  <c r="D1162" i="2"/>
  <c r="B1162" i="2"/>
  <c r="A1162" i="2"/>
  <c r="U1159" i="2"/>
  <c r="S1159" i="2"/>
  <c r="P1159" i="2"/>
  <c r="O1159" i="2"/>
  <c r="J1159" i="2"/>
  <c r="K1159" i="2" s="1"/>
  <c r="V1159" i="2" s="1"/>
  <c r="H1159" i="2"/>
  <c r="D1159" i="2"/>
  <c r="B1159" i="2"/>
  <c r="A1159" i="2"/>
  <c r="V1157" i="2"/>
  <c r="U1157" i="2"/>
  <c r="S1157" i="2"/>
  <c r="P1157" i="2"/>
  <c r="O1157" i="2"/>
  <c r="J1157" i="2"/>
  <c r="K1157" i="2" s="1"/>
  <c r="H1157" i="2"/>
  <c r="E1157" i="2"/>
  <c r="D1157" i="2"/>
  <c r="B1157" i="2"/>
  <c r="A1157" i="2"/>
  <c r="U1156" i="2"/>
  <c r="S1156" i="2"/>
  <c r="P1156" i="2"/>
  <c r="O1156" i="2"/>
  <c r="J1156" i="2"/>
  <c r="K1156" i="2" s="1"/>
  <c r="V1156" i="2" s="1"/>
  <c r="H1156" i="2"/>
  <c r="E1156" i="2"/>
  <c r="D1156" i="2"/>
  <c r="B1156" i="2"/>
  <c r="A1156" i="2"/>
  <c r="U1154" i="2"/>
  <c r="S1154" i="2"/>
  <c r="P1154" i="2"/>
  <c r="O1154" i="2"/>
  <c r="K1154" i="2"/>
  <c r="V1154" i="2" s="1"/>
  <c r="J1154" i="2"/>
  <c r="H1154" i="2"/>
  <c r="E1154" i="2"/>
  <c r="D1154" i="2"/>
  <c r="B1154" i="2"/>
  <c r="A1154" i="2"/>
  <c r="V1153" i="2"/>
  <c r="U1153" i="2"/>
  <c r="T1153" i="2"/>
  <c r="S1153" i="2"/>
  <c r="P1153" i="2"/>
  <c r="O1153" i="2"/>
  <c r="J1153" i="2"/>
  <c r="K1153" i="2" s="1"/>
  <c r="H1153" i="2"/>
  <c r="E1153" i="2"/>
  <c r="D1153" i="2"/>
  <c r="B1153" i="2"/>
  <c r="A1153" i="2"/>
  <c r="V1151" i="2"/>
  <c r="U1151" i="2"/>
  <c r="S1151" i="2"/>
  <c r="P1151" i="2"/>
  <c r="O1151" i="2"/>
  <c r="K1151" i="2"/>
  <c r="J1151" i="2"/>
  <c r="H1151" i="2"/>
  <c r="T1151" i="2" s="1"/>
  <c r="E1151" i="2"/>
  <c r="D1151" i="2"/>
  <c r="B1151" i="2"/>
  <c r="A1151" i="2"/>
  <c r="V1150" i="2"/>
  <c r="U1150" i="2"/>
  <c r="S1150" i="2"/>
  <c r="P1150" i="2"/>
  <c r="T1150" i="2" s="1"/>
  <c r="O1150" i="2"/>
  <c r="K1150" i="2"/>
  <c r="J1150" i="2"/>
  <c r="H1150" i="2"/>
  <c r="E1150" i="2"/>
  <c r="D1150" i="2"/>
  <c r="B1150" i="2"/>
  <c r="A1150" i="2"/>
  <c r="V1149" i="2"/>
  <c r="U1149" i="2"/>
  <c r="T1149" i="2"/>
  <c r="S1149" i="2"/>
  <c r="P1149" i="2"/>
  <c r="O1149" i="2"/>
  <c r="K1149" i="2"/>
  <c r="J1149" i="2"/>
  <c r="H1149" i="2"/>
  <c r="E1149" i="2"/>
  <c r="D1149" i="2"/>
  <c r="B1149" i="2"/>
  <c r="A1149" i="2"/>
  <c r="V1147" i="2"/>
  <c r="U1147" i="2"/>
  <c r="S1147" i="2"/>
  <c r="P1147" i="2"/>
  <c r="O1147" i="2"/>
  <c r="J1147" i="2"/>
  <c r="K1147" i="2" s="1"/>
  <c r="H1147" i="2"/>
  <c r="E1147" i="2"/>
  <c r="D1147" i="2"/>
  <c r="B1147" i="2"/>
  <c r="A1147" i="2"/>
  <c r="U1146" i="2"/>
  <c r="S1146" i="2"/>
  <c r="P1146" i="2"/>
  <c r="O1146" i="2"/>
  <c r="J1146" i="2"/>
  <c r="K1146" i="2" s="1"/>
  <c r="V1146" i="2" s="1"/>
  <c r="H1146" i="2"/>
  <c r="E1146" i="2"/>
  <c r="D1146" i="2"/>
  <c r="B1146" i="2"/>
  <c r="A1146" i="2"/>
  <c r="V1144" i="2"/>
  <c r="U1144" i="2"/>
  <c r="S1144" i="2"/>
  <c r="P1144" i="2"/>
  <c r="O1144" i="2"/>
  <c r="K1144" i="2"/>
  <c r="J1144" i="2"/>
  <c r="H1144" i="2"/>
  <c r="E1144" i="2"/>
  <c r="D1144" i="2"/>
  <c r="B1144" i="2"/>
  <c r="A1144" i="2"/>
  <c r="U1142" i="2"/>
  <c r="T1142" i="2"/>
  <c r="S1142" i="2"/>
  <c r="P1142" i="2"/>
  <c r="O1142" i="2"/>
  <c r="K1142" i="2"/>
  <c r="V1142" i="2" s="1"/>
  <c r="J1142" i="2"/>
  <c r="H1142" i="2"/>
  <c r="D1142" i="2"/>
  <c r="B1142" i="2"/>
  <c r="A1142" i="2"/>
  <c r="V1140" i="2"/>
  <c r="U1140" i="2"/>
  <c r="S1140" i="2"/>
  <c r="P1140" i="2"/>
  <c r="T1140" i="2" s="1"/>
  <c r="O1140" i="2"/>
  <c r="J1140" i="2"/>
  <c r="K1140" i="2" s="1"/>
  <c r="H1140" i="2"/>
  <c r="E1140" i="2"/>
  <c r="D1140" i="2"/>
  <c r="B1140" i="2"/>
  <c r="A1140" i="2"/>
  <c r="V1139" i="2"/>
  <c r="U1139" i="2"/>
  <c r="S1139" i="2"/>
  <c r="P1139" i="2"/>
  <c r="O1139" i="2"/>
  <c r="J1139" i="2"/>
  <c r="K1139" i="2" s="1"/>
  <c r="T1139" i="2" s="1"/>
  <c r="H1139" i="2"/>
  <c r="E1139" i="2"/>
  <c r="D1139" i="2"/>
  <c r="B1139" i="2"/>
  <c r="A1139" i="2"/>
  <c r="S1135" i="2"/>
  <c r="P1135" i="2"/>
  <c r="O1135" i="2"/>
  <c r="J1135" i="2"/>
  <c r="K1135" i="2" s="1"/>
  <c r="H1135" i="2"/>
  <c r="E1135" i="2"/>
  <c r="D1135" i="2"/>
  <c r="B1135" i="2"/>
  <c r="A1135" i="2"/>
  <c r="U1134" i="2"/>
  <c r="S1134" i="2"/>
  <c r="T1134" i="2" s="1"/>
  <c r="P1134" i="2"/>
  <c r="O1134" i="2"/>
  <c r="K1134" i="2"/>
  <c r="V1134" i="2" s="1"/>
  <c r="J1134" i="2"/>
  <c r="H1134" i="2"/>
  <c r="E1134" i="2"/>
  <c r="D1134" i="2"/>
  <c r="B1134" i="2"/>
  <c r="A1134" i="2"/>
  <c r="V1133" i="2"/>
  <c r="U1133" i="2"/>
  <c r="S1133" i="2"/>
  <c r="P1133" i="2"/>
  <c r="O1133" i="2"/>
  <c r="K1133" i="2"/>
  <c r="J1133" i="2"/>
  <c r="H1133" i="2"/>
  <c r="T1133" i="2" s="1"/>
  <c r="E1133" i="2"/>
  <c r="D1133" i="2"/>
  <c r="B1133" i="2"/>
  <c r="A1133" i="2"/>
  <c r="S1132" i="2"/>
  <c r="P1132" i="2"/>
  <c r="O1132" i="2"/>
  <c r="K1132" i="2"/>
  <c r="J1132" i="2"/>
  <c r="H1132" i="2"/>
  <c r="D1132" i="2"/>
  <c r="B1132" i="2"/>
  <c r="A1132" i="2"/>
  <c r="S1131" i="2"/>
  <c r="P1131" i="2"/>
  <c r="O1131" i="2"/>
  <c r="K1131" i="2"/>
  <c r="V1131" i="2" s="1"/>
  <c r="J1131" i="2"/>
  <c r="H1131" i="2"/>
  <c r="T1131" i="2" s="1"/>
  <c r="E1131" i="2"/>
  <c r="D1131" i="2"/>
  <c r="B1131" i="2"/>
  <c r="A1131" i="2"/>
  <c r="S1130" i="2"/>
  <c r="P1130" i="2"/>
  <c r="O1130" i="2"/>
  <c r="K1130" i="2"/>
  <c r="V1130" i="2" s="1"/>
  <c r="J1130" i="2"/>
  <c r="H1130" i="2"/>
  <c r="E1130" i="2"/>
  <c r="D1130" i="2"/>
  <c r="B1130" i="2"/>
  <c r="A1130" i="2"/>
  <c r="U1129" i="2"/>
  <c r="S1129" i="2"/>
  <c r="P1129" i="2"/>
  <c r="T1129" i="2" s="1"/>
  <c r="O1129" i="2"/>
  <c r="K1129" i="2"/>
  <c r="V1129" i="2" s="1"/>
  <c r="J1129" i="2"/>
  <c r="H1129" i="2"/>
  <c r="E1129" i="2"/>
  <c r="D1129" i="2"/>
  <c r="B1129" i="2"/>
  <c r="A1129" i="2"/>
  <c r="S1127" i="2"/>
  <c r="P1127" i="2"/>
  <c r="O1127" i="2"/>
  <c r="J1127" i="2"/>
  <c r="K1127" i="2" s="1"/>
  <c r="H1127" i="2"/>
  <c r="E1127" i="2"/>
  <c r="D1127" i="2"/>
  <c r="B1127" i="2"/>
  <c r="A1127" i="2"/>
  <c r="V1125" i="2"/>
  <c r="U1125" i="2"/>
  <c r="S1125" i="2"/>
  <c r="T1125" i="2" s="1"/>
  <c r="P1125" i="2"/>
  <c r="O1125" i="2"/>
  <c r="K1125" i="2"/>
  <c r="J1125" i="2"/>
  <c r="H1125" i="2"/>
  <c r="D1125" i="2"/>
  <c r="B1125" i="2"/>
  <c r="A1125" i="2"/>
  <c r="V1123" i="2"/>
  <c r="U1123" i="2"/>
  <c r="T1123" i="2"/>
  <c r="S1123" i="2"/>
  <c r="P1123" i="2"/>
  <c r="O1123" i="2"/>
  <c r="K1123" i="2"/>
  <c r="J1123" i="2"/>
  <c r="H1123" i="2"/>
  <c r="E1123" i="2"/>
  <c r="D1123" i="2"/>
  <c r="B1123" i="2"/>
  <c r="A1123" i="2"/>
  <c r="S1122" i="2"/>
  <c r="P1122" i="2"/>
  <c r="O1122" i="2"/>
  <c r="J1122" i="2"/>
  <c r="K1122" i="2" s="1"/>
  <c r="H1122" i="2"/>
  <c r="D1122" i="2"/>
  <c r="B1122" i="2"/>
  <c r="A1122" i="2"/>
  <c r="S1121" i="2"/>
  <c r="P1121" i="2"/>
  <c r="O1121" i="2"/>
  <c r="K1121" i="2"/>
  <c r="J1121" i="2"/>
  <c r="H1121" i="2"/>
  <c r="T1121" i="2" s="1"/>
  <c r="E1121" i="2"/>
  <c r="D1121" i="2"/>
  <c r="B1121" i="2"/>
  <c r="A1121" i="2"/>
  <c r="S1119" i="2"/>
  <c r="P1119" i="2"/>
  <c r="O1119" i="2"/>
  <c r="K1119" i="2"/>
  <c r="V1119" i="2" s="1"/>
  <c r="J1119" i="2"/>
  <c r="H1119" i="2"/>
  <c r="E1119" i="2"/>
  <c r="D1119" i="2"/>
  <c r="B1119" i="2"/>
  <c r="A1119" i="2"/>
  <c r="T1118" i="2"/>
  <c r="S1118" i="2"/>
  <c r="P1118" i="2"/>
  <c r="O1118" i="2"/>
  <c r="K1118" i="2"/>
  <c r="V1118" i="2" s="1"/>
  <c r="H1118" i="2"/>
  <c r="E1118" i="2"/>
  <c r="D1118" i="2"/>
  <c r="B1118" i="2"/>
  <c r="A1118" i="2"/>
  <c r="U1117" i="2"/>
  <c r="S1117" i="2"/>
  <c r="P1117" i="2"/>
  <c r="T1117" i="2" s="1"/>
  <c r="O1117" i="2"/>
  <c r="K1117" i="2"/>
  <c r="V1117" i="2" s="1"/>
  <c r="J1117" i="2"/>
  <c r="H1117" i="2"/>
  <c r="E1117" i="2"/>
  <c r="D1117" i="2"/>
  <c r="B1117" i="2"/>
  <c r="A1117" i="2"/>
  <c r="U1115" i="2"/>
  <c r="S1115" i="2"/>
  <c r="P1115" i="2"/>
  <c r="O1115" i="2"/>
  <c r="J1115" i="2"/>
  <c r="K1115" i="2" s="1"/>
  <c r="V1115" i="2" s="1"/>
  <c r="H1115" i="2"/>
  <c r="E1115" i="2"/>
  <c r="D1115" i="2"/>
  <c r="B1115" i="2"/>
  <c r="A1115" i="2"/>
  <c r="V1114" i="2"/>
  <c r="U1114" i="2"/>
  <c r="T1114" i="2"/>
  <c r="S1114" i="2"/>
  <c r="P1114" i="2"/>
  <c r="O1114" i="2"/>
  <c r="K1114" i="2"/>
  <c r="J1114" i="2"/>
  <c r="H1114" i="2"/>
  <c r="E1114" i="2"/>
  <c r="D1114" i="2"/>
  <c r="B1114" i="2"/>
  <c r="A1114" i="2"/>
  <c r="S1113" i="2"/>
  <c r="P1113" i="2"/>
  <c r="O1113" i="2"/>
  <c r="J1113" i="2"/>
  <c r="K1113" i="2" s="1"/>
  <c r="H1113" i="2"/>
  <c r="T1113" i="2" s="1"/>
  <c r="E1113" i="2"/>
  <c r="D1113" i="2"/>
  <c r="B1113" i="2"/>
  <c r="A1113" i="2"/>
  <c r="S1112" i="2"/>
  <c r="P1112" i="2"/>
  <c r="O1112" i="2"/>
  <c r="J1112" i="2"/>
  <c r="K1112" i="2" s="1"/>
  <c r="H1112" i="2"/>
  <c r="E1112" i="2"/>
  <c r="D1112" i="2"/>
  <c r="B1112" i="2"/>
  <c r="A1112" i="2"/>
  <c r="S1111" i="2"/>
  <c r="P1111" i="2"/>
  <c r="O1111" i="2"/>
  <c r="K1111" i="2"/>
  <c r="V1111" i="2" s="1"/>
  <c r="J1111" i="2"/>
  <c r="H1111" i="2"/>
  <c r="E1111" i="2"/>
  <c r="D1111" i="2"/>
  <c r="B1111" i="2"/>
  <c r="A1111" i="2"/>
  <c r="U1110" i="2"/>
  <c r="S1110" i="2"/>
  <c r="P1110" i="2"/>
  <c r="T1110" i="2" s="1"/>
  <c r="O1110" i="2"/>
  <c r="K1110" i="2"/>
  <c r="V1110" i="2" s="1"/>
  <c r="J1110" i="2"/>
  <c r="H1110" i="2"/>
  <c r="E1110" i="2"/>
  <c r="D1110" i="2"/>
  <c r="B1110" i="2"/>
  <c r="A1110" i="2"/>
  <c r="S1109" i="2"/>
  <c r="P1109" i="2"/>
  <c r="T1109" i="2" s="1"/>
  <c r="O1109" i="2"/>
  <c r="J1109" i="2"/>
  <c r="K1109" i="2" s="1"/>
  <c r="H1109" i="2"/>
  <c r="D1109" i="2"/>
  <c r="B1109" i="2"/>
  <c r="A1109" i="2"/>
  <c r="V1108" i="2"/>
  <c r="U1108" i="2"/>
  <c r="S1108" i="2"/>
  <c r="T1108" i="2" s="1"/>
  <c r="P1108" i="2"/>
  <c r="O1108" i="2"/>
  <c r="K1108" i="2"/>
  <c r="J1108" i="2"/>
  <c r="H1108" i="2"/>
  <c r="E1108" i="2"/>
  <c r="D1108" i="2"/>
  <c r="B1108" i="2"/>
  <c r="A1108" i="2"/>
  <c r="V1107" i="2"/>
  <c r="U1107" i="2"/>
  <c r="S1107" i="2"/>
  <c r="P1107" i="2"/>
  <c r="O1107" i="2"/>
  <c r="K1107" i="2"/>
  <c r="J1107" i="2"/>
  <c r="H1107" i="2"/>
  <c r="T1107" i="2" s="1"/>
  <c r="D1107" i="2"/>
  <c r="B1107" i="2"/>
  <c r="A1107" i="2"/>
  <c r="S1106" i="2"/>
  <c r="P1106" i="2"/>
  <c r="O1106" i="2"/>
  <c r="J1106" i="2"/>
  <c r="K1106" i="2" s="1"/>
  <c r="H1106" i="2"/>
  <c r="T1106" i="2" s="1"/>
  <c r="E1106" i="2"/>
  <c r="D1106" i="2"/>
  <c r="B1106" i="2"/>
  <c r="A1106" i="2"/>
  <c r="S1105" i="2"/>
  <c r="P1105" i="2"/>
  <c r="O1105" i="2"/>
  <c r="J1105" i="2"/>
  <c r="K1105" i="2" s="1"/>
  <c r="H1105" i="2"/>
  <c r="T1105" i="2" s="1"/>
  <c r="E1105" i="2"/>
  <c r="D1105" i="2"/>
  <c r="B1105" i="2"/>
  <c r="A1105" i="2"/>
  <c r="S1103" i="2"/>
  <c r="P1103" i="2"/>
  <c r="O1103" i="2"/>
  <c r="K1103" i="2"/>
  <c r="V1103" i="2" s="1"/>
  <c r="J1103" i="2"/>
  <c r="H1103" i="2"/>
  <c r="E1103" i="2"/>
  <c r="D1103" i="2"/>
  <c r="B1103" i="2"/>
  <c r="A1103" i="2"/>
  <c r="U1102" i="2"/>
  <c r="S1102" i="2"/>
  <c r="P1102" i="2"/>
  <c r="T1102" i="2" s="1"/>
  <c r="O1102" i="2"/>
  <c r="K1102" i="2"/>
  <c r="V1102" i="2" s="1"/>
  <c r="J1102" i="2"/>
  <c r="H1102" i="2"/>
  <c r="E1102" i="2"/>
  <c r="D1102" i="2"/>
  <c r="B1102" i="2"/>
  <c r="A1102" i="2"/>
  <c r="S1101" i="2"/>
  <c r="P1101" i="2"/>
  <c r="O1101" i="2"/>
  <c r="J1101" i="2"/>
  <c r="K1101" i="2" s="1"/>
  <c r="H1101" i="2"/>
  <c r="E1101" i="2"/>
  <c r="D1101" i="2"/>
  <c r="B1101" i="2"/>
  <c r="A1101" i="2"/>
  <c r="V1100" i="2"/>
  <c r="U1100" i="2"/>
  <c r="T1100" i="2"/>
  <c r="S1100" i="2"/>
  <c r="P1100" i="2"/>
  <c r="O1100" i="2"/>
  <c r="K1100" i="2"/>
  <c r="H1100" i="2"/>
  <c r="D1100" i="2"/>
  <c r="B1100" i="2"/>
  <c r="A1100" i="2"/>
  <c r="V1099" i="2"/>
  <c r="U1099" i="2"/>
  <c r="T1099" i="2"/>
  <c r="S1099" i="2"/>
  <c r="P1099" i="2"/>
  <c r="O1099" i="2"/>
  <c r="K1099" i="2"/>
  <c r="J1099" i="2"/>
  <c r="H1099" i="2"/>
  <c r="E1099" i="2"/>
  <c r="D1099" i="2"/>
  <c r="B1099" i="2"/>
  <c r="A1099" i="2"/>
  <c r="S1098" i="2"/>
  <c r="P1098" i="2"/>
  <c r="O1098" i="2"/>
  <c r="J1098" i="2"/>
  <c r="K1098" i="2" s="1"/>
  <c r="H1098" i="2"/>
  <c r="E1098" i="2"/>
  <c r="D1098" i="2"/>
  <c r="B1098" i="2"/>
  <c r="A1098" i="2"/>
  <c r="S1096" i="2"/>
  <c r="P1096" i="2"/>
  <c r="O1096" i="2"/>
  <c r="J1096" i="2"/>
  <c r="K1096" i="2" s="1"/>
  <c r="H1096" i="2"/>
  <c r="E1096" i="2"/>
  <c r="D1096" i="2"/>
  <c r="B1096" i="2"/>
  <c r="A1096" i="2"/>
  <c r="S1095" i="2"/>
  <c r="P1095" i="2"/>
  <c r="O1095" i="2"/>
  <c r="K1095" i="2"/>
  <c r="V1095" i="2" s="1"/>
  <c r="J1095" i="2"/>
  <c r="H1095" i="2"/>
  <c r="E1095" i="2"/>
  <c r="D1095" i="2"/>
  <c r="B1095" i="2"/>
  <c r="A1095" i="2"/>
  <c r="U1094" i="2"/>
  <c r="S1094" i="2"/>
  <c r="P1094" i="2"/>
  <c r="T1094" i="2" s="1"/>
  <c r="O1094" i="2"/>
  <c r="K1094" i="2"/>
  <c r="V1094" i="2" s="1"/>
  <c r="J1094" i="2"/>
  <c r="H1094" i="2"/>
  <c r="E1094" i="2"/>
  <c r="D1094" i="2"/>
  <c r="B1094" i="2"/>
  <c r="A1094" i="2"/>
  <c r="S1092" i="2"/>
  <c r="P1092" i="2"/>
  <c r="O1092" i="2"/>
  <c r="J1092" i="2"/>
  <c r="K1092" i="2" s="1"/>
  <c r="H1092" i="2"/>
  <c r="E1092" i="2"/>
  <c r="D1092" i="2"/>
  <c r="B1092" i="2"/>
  <c r="A1092" i="2"/>
  <c r="V1091" i="2"/>
  <c r="U1091" i="2"/>
  <c r="T1091" i="2"/>
  <c r="S1091" i="2"/>
  <c r="P1091" i="2"/>
  <c r="O1091" i="2"/>
  <c r="K1091" i="2"/>
  <c r="J1091" i="2"/>
  <c r="H1091" i="2"/>
  <c r="D1091" i="2"/>
  <c r="B1091" i="2"/>
  <c r="V1090" i="2"/>
  <c r="U1090" i="2"/>
  <c r="T1090" i="2"/>
  <c r="S1090" i="2"/>
  <c r="P1090" i="2"/>
  <c r="O1090" i="2"/>
  <c r="K1090" i="2"/>
  <c r="J1090" i="2"/>
  <c r="H1090" i="2"/>
  <c r="D1090" i="2"/>
  <c r="B1090" i="2"/>
  <c r="A1090" i="2"/>
  <c r="V1089" i="2"/>
  <c r="U1089" i="2"/>
  <c r="S1089" i="2"/>
  <c r="P1089" i="2"/>
  <c r="O1089" i="2"/>
  <c r="K1089" i="2"/>
  <c r="J1089" i="2"/>
  <c r="H1089" i="2"/>
  <c r="T1089" i="2" s="1"/>
  <c r="D1089" i="2"/>
  <c r="B1089" i="2"/>
  <c r="A1089" i="2"/>
  <c r="U1088" i="2"/>
  <c r="S1088" i="2"/>
  <c r="P1088" i="2"/>
  <c r="O1088" i="2"/>
  <c r="J1088" i="2"/>
  <c r="K1088" i="2" s="1"/>
  <c r="V1088" i="2" s="1"/>
  <c r="H1088" i="2"/>
  <c r="T1088" i="2" s="1"/>
  <c r="D1088" i="2"/>
  <c r="B1088" i="2"/>
  <c r="A1088" i="2"/>
  <c r="U1087" i="2"/>
  <c r="S1087" i="2"/>
  <c r="P1087" i="2"/>
  <c r="O1087" i="2"/>
  <c r="K1087" i="2"/>
  <c r="V1087" i="2" s="1"/>
  <c r="J1087" i="2"/>
  <c r="H1087" i="2"/>
  <c r="T1087" i="2" s="1"/>
  <c r="E1087" i="2"/>
  <c r="D1087" i="2"/>
  <c r="B1087" i="2"/>
  <c r="A1087" i="2"/>
  <c r="U1086" i="2"/>
  <c r="S1086" i="2"/>
  <c r="P1086" i="2"/>
  <c r="O1086" i="2"/>
  <c r="K1086" i="2"/>
  <c r="V1086" i="2" s="1"/>
  <c r="J1086" i="2"/>
  <c r="H1086" i="2"/>
  <c r="E1086" i="2"/>
  <c r="D1086" i="2"/>
  <c r="B1086" i="2"/>
  <c r="A1086" i="2"/>
  <c r="T1085" i="2"/>
  <c r="S1085" i="2"/>
  <c r="P1085" i="2"/>
  <c r="O1085" i="2"/>
  <c r="J1085" i="2"/>
  <c r="K1085" i="2" s="1"/>
  <c r="H1085" i="2"/>
  <c r="D1085" i="2"/>
  <c r="B1085" i="2"/>
  <c r="A1085" i="2"/>
  <c r="U1084" i="2"/>
  <c r="S1084" i="2"/>
  <c r="P1084" i="2"/>
  <c r="T1084" i="2" s="1"/>
  <c r="O1084" i="2"/>
  <c r="K1084" i="2"/>
  <c r="V1084" i="2" s="1"/>
  <c r="J1084" i="2"/>
  <c r="H1084" i="2"/>
  <c r="E1084" i="2"/>
  <c r="D1084" i="2"/>
  <c r="B1084" i="2"/>
  <c r="A1084" i="2"/>
  <c r="S1083" i="2"/>
  <c r="P1083" i="2"/>
  <c r="O1083" i="2"/>
  <c r="J1083" i="2"/>
  <c r="K1083" i="2" s="1"/>
  <c r="H1083" i="2"/>
  <c r="E1083" i="2"/>
  <c r="D1083" i="2"/>
  <c r="B1083" i="2"/>
  <c r="A1083" i="2"/>
  <c r="V1082" i="2"/>
  <c r="U1082" i="2"/>
  <c r="T1082" i="2"/>
  <c r="S1082" i="2"/>
  <c r="P1082" i="2"/>
  <c r="O1082" i="2"/>
  <c r="K1082" i="2"/>
  <c r="J1082" i="2"/>
  <c r="H1082" i="2"/>
  <c r="E1082" i="2"/>
  <c r="D1082" i="2"/>
  <c r="B1082" i="2"/>
  <c r="A1082" i="2"/>
  <c r="S1081" i="2"/>
  <c r="P1081" i="2"/>
  <c r="O1081" i="2"/>
  <c r="J1081" i="2"/>
  <c r="K1081" i="2" s="1"/>
  <c r="H1081" i="2"/>
  <c r="E1081" i="2"/>
  <c r="D1081" i="2"/>
  <c r="B1081" i="2"/>
  <c r="A1081" i="2"/>
  <c r="S1080" i="2"/>
  <c r="P1080" i="2"/>
  <c r="O1080" i="2"/>
  <c r="J1080" i="2"/>
  <c r="K1080" i="2" s="1"/>
  <c r="H1080" i="2"/>
  <c r="T1080" i="2" s="1"/>
  <c r="E1080" i="2"/>
  <c r="D1080" i="2"/>
  <c r="B1080" i="2"/>
  <c r="A1080" i="2"/>
  <c r="U1079" i="2"/>
  <c r="S1079" i="2"/>
  <c r="P1079" i="2"/>
  <c r="O1079" i="2"/>
  <c r="K1079" i="2"/>
  <c r="V1079" i="2" s="1"/>
  <c r="J1079" i="2"/>
  <c r="H1079" i="2"/>
  <c r="E1079" i="2"/>
  <c r="D1079" i="2"/>
  <c r="B1079" i="2"/>
  <c r="A1079" i="2"/>
  <c r="U1078" i="2"/>
  <c r="S1078" i="2"/>
  <c r="P1078" i="2"/>
  <c r="T1078" i="2" s="1"/>
  <c r="O1078" i="2"/>
  <c r="K1078" i="2"/>
  <c r="V1078" i="2" s="1"/>
  <c r="J1078" i="2"/>
  <c r="H1078" i="2"/>
  <c r="E1078" i="2"/>
  <c r="D1078" i="2"/>
  <c r="B1078" i="2"/>
  <c r="A1078" i="2"/>
  <c r="S1077" i="2"/>
  <c r="P1077" i="2"/>
  <c r="O1077" i="2"/>
  <c r="J1077" i="2"/>
  <c r="K1077" i="2" s="1"/>
  <c r="H1077" i="2"/>
  <c r="E1077" i="2"/>
  <c r="D1077" i="2"/>
  <c r="B1077" i="2"/>
  <c r="A1077" i="2"/>
  <c r="V1076" i="2"/>
  <c r="U1076" i="2"/>
  <c r="T1076" i="2"/>
  <c r="S1076" i="2"/>
  <c r="P1076" i="2"/>
  <c r="O1076" i="2"/>
  <c r="K1076" i="2"/>
  <c r="J1076" i="2"/>
  <c r="H1076" i="2"/>
  <c r="E1076" i="2"/>
  <c r="D1076" i="2"/>
  <c r="B1076" i="2"/>
  <c r="A1076" i="2"/>
  <c r="S1075" i="2"/>
  <c r="P1075" i="2"/>
  <c r="O1075" i="2"/>
  <c r="J1075" i="2"/>
  <c r="K1075" i="2" s="1"/>
  <c r="H1075" i="2"/>
  <c r="T1075" i="2" s="1"/>
  <c r="E1075" i="2"/>
  <c r="D1075" i="2"/>
  <c r="B1075" i="2"/>
  <c r="A1075" i="2"/>
  <c r="U1074" i="2"/>
  <c r="S1074" i="2"/>
  <c r="P1074" i="2"/>
  <c r="O1074" i="2"/>
  <c r="J1074" i="2"/>
  <c r="K1074" i="2" s="1"/>
  <c r="V1074" i="2" s="1"/>
  <c r="H1074" i="2"/>
  <c r="T1074" i="2" s="1"/>
  <c r="E1074" i="2"/>
  <c r="D1074" i="2"/>
  <c r="B1074" i="2"/>
  <c r="A1074" i="2"/>
  <c r="S1073" i="2"/>
  <c r="P1073" i="2"/>
  <c r="O1073" i="2"/>
  <c r="K1073" i="2"/>
  <c r="J1073" i="2"/>
  <c r="H1073" i="2"/>
  <c r="T1073" i="2" s="1"/>
  <c r="D1073" i="2"/>
  <c r="B1073" i="2"/>
  <c r="A1073" i="2"/>
  <c r="T1072" i="2"/>
  <c r="S1072" i="2"/>
  <c r="P1072" i="2"/>
  <c r="O1072" i="2"/>
  <c r="J1072" i="2"/>
  <c r="K1072" i="2" s="1"/>
  <c r="H1072" i="2"/>
  <c r="D1072" i="2"/>
  <c r="B1072" i="2"/>
  <c r="A1072" i="2"/>
  <c r="U1071" i="2"/>
  <c r="S1071" i="2"/>
  <c r="P1071" i="2"/>
  <c r="T1071" i="2" s="1"/>
  <c r="O1071" i="2"/>
  <c r="K1071" i="2"/>
  <c r="V1071" i="2" s="1"/>
  <c r="J1071" i="2"/>
  <c r="H1071" i="2"/>
  <c r="E1071" i="2"/>
  <c r="D1071" i="2"/>
  <c r="B1071" i="2"/>
  <c r="A1071" i="2"/>
  <c r="T1070" i="2"/>
  <c r="S1070" i="2"/>
  <c r="P1070" i="2"/>
  <c r="O1070" i="2"/>
  <c r="J1070" i="2"/>
  <c r="K1070" i="2" s="1"/>
  <c r="H1070" i="2"/>
  <c r="D1070" i="2"/>
  <c r="B1070" i="2"/>
  <c r="A1070" i="2"/>
  <c r="V1069" i="2"/>
  <c r="U1069" i="2"/>
  <c r="S1069" i="2"/>
  <c r="T1069" i="2" s="1"/>
  <c r="P1069" i="2"/>
  <c r="O1069" i="2"/>
  <c r="K1069" i="2"/>
  <c r="J1069" i="2"/>
  <c r="H1069" i="2"/>
  <c r="D1069" i="2"/>
  <c r="B1069" i="2"/>
  <c r="A1069" i="2"/>
  <c r="V1068" i="2"/>
  <c r="U1068" i="2"/>
  <c r="T1068" i="2"/>
  <c r="S1068" i="2"/>
  <c r="P1068" i="2"/>
  <c r="O1068" i="2"/>
  <c r="K1068" i="2"/>
  <c r="J1068" i="2"/>
  <c r="H1068" i="2"/>
  <c r="E1068" i="2"/>
  <c r="D1068" i="2"/>
  <c r="B1068" i="2"/>
  <c r="A1068" i="2"/>
  <c r="S1067" i="2"/>
  <c r="P1067" i="2"/>
  <c r="O1067" i="2"/>
  <c r="J1067" i="2"/>
  <c r="K1067" i="2" s="1"/>
  <c r="H1067" i="2"/>
  <c r="T1067" i="2" s="1"/>
  <c r="E1067" i="2"/>
  <c r="D1067" i="2"/>
  <c r="B1067" i="2"/>
  <c r="A1067" i="2"/>
  <c r="U1066" i="2"/>
  <c r="S1066" i="2"/>
  <c r="P1066" i="2"/>
  <c r="O1066" i="2"/>
  <c r="J1066" i="2"/>
  <c r="K1066" i="2" s="1"/>
  <c r="V1066" i="2" s="1"/>
  <c r="H1066" i="2"/>
  <c r="T1066" i="2" s="1"/>
  <c r="D1066" i="2"/>
  <c r="B1066" i="2"/>
  <c r="A1066" i="2"/>
  <c r="S1065" i="2"/>
  <c r="P1065" i="2"/>
  <c r="O1065" i="2"/>
  <c r="J1065" i="2"/>
  <c r="K1065" i="2" s="1"/>
  <c r="H1065" i="2"/>
  <c r="D1065" i="2"/>
  <c r="B1065" i="2"/>
  <c r="U1064" i="2"/>
  <c r="S1064" i="2"/>
  <c r="P1064" i="2"/>
  <c r="O1064" i="2"/>
  <c r="J1064" i="2"/>
  <c r="K1064" i="2" s="1"/>
  <c r="V1064" i="2" s="1"/>
  <c r="H1064" i="2"/>
  <c r="T1064" i="2" s="1"/>
  <c r="E1064" i="2"/>
  <c r="D1064" i="2"/>
  <c r="B1064" i="2"/>
  <c r="A1064" i="2"/>
  <c r="S1062" i="2"/>
  <c r="P1062" i="2"/>
  <c r="O1062" i="2"/>
  <c r="J1062" i="2"/>
  <c r="K1062" i="2" s="1"/>
  <c r="H1062" i="2"/>
  <c r="E1062" i="2"/>
  <c r="D1062" i="2"/>
  <c r="B1062" i="2"/>
  <c r="A1062" i="2"/>
  <c r="V1061" i="2"/>
  <c r="U1061" i="2"/>
  <c r="S1061" i="2"/>
  <c r="T1061" i="2" s="1"/>
  <c r="P1061" i="2"/>
  <c r="O1061" i="2"/>
  <c r="K1061" i="2"/>
  <c r="J1061" i="2"/>
  <c r="H1061" i="2"/>
  <c r="E1061" i="2"/>
  <c r="D1061" i="2"/>
  <c r="B1061" i="2"/>
  <c r="A1061" i="2"/>
  <c r="V1060" i="2"/>
  <c r="U1060" i="2"/>
  <c r="S1060" i="2"/>
  <c r="T1060" i="2" s="1"/>
  <c r="P1060" i="2"/>
  <c r="O1060" i="2"/>
  <c r="K1060" i="2"/>
  <c r="J1060" i="2"/>
  <c r="H1060" i="2"/>
  <c r="D1060" i="2"/>
  <c r="B1060" i="2"/>
  <c r="A1060" i="2"/>
  <c r="V1058" i="2"/>
  <c r="U1058" i="2"/>
  <c r="T1058" i="2"/>
  <c r="S1058" i="2"/>
  <c r="P1058" i="2"/>
  <c r="O1058" i="2"/>
  <c r="K1058" i="2"/>
  <c r="J1058" i="2"/>
  <c r="H1058" i="2"/>
  <c r="E1058" i="2"/>
  <c r="D1058" i="2"/>
  <c r="B1058" i="2"/>
  <c r="A1058" i="2"/>
  <c r="S1057" i="2"/>
  <c r="P1057" i="2"/>
  <c r="O1057" i="2"/>
  <c r="J1057" i="2"/>
  <c r="K1057" i="2" s="1"/>
  <c r="H1057" i="2"/>
  <c r="T1057" i="2" s="1"/>
  <c r="D1057" i="2"/>
  <c r="B1057" i="2"/>
  <c r="A1057" i="2"/>
  <c r="S1056" i="2"/>
  <c r="P1056" i="2"/>
  <c r="O1056" i="2"/>
  <c r="K1056" i="2"/>
  <c r="J1056" i="2"/>
  <c r="H1056" i="2"/>
  <c r="E1056" i="2"/>
  <c r="D1056" i="2"/>
  <c r="B1056" i="2"/>
  <c r="A1056" i="2"/>
  <c r="S1055" i="2"/>
  <c r="P1055" i="2"/>
  <c r="O1055" i="2"/>
  <c r="J1055" i="2"/>
  <c r="K1055" i="2" s="1"/>
  <c r="H1055" i="2"/>
  <c r="E1055" i="2"/>
  <c r="D1055" i="2"/>
  <c r="B1055" i="2"/>
  <c r="A1055" i="2"/>
  <c r="T1053" i="2"/>
  <c r="S1053" i="2"/>
  <c r="P1053" i="2"/>
  <c r="O1053" i="2"/>
  <c r="K1053" i="2"/>
  <c r="V1053" i="2" s="1"/>
  <c r="H1053" i="2"/>
  <c r="E1053" i="2"/>
  <c r="D1053" i="2"/>
  <c r="B1053" i="2"/>
  <c r="A1053" i="2"/>
  <c r="U1052" i="2"/>
  <c r="S1052" i="2"/>
  <c r="P1052" i="2"/>
  <c r="T1052" i="2" s="1"/>
  <c r="O1052" i="2"/>
  <c r="K1052" i="2"/>
  <c r="V1052" i="2" s="1"/>
  <c r="J1052" i="2"/>
  <c r="H1052" i="2"/>
  <c r="E1052" i="2"/>
  <c r="D1052" i="2"/>
  <c r="B1052" i="2"/>
  <c r="A1052" i="2"/>
  <c r="S1051" i="2"/>
  <c r="P1051" i="2"/>
  <c r="O1051" i="2"/>
  <c r="J1051" i="2"/>
  <c r="K1051" i="2" s="1"/>
  <c r="H1051" i="2"/>
  <c r="D1051" i="2"/>
  <c r="B1051" i="2"/>
  <c r="A1051" i="2"/>
  <c r="V1050" i="2"/>
  <c r="U1050" i="2"/>
  <c r="S1050" i="2"/>
  <c r="T1050" i="2" s="1"/>
  <c r="P1050" i="2"/>
  <c r="O1050" i="2"/>
  <c r="K1050" i="2"/>
  <c r="J1050" i="2"/>
  <c r="H1050" i="2"/>
  <c r="E1050" i="2"/>
  <c r="D1050" i="2"/>
  <c r="B1050" i="2"/>
  <c r="A1050" i="2"/>
  <c r="V1049" i="2"/>
  <c r="U1049" i="2"/>
  <c r="S1049" i="2"/>
  <c r="P1049" i="2"/>
  <c r="O1049" i="2"/>
  <c r="K1049" i="2"/>
  <c r="J1049" i="2"/>
  <c r="H1049" i="2"/>
  <c r="T1049" i="2" s="1"/>
  <c r="E1049" i="2"/>
  <c r="D1049" i="2"/>
  <c r="B1049" i="2"/>
  <c r="A1049" i="2"/>
  <c r="S1045" i="2"/>
  <c r="P1045" i="2"/>
  <c r="O1045" i="2"/>
  <c r="K1045" i="2"/>
  <c r="J1045" i="2"/>
  <c r="H1045" i="2"/>
  <c r="T1045" i="2" s="1"/>
  <c r="E1045" i="2"/>
  <c r="D1045" i="2"/>
  <c r="B1045" i="2"/>
  <c r="A1045" i="2"/>
  <c r="S1044" i="2"/>
  <c r="P1044" i="2"/>
  <c r="O1044" i="2"/>
  <c r="J1044" i="2"/>
  <c r="K1044" i="2" s="1"/>
  <c r="H1044" i="2"/>
  <c r="E1044" i="2"/>
  <c r="D1044" i="2"/>
  <c r="B1044" i="2"/>
  <c r="A1044" i="2"/>
  <c r="T1043" i="2"/>
  <c r="S1043" i="2"/>
  <c r="P1043" i="2"/>
  <c r="O1043" i="2"/>
  <c r="J1043" i="2"/>
  <c r="K1043" i="2" s="1"/>
  <c r="H1043" i="2"/>
  <c r="B1043" i="2"/>
  <c r="A1043" i="2"/>
  <c r="S1042" i="2"/>
  <c r="P1042" i="2"/>
  <c r="O1042" i="2"/>
  <c r="J1042" i="2"/>
  <c r="K1042" i="2" s="1"/>
  <c r="H1042" i="2"/>
  <c r="D1042" i="2"/>
  <c r="B1042" i="2"/>
  <c r="A1042" i="2"/>
  <c r="U1041" i="2"/>
  <c r="S1041" i="2"/>
  <c r="P1041" i="2"/>
  <c r="T1041" i="2" s="1"/>
  <c r="O1041" i="2"/>
  <c r="K1041" i="2"/>
  <c r="V1041" i="2" s="1"/>
  <c r="J1041" i="2"/>
  <c r="H1041" i="2"/>
  <c r="E1041" i="2"/>
  <c r="D1041" i="2"/>
  <c r="B1041" i="2"/>
  <c r="A1041" i="2"/>
  <c r="U1040" i="2"/>
  <c r="T1040" i="2"/>
  <c r="S1040" i="2"/>
  <c r="P1040" i="2"/>
  <c r="O1040" i="2"/>
  <c r="J1040" i="2"/>
  <c r="K1040" i="2" s="1"/>
  <c r="V1040" i="2" s="1"/>
  <c r="H1040" i="2"/>
  <c r="D1040" i="2"/>
  <c r="B1040" i="2"/>
  <c r="A1040" i="2"/>
  <c r="V1039" i="2"/>
  <c r="U1039" i="2"/>
  <c r="S1039" i="2"/>
  <c r="T1039" i="2" s="1"/>
  <c r="P1039" i="2"/>
  <c r="O1039" i="2"/>
  <c r="K1039" i="2"/>
  <c r="J1039" i="2"/>
  <c r="H1039" i="2"/>
  <c r="E1039" i="2"/>
  <c r="D1039" i="2"/>
  <c r="B1039" i="2"/>
  <c r="A1039" i="2"/>
  <c r="V1038" i="2"/>
  <c r="U1038" i="2"/>
  <c r="S1038" i="2"/>
  <c r="P1038" i="2"/>
  <c r="O1038" i="2"/>
  <c r="K1038" i="2"/>
  <c r="J1038" i="2"/>
  <c r="H1038" i="2"/>
  <c r="T1038" i="2" s="1"/>
  <c r="D1038" i="2"/>
  <c r="B1038" i="2"/>
  <c r="A1038" i="2"/>
  <c r="S1037" i="2"/>
  <c r="P1037" i="2"/>
  <c r="O1037" i="2"/>
  <c r="J1037" i="2"/>
  <c r="K1037" i="2" s="1"/>
  <c r="H1037" i="2"/>
  <c r="T1037" i="2" s="1"/>
  <c r="E1037" i="2"/>
  <c r="D1037" i="2"/>
  <c r="B1037" i="2"/>
  <c r="A1037" i="2"/>
  <c r="S1036" i="2"/>
  <c r="P1036" i="2"/>
  <c r="O1036" i="2"/>
  <c r="J1036" i="2"/>
  <c r="K1036" i="2" s="1"/>
  <c r="H1036" i="2"/>
  <c r="D1036" i="2"/>
  <c r="B1036" i="2"/>
  <c r="A1036" i="2"/>
  <c r="S1035" i="2"/>
  <c r="P1035" i="2"/>
  <c r="O1035" i="2"/>
  <c r="J1035" i="2"/>
  <c r="K1035" i="2" s="1"/>
  <c r="H1035" i="2"/>
  <c r="T1035" i="2" s="1"/>
  <c r="E1035" i="2"/>
  <c r="D1035" i="2"/>
  <c r="B1035" i="2"/>
  <c r="A1035" i="2"/>
  <c r="T1034" i="2"/>
  <c r="S1034" i="2"/>
  <c r="P1034" i="2"/>
  <c r="O1034" i="2"/>
  <c r="J1034" i="2"/>
  <c r="K1034" i="2" s="1"/>
  <c r="H1034" i="2"/>
  <c r="E1034" i="2"/>
  <c r="D1034" i="2"/>
  <c r="B1034" i="2"/>
  <c r="A1034" i="2"/>
  <c r="V1033" i="2"/>
  <c r="U1033" i="2"/>
  <c r="S1033" i="2"/>
  <c r="P1033" i="2"/>
  <c r="O1033" i="2"/>
  <c r="J1033" i="2"/>
  <c r="K1033" i="2" s="1"/>
  <c r="H1033" i="2"/>
  <c r="E1033" i="2"/>
  <c r="D1033" i="2"/>
  <c r="B1033" i="2"/>
  <c r="A1033" i="2"/>
  <c r="V1032" i="2"/>
  <c r="U1032" i="2"/>
  <c r="S1032" i="2"/>
  <c r="T1032" i="2" s="1"/>
  <c r="P1032" i="2"/>
  <c r="O1032" i="2"/>
  <c r="K1032" i="2"/>
  <c r="J1032" i="2"/>
  <c r="H1032" i="2"/>
  <c r="E1032" i="2"/>
  <c r="D1032" i="2"/>
  <c r="B1032" i="2"/>
  <c r="A1032" i="2"/>
  <c r="V1031" i="2"/>
  <c r="U1031" i="2"/>
  <c r="S1031" i="2"/>
  <c r="P1031" i="2"/>
  <c r="O1031" i="2"/>
  <c r="K1031" i="2"/>
  <c r="J1031" i="2"/>
  <c r="H1031" i="2"/>
  <c r="T1031" i="2" s="1"/>
  <c r="E1031" i="2"/>
  <c r="D1031" i="2"/>
  <c r="B1031" i="2"/>
  <c r="A1031" i="2"/>
  <c r="S1030" i="2"/>
  <c r="P1030" i="2"/>
  <c r="O1030" i="2"/>
  <c r="K1030" i="2"/>
  <c r="J1030" i="2"/>
  <c r="H1030" i="2"/>
  <c r="E1030" i="2"/>
  <c r="D1030" i="2"/>
  <c r="B1030" i="2"/>
  <c r="A1030" i="2"/>
  <c r="U1029" i="2"/>
  <c r="S1029" i="2"/>
  <c r="P1029" i="2"/>
  <c r="O1029" i="2"/>
  <c r="J1029" i="2"/>
  <c r="K1029" i="2" s="1"/>
  <c r="V1029" i="2" s="1"/>
  <c r="H1029" i="2"/>
  <c r="E1029" i="2"/>
  <c r="D1029" i="2"/>
  <c r="B1029" i="2"/>
  <c r="A1029" i="2"/>
  <c r="S1028" i="2"/>
  <c r="P1028" i="2"/>
  <c r="O1028" i="2"/>
  <c r="J1028" i="2"/>
  <c r="K1028" i="2" s="1"/>
  <c r="H1028" i="2"/>
  <c r="E1028" i="2"/>
  <c r="D1028" i="2"/>
  <c r="B1028" i="2"/>
  <c r="A1028" i="2"/>
  <c r="U1027" i="2"/>
  <c r="S1027" i="2"/>
  <c r="P1027" i="2"/>
  <c r="O1027" i="2"/>
  <c r="J1027" i="2"/>
  <c r="K1027" i="2" s="1"/>
  <c r="V1027" i="2" s="1"/>
  <c r="H1027" i="2"/>
  <c r="D1027" i="2"/>
  <c r="B1027" i="2"/>
  <c r="A1027" i="2"/>
  <c r="T1026" i="2"/>
  <c r="S1026" i="2"/>
  <c r="P1026" i="2"/>
  <c r="O1026" i="2"/>
  <c r="J1026" i="2"/>
  <c r="K1026" i="2" s="1"/>
  <c r="H1026" i="2"/>
  <c r="D1026" i="2"/>
  <c r="B1026" i="2"/>
  <c r="A1026" i="2"/>
  <c r="V1025" i="2"/>
  <c r="U1025" i="2"/>
  <c r="S1025" i="2"/>
  <c r="T1025" i="2" s="1"/>
  <c r="P1025" i="2"/>
  <c r="O1025" i="2"/>
  <c r="K1025" i="2"/>
  <c r="J1025" i="2"/>
  <c r="H1025" i="2"/>
  <c r="E1025" i="2"/>
  <c r="D1025" i="2"/>
  <c r="B1025" i="2"/>
  <c r="A1025" i="2"/>
  <c r="V1024" i="2"/>
  <c r="U1024" i="2"/>
  <c r="S1024" i="2"/>
  <c r="P1024" i="2"/>
  <c r="O1024" i="2"/>
  <c r="K1024" i="2"/>
  <c r="J1024" i="2"/>
  <c r="H1024" i="2"/>
  <c r="T1024" i="2" s="1"/>
  <c r="D1024" i="2"/>
  <c r="B1024" i="2"/>
  <c r="A1024" i="2"/>
  <c r="S1023" i="2"/>
  <c r="P1023" i="2"/>
  <c r="O1023" i="2"/>
  <c r="J1023" i="2"/>
  <c r="K1023" i="2" s="1"/>
  <c r="H1023" i="2"/>
  <c r="T1023" i="2" s="1"/>
  <c r="E1023" i="2"/>
  <c r="D1023" i="2"/>
  <c r="B1023" i="2"/>
  <c r="A1023" i="2"/>
  <c r="S1022" i="2"/>
  <c r="P1022" i="2"/>
  <c r="O1022" i="2"/>
  <c r="J1022" i="2"/>
  <c r="K1022" i="2" s="1"/>
  <c r="H1022" i="2"/>
  <c r="E1022" i="2"/>
  <c r="D1022" i="2"/>
  <c r="B1022" i="2"/>
  <c r="A1022" i="2"/>
  <c r="S1021" i="2"/>
  <c r="P1021" i="2"/>
  <c r="O1021" i="2"/>
  <c r="K1021" i="2"/>
  <c r="J1021" i="2"/>
  <c r="H1021" i="2"/>
  <c r="E1021" i="2"/>
  <c r="D1021" i="2"/>
  <c r="B1021" i="2"/>
  <c r="A1021" i="2"/>
  <c r="U1020" i="2"/>
  <c r="S1020" i="2"/>
  <c r="P1020" i="2"/>
  <c r="T1020" i="2" s="1"/>
  <c r="O1020" i="2"/>
  <c r="K1020" i="2"/>
  <c r="V1020" i="2" s="1"/>
  <c r="J1020" i="2"/>
  <c r="H1020" i="2"/>
  <c r="E1020" i="2"/>
  <c r="D1020" i="2"/>
  <c r="B1020" i="2"/>
  <c r="A1020" i="2"/>
  <c r="T1019" i="2"/>
  <c r="S1019" i="2"/>
  <c r="P1019" i="2"/>
  <c r="O1019" i="2"/>
  <c r="J1019" i="2"/>
  <c r="K1019" i="2" s="1"/>
  <c r="H1019" i="2"/>
  <c r="E1019" i="2"/>
  <c r="D1019" i="2"/>
  <c r="B1019" i="2"/>
  <c r="A1019" i="2"/>
  <c r="V1018" i="2"/>
  <c r="U1018" i="2"/>
  <c r="T1018" i="2"/>
  <c r="S1018" i="2"/>
  <c r="P1018" i="2"/>
  <c r="O1018" i="2"/>
  <c r="K1018" i="2"/>
  <c r="J1018" i="2"/>
  <c r="H1018" i="2"/>
  <c r="D1018" i="2"/>
  <c r="B1018" i="2"/>
  <c r="A1018" i="2"/>
  <c r="V1017" i="2"/>
  <c r="U1017" i="2"/>
  <c r="S1017" i="2"/>
  <c r="P1017" i="2"/>
  <c r="O1017" i="2"/>
  <c r="K1017" i="2"/>
  <c r="J1017" i="2"/>
  <c r="H1017" i="2"/>
  <c r="T1017" i="2" s="1"/>
  <c r="E1017" i="2"/>
  <c r="D1017" i="2"/>
  <c r="B1017" i="2"/>
  <c r="A1017" i="2"/>
  <c r="S1016" i="2"/>
  <c r="P1016" i="2"/>
  <c r="O1016" i="2"/>
  <c r="K1016" i="2"/>
  <c r="J1016" i="2"/>
  <c r="H1016" i="2"/>
  <c r="D1016" i="2"/>
  <c r="B1016" i="2"/>
  <c r="A1016" i="2"/>
  <c r="S1015" i="2"/>
  <c r="P1015" i="2"/>
  <c r="O1015" i="2"/>
  <c r="J1015" i="2"/>
  <c r="K1015" i="2" s="1"/>
  <c r="H1015" i="2"/>
  <c r="T1015" i="2" s="1"/>
  <c r="D1015" i="2"/>
  <c r="B1015" i="2"/>
  <c r="A1015" i="2"/>
  <c r="U1014" i="2"/>
  <c r="S1014" i="2"/>
  <c r="P1014" i="2"/>
  <c r="O1014" i="2"/>
  <c r="J1014" i="2"/>
  <c r="K1014" i="2" s="1"/>
  <c r="V1014" i="2" s="1"/>
  <c r="H1014" i="2"/>
  <c r="E1014" i="2"/>
  <c r="D1014" i="2"/>
  <c r="B1014" i="2"/>
  <c r="A1014" i="2"/>
  <c r="U1013" i="2"/>
  <c r="S1013" i="2"/>
  <c r="P1013" i="2"/>
  <c r="O1013" i="2"/>
  <c r="J1013" i="2"/>
  <c r="K1013" i="2" s="1"/>
  <c r="V1013" i="2" s="1"/>
  <c r="H1013" i="2"/>
  <c r="E1013" i="2"/>
  <c r="D1013" i="2"/>
  <c r="B1013" i="2"/>
  <c r="A1013" i="2"/>
  <c r="V1011" i="2"/>
  <c r="U1011" i="2"/>
  <c r="S1011" i="2"/>
  <c r="T1011" i="2" s="1"/>
  <c r="P1011" i="2"/>
  <c r="O1011" i="2"/>
  <c r="K1011" i="2"/>
  <c r="J1011" i="2"/>
  <c r="H1011" i="2"/>
  <c r="E1011" i="2"/>
  <c r="D1011" i="2"/>
  <c r="B1011" i="2"/>
  <c r="A1011" i="2"/>
  <c r="V1010" i="2"/>
  <c r="U1010" i="2"/>
  <c r="S1010" i="2"/>
  <c r="T1010" i="2" s="1"/>
  <c r="P1010" i="2"/>
  <c r="O1010" i="2"/>
  <c r="K1010" i="2"/>
  <c r="J1010" i="2"/>
  <c r="H1010" i="2"/>
  <c r="E1010" i="2"/>
  <c r="D1010" i="2"/>
  <c r="B1010" i="2"/>
  <c r="A1010" i="2"/>
  <c r="V1009" i="2"/>
  <c r="U1009" i="2"/>
  <c r="S1009" i="2"/>
  <c r="P1009" i="2"/>
  <c r="O1009" i="2"/>
  <c r="K1009" i="2"/>
  <c r="J1009" i="2"/>
  <c r="H1009" i="2"/>
  <c r="T1009" i="2" s="1"/>
  <c r="E1009" i="2"/>
  <c r="D1009" i="2"/>
  <c r="B1009" i="2"/>
  <c r="A1009" i="2"/>
  <c r="S1008" i="2"/>
  <c r="P1008" i="2"/>
  <c r="O1008" i="2"/>
  <c r="K1008" i="2"/>
  <c r="J1008" i="2"/>
  <c r="H1008" i="2"/>
  <c r="T1008" i="2" s="1"/>
  <c r="D1008" i="2"/>
  <c r="B1008" i="2"/>
  <c r="A1008" i="2"/>
  <c r="S1006" i="2"/>
  <c r="P1006" i="2"/>
  <c r="O1006" i="2"/>
  <c r="J1006" i="2"/>
  <c r="K1006" i="2" s="1"/>
  <c r="H1006" i="2"/>
  <c r="T1006" i="2" s="1"/>
  <c r="E1006" i="2"/>
  <c r="D1006" i="2"/>
  <c r="B1006" i="2"/>
  <c r="A1006" i="2"/>
  <c r="S1005" i="2"/>
  <c r="P1005" i="2"/>
  <c r="O1005" i="2"/>
  <c r="K1005" i="2"/>
  <c r="J1005" i="2"/>
  <c r="H1005" i="2"/>
  <c r="E1005" i="2"/>
  <c r="D1005" i="2"/>
  <c r="B1005" i="2"/>
  <c r="A1005" i="2"/>
  <c r="U1004" i="2"/>
  <c r="S1004" i="2"/>
  <c r="P1004" i="2"/>
  <c r="T1004" i="2" s="1"/>
  <c r="O1004" i="2"/>
  <c r="K1004" i="2"/>
  <c r="V1004" i="2" s="1"/>
  <c r="J1004" i="2"/>
  <c r="H1004" i="2"/>
  <c r="E1004" i="2"/>
  <c r="D1004" i="2"/>
  <c r="B1004" i="2"/>
  <c r="A1004" i="2"/>
  <c r="U1002" i="2"/>
  <c r="S1002" i="2"/>
  <c r="P1002" i="2"/>
  <c r="T1002" i="2" s="1"/>
  <c r="O1002" i="2"/>
  <c r="J1002" i="2"/>
  <c r="K1002" i="2" s="1"/>
  <c r="V1002" i="2" s="1"/>
  <c r="H1002" i="2"/>
  <c r="E1002" i="2"/>
  <c r="D1002" i="2"/>
  <c r="B1002" i="2"/>
  <c r="A1002" i="2"/>
  <c r="V1001" i="2"/>
  <c r="U1001" i="2"/>
  <c r="T1001" i="2"/>
  <c r="S1001" i="2"/>
  <c r="P1001" i="2"/>
  <c r="O1001" i="2"/>
  <c r="K1001" i="2"/>
  <c r="J1001" i="2"/>
  <c r="H1001" i="2"/>
  <c r="D1001" i="2"/>
  <c r="B1001" i="2"/>
  <c r="A1001" i="2"/>
  <c r="V1000" i="2"/>
  <c r="U1000" i="2"/>
  <c r="S1000" i="2"/>
  <c r="P1000" i="2"/>
  <c r="O1000" i="2"/>
  <c r="K1000" i="2"/>
  <c r="J1000" i="2"/>
  <c r="H1000" i="2"/>
  <c r="T1000" i="2" s="1"/>
  <c r="E1000" i="2"/>
  <c r="D1000" i="2"/>
  <c r="B1000" i="2"/>
  <c r="A1000" i="2"/>
  <c r="U999" i="2"/>
  <c r="S999" i="2"/>
  <c r="P999" i="2"/>
  <c r="O999" i="2"/>
  <c r="K999" i="2"/>
  <c r="V999" i="2" s="1"/>
  <c r="J999" i="2"/>
  <c r="H999" i="2"/>
  <c r="E999" i="2"/>
  <c r="D999" i="2"/>
  <c r="B999" i="2"/>
  <c r="A999" i="2"/>
  <c r="U998" i="2"/>
  <c r="S998" i="2"/>
  <c r="P998" i="2"/>
  <c r="O998" i="2"/>
  <c r="K998" i="2"/>
  <c r="V998" i="2" s="1"/>
  <c r="J998" i="2"/>
  <c r="H998" i="2"/>
  <c r="E998" i="2"/>
  <c r="D998" i="2"/>
  <c r="B998" i="2"/>
  <c r="A998" i="2"/>
  <c r="U997" i="2"/>
  <c r="S997" i="2"/>
  <c r="P997" i="2"/>
  <c r="T997" i="2" s="1"/>
  <c r="O997" i="2"/>
  <c r="J997" i="2"/>
  <c r="K997" i="2" s="1"/>
  <c r="V997" i="2" s="1"/>
  <c r="H997" i="2"/>
  <c r="E997" i="2"/>
  <c r="D997" i="2"/>
  <c r="B997" i="2"/>
  <c r="A997" i="2"/>
  <c r="V996" i="2"/>
  <c r="U996" i="2"/>
  <c r="S996" i="2"/>
  <c r="T996" i="2" s="1"/>
  <c r="P996" i="2"/>
  <c r="O996" i="2"/>
  <c r="K996" i="2"/>
  <c r="J996" i="2"/>
  <c r="H996" i="2"/>
  <c r="E996" i="2"/>
  <c r="D996" i="2"/>
  <c r="B996" i="2"/>
  <c r="A996" i="2"/>
  <c r="V995" i="2"/>
  <c r="U995" i="2"/>
  <c r="S995" i="2"/>
  <c r="T995" i="2" s="1"/>
  <c r="P995" i="2"/>
  <c r="O995" i="2"/>
  <c r="K995" i="2"/>
  <c r="J995" i="2"/>
  <c r="H995" i="2"/>
  <c r="E995" i="2"/>
  <c r="D995" i="2"/>
  <c r="B995" i="2"/>
  <c r="A995" i="2"/>
  <c r="V994" i="2"/>
  <c r="U994" i="2"/>
  <c r="S994" i="2"/>
  <c r="P994" i="2"/>
  <c r="O994" i="2"/>
  <c r="K994" i="2"/>
  <c r="J994" i="2"/>
  <c r="H994" i="2"/>
  <c r="T994" i="2" s="1"/>
  <c r="D994" i="2"/>
  <c r="B994" i="2"/>
  <c r="A994" i="2"/>
  <c r="V992" i="2"/>
  <c r="S992" i="2"/>
  <c r="P992" i="2"/>
  <c r="O992" i="2"/>
  <c r="J992" i="2"/>
  <c r="K992" i="2" s="1"/>
  <c r="U992" i="2" s="1"/>
  <c r="H992" i="2"/>
  <c r="D992" i="2"/>
  <c r="B992" i="2"/>
  <c r="A992" i="2"/>
  <c r="S990" i="2"/>
  <c r="P990" i="2"/>
  <c r="O990" i="2"/>
  <c r="J990" i="2"/>
  <c r="K990" i="2" s="1"/>
  <c r="H990" i="2"/>
  <c r="E990" i="2"/>
  <c r="D990" i="2"/>
  <c r="B990" i="2"/>
  <c r="A990" i="2"/>
  <c r="S989" i="2"/>
  <c r="P989" i="2"/>
  <c r="O989" i="2"/>
  <c r="J989" i="2"/>
  <c r="K989" i="2" s="1"/>
  <c r="H989" i="2"/>
  <c r="E989" i="2"/>
  <c r="D989" i="2"/>
  <c r="B989" i="2"/>
  <c r="A989" i="2"/>
  <c r="U988" i="2"/>
  <c r="S988" i="2"/>
  <c r="P988" i="2"/>
  <c r="T988" i="2" s="1"/>
  <c r="O988" i="2"/>
  <c r="J988" i="2"/>
  <c r="K988" i="2" s="1"/>
  <c r="V988" i="2" s="1"/>
  <c r="H988" i="2"/>
  <c r="E988" i="2"/>
  <c r="D988" i="2"/>
  <c r="B988" i="2"/>
  <c r="A988" i="2"/>
  <c r="S987" i="2"/>
  <c r="T987" i="2" s="1"/>
  <c r="P987" i="2"/>
  <c r="O987" i="2"/>
  <c r="J987" i="2"/>
  <c r="K987" i="2" s="1"/>
  <c r="V987" i="2" s="1"/>
  <c r="H987" i="2"/>
  <c r="E987" i="2"/>
  <c r="D987" i="2"/>
  <c r="B987" i="2"/>
  <c r="A987" i="2"/>
  <c r="V986" i="2"/>
  <c r="U986" i="2"/>
  <c r="S986" i="2"/>
  <c r="T986" i="2" s="1"/>
  <c r="P986" i="2"/>
  <c r="O986" i="2"/>
  <c r="K986" i="2"/>
  <c r="J986" i="2"/>
  <c r="H986" i="2"/>
  <c r="D986" i="2"/>
  <c r="B986" i="2"/>
  <c r="A986" i="2"/>
  <c r="V985" i="2"/>
  <c r="U985" i="2"/>
  <c r="T985" i="2"/>
  <c r="S985" i="2"/>
  <c r="P985" i="2"/>
  <c r="O985" i="2"/>
  <c r="K985" i="2"/>
  <c r="J985" i="2"/>
  <c r="H985" i="2"/>
  <c r="E985" i="2"/>
  <c r="D985" i="2"/>
  <c r="B985" i="2"/>
  <c r="A985" i="2"/>
  <c r="S984" i="2"/>
  <c r="P984" i="2"/>
  <c r="O984" i="2"/>
  <c r="J984" i="2"/>
  <c r="K984" i="2" s="1"/>
  <c r="U984" i="2" s="1"/>
  <c r="H984" i="2"/>
  <c r="T984" i="2" s="1"/>
  <c r="E984" i="2"/>
  <c r="D984" i="2"/>
  <c r="B984" i="2"/>
  <c r="A984" i="2"/>
  <c r="U983" i="2"/>
  <c r="S983" i="2"/>
  <c r="P983" i="2"/>
  <c r="O983" i="2"/>
  <c r="K983" i="2"/>
  <c r="V983" i="2" s="1"/>
  <c r="J983" i="2"/>
  <c r="H983" i="2"/>
  <c r="E983" i="2"/>
  <c r="D983" i="2"/>
  <c r="B983" i="2"/>
  <c r="A983" i="2"/>
  <c r="S982" i="2"/>
  <c r="P982" i="2"/>
  <c r="O982" i="2"/>
  <c r="J982" i="2"/>
  <c r="K982" i="2" s="1"/>
  <c r="H982" i="2"/>
  <c r="E982" i="2"/>
  <c r="D982" i="2"/>
  <c r="B982" i="2"/>
  <c r="A982" i="2"/>
  <c r="U981" i="2"/>
  <c r="S981" i="2"/>
  <c r="T981" i="2" s="1"/>
  <c r="P981" i="2"/>
  <c r="O981" i="2"/>
  <c r="K981" i="2"/>
  <c r="V981" i="2" s="1"/>
  <c r="J981" i="2"/>
  <c r="H981" i="2"/>
  <c r="E981" i="2"/>
  <c r="D981" i="2"/>
  <c r="B981" i="2"/>
  <c r="A981" i="2"/>
  <c r="S980" i="2"/>
  <c r="P980" i="2"/>
  <c r="T980" i="2" s="1"/>
  <c r="O980" i="2"/>
  <c r="J980" i="2"/>
  <c r="K980" i="2" s="1"/>
  <c r="V980" i="2" s="1"/>
  <c r="H980" i="2"/>
  <c r="E980" i="2"/>
  <c r="D980" i="2"/>
  <c r="B980" i="2"/>
  <c r="A980" i="2"/>
  <c r="V979" i="2"/>
  <c r="U979" i="2"/>
  <c r="T979" i="2"/>
  <c r="S979" i="2"/>
  <c r="P979" i="2"/>
  <c r="O979" i="2"/>
  <c r="K979" i="2"/>
  <c r="J979" i="2"/>
  <c r="H979" i="2"/>
  <c r="E979" i="2"/>
  <c r="D979" i="2"/>
  <c r="B979" i="2"/>
  <c r="A979" i="2"/>
  <c r="U978" i="2"/>
  <c r="S978" i="2"/>
  <c r="P978" i="2"/>
  <c r="O978" i="2"/>
  <c r="J978" i="2"/>
  <c r="K978" i="2" s="1"/>
  <c r="V978" i="2" s="1"/>
  <c r="H978" i="2"/>
  <c r="T978" i="2" s="1"/>
  <c r="D978" i="2"/>
  <c r="B978" i="2"/>
  <c r="A978" i="2"/>
  <c r="S977" i="2"/>
  <c r="P977" i="2"/>
  <c r="O977" i="2"/>
  <c r="K977" i="2"/>
  <c r="J977" i="2"/>
  <c r="H977" i="2"/>
  <c r="D977" i="2"/>
  <c r="B977" i="2"/>
  <c r="A977" i="2"/>
  <c r="S976" i="2"/>
  <c r="P976" i="2"/>
  <c r="O976" i="2"/>
  <c r="J976" i="2"/>
  <c r="K976" i="2" s="1"/>
  <c r="H976" i="2"/>
  <c r="E976" i="2"/>
  <c r="D976" i="2"/>
  <c r="B976" i="2"/>
  <c r="A976" i="2"/>
  <c r="S975" i="2"/>
  <c r="P975" i="2"/>
  <c r="O975" i="2"/>
  <c r="J975" i="2"/>
  <c r="K975" i="2" s="1"/>
  <c r="H975" i="2"/>
  <c r="E975" i="2"/>
  <c r="D975" i="2"/>
  <c r="B975" i="2"/>
  <c r="A975" i="2"/>
  <c r="U974" i="2"/>
  <c r="S974" i="2"/>
  <c r="P974" i="2"/>
  <c r="O974" i="2"/>
  <c r="K974" i="2"/>
  <c r="V974" i="2" s="1"/>
  <c r="J974" i="2"/>
  <c r="H974" i="2"/>
  <c r="T974" i="2" s="1"/>
  <c r="E974" i="2"/>
  <c r="D974" i="2"/>
  <c r="B974" i="2"/>
  <c r="A974" i="2"/>
  <c r="S973" i="2"/>
  <c r="P973" i="2"/>
  <c r="O973" i="2"/>
  <c r="K973" i="2"/>
  <c r="J973" i="2"/>
  <c r="H973" i="2"/>
  <c r="D973" i="2"/>
  <c r="B973" i="2"/>
  <c r="A973" i="2"/>
  <c r="U972" i="2"/>
  <c r="S972" i="2"/>
  <c r="P972" i="2"/>
  <c r="O972" i="2"/>
  <c r="K972" i="2"/>
  <c r="J972" i="2"/>
  <c r="H972" i="2"/>
  <c r="D972" i="2"/>
  <c r="B972" i="2"/>
  <c r="A972" i="2"/>
  <c r="V971" i="2"/>
  <c r="U971" i="2"/>
  <c r="T971" i="2"/>
  <c r="S971" i="2"/>
  <c r="P971" i="2"/>
  <c r="O971" i="2"/>
  <c r="K971" i="2"/>
  <c r="J971" i="2"/>
  <c r="H971" i="2"/>
  <c r="E971" i="2"/>
  <c r="D971" i="2"/>
  <c r="B971" i="2"/>
  <c r="A971" i="2"/>
  <c r="U970" i="2"/>
  <c r="S970" i="2"/>
  <c r="P970" i="2"/>
  <c r="O970" i="2"/>
  <c r="J970" i="2"/>
  <c r="K970" i="2" s="1"/>
  <c r="V970" i="2" s="1"/>
  <c r="H970" i="2"/>
  <c r="T970" i="2" s="1"/>
  <c r="E970" i="2"/>
  <c r="D970" i="2"/>
  <c r="B970" i="2"/>
  <c r="A970" i="2"/>
  <c r="U968" i="2"/>
  <c r="S968" i="2"/>
  <c r="P968" i="2"/>
  <c r="O968" i="2"/>
  <c r="J968" i="2"/>
  <c r="K968" i="2" s="1"/>
  <c r="V968" i="2" s="1"/>
  <c r="H968" i="2"/>
  <c r="D968" i="2"/>
  <c r="B968" i="2"/>
  <c r="A968" i="2"/>
  <c r="S967" i="2"/>
  <c r="P967" i="2"/>
  <c r="O967" i="2"/>
  <c r="J967" i="2"/>
  <c r="K967" i="2" s="1"/>
  <c r="H967" i="2"/>
  <c r="E967" i="2"/>
  <c r="D967" i="2"/>
  <c r="B967" i="2"/>
  <c r="A967" i="2"/>
  <c r="U966" i="2"/>
  <c r="S966" i="2"/>
  <c r="P966" i="2"/>
  <c r="O966" i="2"/>
  <c r="J966" i="2"/>
  <c r="K966" i="2" s="1"/>
  <c r="V966" i="2" s="1"/>
  <c r="H966" i="2"/>
  <c r="D966" i="2"/>
  <c r="B966" i="2"/>
  <c r="A966" i="2"/>
  <c r="S965" i="2"/>
  <c r="P965" i="2"/>
  <c r="O965" i="2"/>
  <c r="J965" i="2"/>
  <c r="K965" i="2" s="1"/>
  <c r="H965" i="2"/>
  <c r="E965" i="2"/>
  <c r="D965" i="2"/>
  <c r="B965" i="2"/>
  <c r="A965" i="2"/>
  <c r="T964" i="2"/>
  <c r="S964" i="2"/>
  <c r="P964" i="2"/>
  <c r="O964" i="2"/>
  <c r="K964" i="2"/>
  <c r="V964" i="2" s="1"/>
  <c r="J964" i="2"/>
  <c r="H964" i="2"/>
  <c r="E964" i="2"/>
  <c r="D964" i="2"/>
  <c r="B964" i="2"/>
  <c r="A964" i="2"/>
  <c r="U963" i="2"/>
  <c r="S963" i="2"/>
  <c r="P963" i="2"/>
  <c r="T963" i="2" s="1"/>
  <c r="O963" i="2"/>
  <c r="K963" i="2"/>
  <c r="V963" i="2" s="1"/>
  <c r="H963" i="2"/>
  <c r="E963" i="2"/>
  <c r="D963" i="2"/>
  <c r="B963" i="2"/>
  <c r="A963" i="2"/>
  <c r="V962" i="2"/>
  <c r="U962" i="2"/>
  <c r="S962" i="2"/>
  <c r="P962" i="2"/>
  <c r="O962" i="2"/>
  <c r="K962" i="2"/>
  <c r="J962" i="2"/>
  <c r="H962" i="2"/>
  <c r="T962" i="2" s="1"/>
  <c r="E962" i="2"/>
  <c r="D962" i="2"/>
  <c r="B962" i="2"/>
  <c r="A962" i="2"/>
  <c r="S961" i="2"/>
  <c r="T961" i="2" s="1"/>
  <c r="P961" i="2"/>
  <c r="O961" i="2"/>
  <c r="J961" i="2"/>
  <c r="K961" i="2" s="1"/>
  <c r="H961" i="2"/>
  <c r="D961" i="2"/>
  <c r="B961" i="2"/>
  <c r="A961" i="2"/>
  <c r="V960" i="2"/>
  <c r="U960" i="2"/>
  <c r="T960" i="2"/>
  <c r="S960" i="2"/>
  <c r="P960" i="2"/>
  <c r="O960" i="2"/>
  <c r="K960" i="2"/>
  <c r="J960" i="2"/>
  <c r="H960" i="2"/>
  <c r="D960" i="2"/>
  <c r="B960" i="2"/>
  <c r="A960" i="2"/>
  <c r="V959" i="2"/>
  <c r="U959" i="2"/>
  <c r="S959" i="2"/>
  <c r="P959" i="2"/>
  <c r="O959" i="2"/>
  <c r="K959" i="2"/>
  <c r="J959" i="2"/>
  <c r="H959" i="2"/>
  <c r="D959" i="2"/>
  <c r="B959" i="2"/>
  <c r="A959" i="2"/>
  <c r="S958" i="2"/>
  <c r="P958" i="2"/>
  <c r="O958" i="2"/>
  <c r="J958" i="2"/>
  <c r="K958" i="2" s="1"/>
  <c r="H958" i="2"/>
  <c r="D958" i="2"/>
  <c r="B958" i="2"/>
  <c r="A958" i="2"/>
  <c r="U957" i="2"/>
  <c r="S957" i="2"/>
  <c r="P957" i="2"/>
  <c r="O957" i="2"/>
  <c r="J957" i="2"/>
  <c r="K957" i="2" s="1"/>
  <c r="V957" i="2" s="1"/>
  <c r="H957" i="2"/>
  <c r="E957" i="2"/>
  <c r="D957" i="2"/>
  <c r="B957" i="2"/>
  <c r="A957" i="2"/>
  <c r="S955" i="2"/>
  <c r="P955" i="2"/>
  <c r="O955" i="2"/>
  <c r="J955" i="2"/>
  <c r="K955" i="2" s="1"/>
  <c r="H955" i="2"/>
  <c r="E955" i="2"/>
  <c r="D955" i="2"/>
  <c r="B955" i="2"/>
  <c r="A955" i="2"/>
  <c r="S954" i="2"/>
  <c r="T954" i="2" s="1"/>
  <c r="P954" i="2"/>
  <c r="O954" i="2"/>
  <c r="J954" i="2"/>
  <c r="K954" i="2" s="1"/>
  <c r="H954" i="2"/>
  <c r="E954" i="2"/>
  <c r="D954" i="2"/>
  <c r="B954" i="2"/>
  <c r="A954" i="2"/>
  <c r="V953" i="2"/>
  <c r="U953" i="2"/>
  <c r="S953" i="2"/>
  <c r="P953" i="2"/>
  <c r="O953" i="2"/>
  <c r="K953" i="2"/>
  <c r="J953" i="2"/>
  <c r="H953" i="2"/>
  <c r="T953" i="2" s="1"/>
  <c r="E953" i="2"/>
  <c r="D953" i="2"/>
  <c r="B953" i="2"/>
  <c r="A953" i="2"/>
  <c r="S952" i="2"/>
  <c r="P952" i="2"/>
  <c r="O952" i="2"/>
  <c r="J952" i="2"/>
  <c r="K952" i="2" s="1"/>
  <c r="H952" i="2"/>
  <c r="T952" i="2" s="1"/>
  <c r="D952" i="2"/>
  <c r="B952" i="2"/>
  <c r="A952" i="2"/>
  <c r="S951" i="2"/>
  <c r="P951" i="2"/>
  <c r="O951" i="2"/>
  <c r="J951" i="2"/>
  <c r="K951" i="2" s="1"/>
  <c r="H951" i="2"/>
  <c r="E951" i="2"/>
  <c r="D951" i="2"/>
  <c r="B951" i="2"/>
  <c r="A951" i="2"/>
  <c r="U950" i="2"/>
  <c r="S950" i="2"/>
  <c r="P950" i="2"/>
  <c r="O950" i="2"/>
  <c r="K950" i="2"/>
  <c r="V950" i="2" s="1"/>
  <c r="J950" i="2"/>
  <c r="H950" i="2"/>
  <c r="E950" i="2"/>
  <c r="D950" i="2"/>
  <c r="B950" i="2"/>
  <c r="A950" i="2"/>
  <c r="U948" i="2"/>
  <c r="S948" i="2"/>
  <c r="P948" i="2"/>
  <c r="T948" i="2" s="1"/>
  <c r="O948" i="2"/>
  <c r="K948" i="2"/>
  <c r="V948" i="2" s="1"/>
  <c r="J948" i="2"/>
  <c r="H948" i="2"/>
  <c r="E948" i="2"/>
  <c r="D948" i="2"/>
  <c r="B948" i="2"/>
  <c r="A948" i="2"/>
  <c r="S947" i="2"/>
  <c r="P947" i="2"/>
  <c r="T947" i="2" s="1"/>
  <c r="O947" i="2"/>
  <c r="J947" i="2"/>
  <c r="K947" i="2" s="1"/>
  <c r="H947" i="2"/>
  <c r="E947" i="2"/>
  <c r="D947" i="2"/>
  <c r="B947" i="2"/>
  <c r="A947" i="2"/>
  <c r="U946" i="2"/>
  <c r="T946" i="2"/>
  <c r="S946" i="2"/>
  <c r="P946" i="2"/>
  <c r="O946" i="2"/>
  <c r="K946" i="2"/>
  <c r="V946" i="2" s="1"/>
  <c r="J946" i="2"/>
  <c r="H946" i="2"/>
  <c r="D946" i="2"/>
  <c r="B946" i="2"/>
  <c r="A946" i="2"/>
  <c r="V945" i="2"/>
  <c r="U945" i="2"/>
  <c r="T945" i="2"/>
  <c r="S945" i="2"/>
  <c r="P945" i="2"/>
  <c r="O945" i="2"/>
  <c r="K945" i="2"/>
  <c r="J945" i="2"/>
  <c r="H945" i="2"/>
  <c r="D945" i="2"/>
  <c r="B945" i="2"/>
  <c r="A945" i="2"/>
  <c r="V944" i="2"/>
  <c r="U944" i="2"/>
  <c r="T944" i="2"/>
  <c r="S944" i="2"/>
  <c r="P944" i="2"/>
  <c r="O944" i="2"/>
  <c r="J944" i="2"/>
  <c r="K944" i="2" s="1"/>
  <c r="H944" i="2"/>
  <c r="D944" i="2"/>
  <c r="B944" i="2"/>
  <c r="A944" i="2"/>
  <c r="S943" i="2"/>
  <c r="P943" i="2"/>
  <c r="O943" i="2"/>
  <c r="J943" i="2"/>
  <c r="K943" i="2" s="1"/>
  <c r="H943" i="2"/>
  <c r="T943" i="2" s="1"/>
  <c r="E943" i="2"/>
  <c r="D943" i="2"/>
  <c r="B943" i="2"/>
  <c r="A943" i="2"/>
  <c r="S942" i="2"/>
  <c r="P942" i="2"/>
  <c r="O942" i="2"/>
  <c r="J942" i="2"/>
  <c r="K942" i="2" s="1"/>
  <c r="H942" i="2"/>
  <c r="E942" i="2"/>
  <c r="D942" i="2"/>
  <c r="B942" i="2"/>
  <c r="A942" i="2"/>
  <c r="U941" i="2"/>
  <c r="S941" i="2"/>
  <c r="P941" i="2"/>
  <c r="O941" i="2"/>
  <c r="K941" i="2"/>
  <c r="V941" i="2" s="1"/>
  <c r="J941" i="2"/>
  <c r="H941" i="2"/>
  <c r="E941" i="2"/>
  <c r="D941" i="2"/>
  <c r="B941" i="2"/>
  <c r="A941" i="2"/>
  <c r="S940" i="2"/>
  <c r="P940" i="2"/>
  <c r="O940" i="2"/>
  <c r="J940" i="2"/>
  <c r="K940" i="2" s="1"/>
  <c r="H940" i="2"/>
  <c r="E940" i="2"/>
  <c r="D940" i="2"/>
  <c r="B940" i="2"/>
  <c r="A940" i="2"/>
  <c r="T939" i="2"/>
  <c r="S939" i="2"/>
  <c r="P939" i="2"/>
  <c r="O939" i="2"/>
  <c r="K939" i="2"/>
  <c r="V939" i="2" s="1"/>
  <c r="J939" i="2"/>
  <c r="H939" i="2"/>
  <c r="E939" i="2"/>
  <c r="D939" i="2"/>
  <c r="B939" i="2"/>
  <c r="A939" i="2"/>
  <c r="V938" i="2"/>
  <c r="U938" i="2"/>
  <c r="S938" i="2"/>
  <c r="P938" i="2"/>
  <c r="T938" i="2" s="1"/>
  <c r="O938" i="2"/>
  <c r="K938" i="2"/>
  <c r="J938" i="2"/>
  <c r="H938" i="2"/>
  <c r="E938" i="2"/>
  <c r="D938" i="2"/>
  <c r="B938" i="2"/>
  <c r="A938" i="2"/>
  <c r="S937" i="2"/>
  <c r="P937" i="2"/>
  <c r="O937" i="2"/>
  <c r="J937" i="2"/>
  <c r="K937" i="2" s="1"/>
  <c r="H937" i="2"/>
  <c r="E937" i="2"/>
  <c r="D937" i="2"/>
  <c r="B937" i="2"/>
  <c r="A937" i="2"/>
  <c r="V936" i="2"/>
  <c r="U936" i="2"/>
  <c r="S936" i="2"/>
  <c r="P936" i="2"/>
  <c r="O936" i="2"/>
  <c r="K936" i="2"/>
  <c r="J936" i="2"/>
  <c r="H936" i="2"/>
  <c r="E936" i="2"/>
  <c r="D936" i="2"/>
  <c r="B936" i="2"/>
  <c r="A936" i="2"/>
  <c r="T935" i="2"/>
  <c r="S935" i="2"/>
  <c r="P935" i="2"/>
  <c r="O935" i="2"/>
  <c r="K935" i="2"/>
  <c r="J935" i="2"/>
  <c r="H935" i="2"/>
  <c r="D935" i="2"/>
  <c r="B935" i="2"/>
  <c r="A935" i="2"/>
  <c r="U934" i="2"/>
  <c r="T934" i="2"/>
  <c r="S934" i="2"/>
  <c r="P934" i="2"/>
  <c r="O934" i="2"/>
  <c r="K934" i="2"/>
  <c r="V934" i="2" s="1"/>
  <c r="J934" i="2"/>
  <c r="H934" i="2"/>
  <c r="E934" i="2"/>
  <c r="D934" i="2"/>
  <c r="B934" i="2"/>
  <c r="A934" i="2"/>
  <c r="S933" i="2"/>
  <c r="P933" i="2"/>
  <c r="O933" i="2"/>
  <c r="J933" i="2"/>
  <c r="K933" i="2" s="1"/>
  <c r="H933" i="2"/>
  <c r="E933" i="2"/>
  <c r="D933" i="2"/>
  <c r="B933" i="2"/>
  <c r="A933" i="2"/>
  <c r="V932" i="2"/>
  <c r="U932" i="2"/>
  <c r="S932" i="2"/>
  <c r="T932" i="2" s="1"/>
  <c r="P932" i="2"/>
  <c r="O932" i="2"/>
  <c r="K932" i="2"/>
  <c r="J932" i="2"/>
  <c r="H932" i="2"/>
  <c r="E932" i="2"/>
  <c r="D932" i="2"/>
  <c r="B932" i="2"/>
  <c r="A932" i="2"/>
  <c r="U931" i="2"/>
  <c r="S931" i="2"/>
  <c r="P931" i="2"/>
  <c r="O931" i="2"/>
  <c r="J931" i="2"/>
  <c r="K931" i="2" s="1"/>
  <c r="V931" i="2" s="1"/>
  <c r="H931" i="2"/>
  <c r="T931" i="2" s="1"/>
  <c r="E931" i="2"/>
  <c r="D931" i="2"/>
  <c r="B931" i="2"/>
  <c r="A931" i="2"/>
  <c r="S929" i="2"/>
  <c r="P929" i="2"/>
  <c r="O929" i="2"/>
  <c r="J929" i="2"/>
  <c r="K929" i="2" s="1"/>
  <c r="H929" i="2"/>
  <c r="E929" i="2"/>
  <c r="D929" i="2"/>
  <c r="B929" i="2"/>
  <c r="A929" i="2"/>
  <c r="S928" i="2"/>
  <c r="P928" i="2"/>
  <c r="O928" i="2"/>
  <c r="J928" i="2"/>
  <c r="K928" i="2" s="1"/>
  <c r="H928" i="2"/>
  <c r="D928" i="2"/>
  <c r="B928" i="2"/>
  <c r="A928" i="2"/>
  <c r="U927" i="2"/>
  <c r="S927" i="2"/>
  <c r="P927" i="2"/>
  <c r="O927" i="2"/>
  <c r="J927" i="2"/>
  <c r="K927" i="2" s="1"/>
  <c r="V927" i="2" s="1"/>
  <c r="H927" i="2"/>
  <c r="D927" i="2"/>
  <c r="B927" i="2"/>
  <c r="A927" i="2"/>
  <c r="S926" i="2"/>
  <c r="P926" i="2"/>
  <c r="O926" i="2"/>
  <c r="J926" i="2"/>
  <c r="K926" i="2" s="1"/>
  <c r="H926" i="2"/>
  <c r="E926" i="2"/>
  <c r="D926" i="2"/>
  <c r="B926" i="2"/>
  <c r="A926" i="2"/>
  <c r="U925" i="2"/>
  <c r="T925" i="2"/>
  <c r="S925" i="2"/>
  <c r="P925" i="2"/>
  <c r="O925" i="2"/>
  <c r="K925" i="2"/>
  <c r="V925" i="2" s="1"/>
  <c r="J925" i="2"/>
  <c r="H925" i="2"/>
  <c r="E925" i="2"/>
  <c r="D925" i="2"/>
  <c r="B925" i="2"/>
  <c r="A925" i="2"/>
  <c r="U924" i="2"/>
  <c r="S924" i="2"/>
  <c r="P924" i="2"/>
  <c r="T924" i="2" s="1"/>
  <c r="O924" i="2"/>
  <c r="K924" i="2"/>
  <c r="V924" i="2" s="1"/>
  <c r="J924" i="2"/>
  <c r="H924" i="2"/>
  <c r="E924" i="2"/>
  <c r="D924" i="2"/>
  <c r="B924" i="2"/>
  <c r="A924" i="2"/>
  <c r="V923" i="2"/>
  <c r="U923" i="2"/>
  <c r="S923" i="2"/>
  <c r="T923" i="2" s="1"/>
  <c r="P923" i="2"/>
  <c r="O923" i="2"/>
  <c r="J923" i="2"/>
  <c r="K923" i="2" s="1"/>
  <c r="H923" i="2"/>
  <c r="E923" i="2"/>
  <c r="D923" i="2"/>
  <c r="B923" i="2"/>
  <c r="A923" i="2"/>
  <c r="V922" i="2"/>
  <c r="U922" i="2"/>
  <c r="T922" i="2"/>
  <c r="S922" i="2"/>
  <c r="P922" i="2"/>
  <c r="O922" i="2"/>
  <c r="K922" i="2"/>
  <c r="J922" i="2"/>
  <c r="H922" i="2"/>
  <c r="E922" i="2"/>
  <c r="D922" i="2"/>
  <c r="B922" i="2"/>
  <c r="A922" i="2"/>
  <c r="V921" i="2"/>
  <c r="U921" i="2"/>
  <c r="S921" i="2"/>
  <c r="P921" i="2"/>
  <c r="O921" i="2"/>
  <c r="K921" i="2"/>
  <c r="J921" i="2"/>
  <c r="H921" i="2"/>
  <c r="D921" i="2"/>
  <c r="B921" i="2"/>
  <c r="A921" i="2"/>
  <c r="T920" i="2"/>
  <c r="S920" i="2"/>
  <c r="P920" i="2"/>
  <c r="O920" i="2"/>
  <c r="K920" i="2"/>
  <c r="J920" i="2"/>
  <c r="H920" i="2"/>
  <c r="D920" i="2"/>
  <c r="B920" i="2"/>
  <c r="A920" i="2"/>
  <c r="U919" i="2"/>
  <c r="T919" i="2"/>
  <c r="S919" i="2"/>
  <c r="P919" i="2"/>
  <c r="O919" i="2"/>
  <c r="K919" i="2"/>
  <c r="V919" i="2" s="1"/>
  <c r="J919" i="2"/>
  <c r="H919" i="2"/>
  <c r="E919" i="2"/>
  <c r="D919" i="2"/>
  <c r="B919" i="2"/>
  <c r="A919" i="2"/>
  <c r="S918" i="2"/>
  <c r="P918" i="2"/>
  <c r="O918" i="2"/>
  <c r="J918" i="2"/>
  <c r="K918" i="2" s="1"/>
  <c r="H918" i="2"/>
  <c r="E918" i="2"/>
  <c r="D918" i="2"/>
  <c r="B918" i="2"/>
  <c r="A918" i="2"/>
  <c r="S917" i="2"/>
  <c r="T917" i="2" s="1"/>
  <c r="P917" i="2"/>
  <c r="O917" i="2"/>
  <c r="J917" i="2"/>
  <c r="K917" i="2" s="1"/>
  <c r="H917" i="2"/>
  <c r="E917" i="2"/>
  <c r="D917" i="2"/>
  <c r="B917" i="2"/>
  <c r="A917" i="2"/>
  <c r="S916" i="2"/>
  <c r="P916" i="2"/>
  <c r="O916" i="2"/>
  <c r="J916" i="2"/>
  <c r="K916" i="2" s="1"/>
  <c r="V916" i="2" s="1"/>
  <c r="H916" i="2"/>
  <c r="T916" i="2" s="1"/>
  <c r="E916" i="2"/>
  <c r="D916" i="2"/>
  <c r="B916" i="2"/>
  <c r="A916" i="2"/>
  <c r="S915" i="2"/>
  <c r="P915" i="2"/>
  <c r="O915" i="2"/>
  <c r="J915" i="2"/>
  <c r="K915" i="2" s="1"/>
  <c r="H915" i="2"/>
  <c r="T915" i="2" s="1"/>
  <c r="D915" i="2"/>
  <c r="B915" i="2"/>
  <c r="A915" i="2"/>
  <c r="U914" i="2"/>
  <c r="S914" i="2"/>
  <c r="P914" i="2"/>
  <c r="O914" i="2"/>
  <c r="J914" i="2"/>
  <c r="K914" i="2" s="1"/>
  <c r="V914" i="2" s="1"/>
  <c r="H914" i="2"/>
  <c r="D914" i="2"/>
  <c r="B914" i="2"/>
  <c r="A914" i="2"/>
  <c r="S913" i="2"/>
  <c r="P913" i="2"/>
  <c r="O913" i="2"/>
  <c r="J913" i="2"/>
  <c r="K913" i="2" s="1"/>
  <c r="H913" i="2"/>
  <c r="E913" i="2"/>
  <c r="D913" i="2"/>
  <c r="B913" i="2"/>
  <c r="A913" i="2"/>
  <c r="T912" i="2"/>
  <c r="S912" i="2"/>
  <c r="P912" i="2"/>
  <c r="O912" i="2"/>
  <c r="K912" i="2"/>
  <c r="V912" i="2" s="1"/>
  <c r="J912" i="2"/>
  <c r="H912" i="2"/>
  <c r="E912" i="2"/>
  <c r="D912" i="2"/>
  <c r="B912" i="2"/>
  <c r="A912" i="2"/>
  <c r="V911" i="2"/>
  <c r="S911" i="2"/>
  <c r="P911" i="2"/>
  <c r="O911" i="2"/>
  <c r="K911" i="2"/>
  <c r="U911" i="2" s="1"/>
  <c r="J911" i="2"/>
  <c r="H911" i="2"/>
  <c r="T911" i="2" s="1"/>
  <c r="E911" i="2"/>
  <c r="D911" i="2"/>
  <c r="B911" i="2"/>
  <c r="A911" i="2"/>
  <c r="U910" i="2"/>
  <c r="T910" i="2"/>
  <c r="S910" i="2"/>
  <c r="P910" i="2"/>
  <c r="O910" i="2"/>
  <c r="K910" i="2"/>
  <c r="V910" i="2" s="1"/>
  <c r="J910" i="2"/>
  <c r="H910" i="2"/>
  <c r="E910" i="2"/>
  <c r="D910" i="2"/>
  <c r="B910" i="2"/>
  <c r="A910" i="2"/>
  <c r="V909" i="2"/>
  <c r="U909" i="2"/>
  <c r="T909" i="2"/>
  <c r="S909" i="2"/>
  <c r="P909" i="2"/>
  <c r="O909" i="2"/>
  <c r="J909" i="2"/>
  <c r="K909" i="2" s="1"/>
  <c r="H909" i="2"/>
  <c r="E909" i="2"/>
  <c r="D909" i="2"/>
  <c r="B909" i="2"/>
  <c r="A909" i="2"/>
  <c r="U908" i="2"/>
  <c r="S908" i="2"/>
  <c r="P908" i="2"/>
  <c r="O908" i="2"/>
  <c r="J908" i="2"/>
  <c r="K908" i="2" s="1"/>
  <c r="V908" i="2" s="1"/>
  <c r="H908" i="2"/>
  <c r="T908" i="2" s="1"/>
  <c r="D908" i="2"/>
  <c r="B908" i="2"/>
  <c r="A908" i="2"/>
  <c r="U906" i="2"/>
  <c r="S906" i="2"/>
  <c r="P906" i="2"/>
  <c r="O906" i="2"/>
  <c r="K906" i="2"/>
  <c r="V906" i="2" s="1"/>
  <c r="J906" i="2"/>
  <c r="H906" i="2"/>
  <c r="E906" i="2"/>
  <c r="D906" i="2"/>
  <c r="B906" i="2"/>
  <c r="A906" i="2"/>
  <c r="U905" i="2"/>
  <c r="S905" i="2"/>
  <c r="P905" i="2"/>
  <c r="O905" i="2"/>
  <c r="J905" i="2"/>
  <c r="K905" i="2" s="1"/>
  <c r="V905" i="2" s="1"/>
  <c r="H905" i="2"/>
  <c r="T905" i="2" s="1"/>
  <c r="D905" i="2"/>
  <c r="B905" i="2"/>
  <c r="A905" i="2"/>
  <c r="U904" i="2"/>
  <c r="S904" i="2"/>
  <c r="P904" i="2"/>
  <c r="O904" i="2"/>
  <c r="J904" i="2"/>
  <c r="K904" i="2" s="1"/>
  <c r="V904" i="2" s="1"/>
  <c r="H904" i="2"/>
  <c r="E904" i="2"/>
  <c r="D904" i="2"/>
  <c r="B904" i="2"/>
  <c r="A904" i="2"/>
  <c r="U903" i="2"/>
  <c r="T903" i="2"/>
  <c r="S903" i="2"/>
  <c r="P903" i="2"/>
  <c r="O903" i="2"/>
  <c r="K903" i="2"/>
  <c r="V903" i="2" s="1"/>
  <c r="J903" i="2"/>
  <c r="H903" i="2"/>
  <c r="E903" i="2"/>
  <c r="D903" i="2"/>
  <c r="B903" i="2"/>
  <c r="A903" i="2"/>
  <c r="V901" i="2"/>
  <c r="S901" i="2"/>
  <c r="P901" i="2"/>
  <c r="T901" i="2" s="1"/>
  <c r="O901" i="2"/>
  <c r="K901" i="2"/>
  <c r="U901" i="2" s="1"/>
  <c r="J901" i="2"/>
  <c r="H901" i="2"/>
  <c r="D901" i="2"/>
  <c r="B901" i="2"/>
  <c r="A901" i="2"/>
  <c r="V900" i="2"/>
  <c r="S900" i="2"/>
  <c r="T900" i="2" s="1"/>
  <c r="P900" i="2"/>
  <c r="O900" i="2"/>
  <c r="K900" i="2"/>
  <c r="U900" i="2" s="1"/>
  <c r="J900" i="2"/>
  <c r="H900" i="2"/>
  <c r="E900" i="2"/>
  <c r="D900" i="2"/>
  <c r="B900" i="2"/>
  <c r="A900" i="2"/>
  <c r="V899" i="2"/>
  <c r="U899" i="2"/>
  <c r="S899" i="2"/>
  <c r="T899" i="2" s="1"/>
  <c r="P899" i="2"/>
  <c r="O899" i="2"/>
  <c r="K899" i="2"/>
  <c r="J899" i="2"/>
  <c r="H899" i="2"/>
  <c r="E899" i="2"/>
  <c r="D899" i="2"/>
  <c r="B899" i="2"/>
  <c r="A899" i="2"/>
  <c r="S898" i="2"/>
  <c r="P898" i="2"/>
  <c r="O898" i="2"/>
  <c r="J898" i="2"/>
  <c r="K898" i="2" s="1"/>
  <c r="H898" i="2"/>
  <c r="T898" i="2" s="1"/>
  <c r="D898" i="2"/>
  <c r="B898" i="2"/>
  <c r="A898" i="2"/>
  <c r="S897" i="2"/>
  <c r="P897" i="2"/>
  <c r="O897" i="2"/>
  <c r="J897" i="2"/>
  <c r="K897" i="2" s="1"/>
  <c r="H897" i="2"/>
  <c r="E897" i="2"/>
  <c r="D897" i="2"/>
  <c r="B897" i="2"/>
  <c r="A897" i="2"/>
  <c r="S896" i="2"/>
  <c r="P896" i="2"/>
  <c r="O896" i="2"/>
  <c r="K896" i="2"/>
  <c r="J896" i="2"/>
  <c r="H896" i="2"/>
  <c r="E896" i="2"/>
  <c r="D896" i="2"/>
  <c r="B896" i="2"/>
  <c r="A896" i="2"/>
  <c r="S895" i="2"/>
  <c r="P895" i="2"/>
  <c r="O895" i="2"/>
  <c r="J895" i="2"/>
  <c r="K895" i="2" s="1"/>
  <c r="H895" i="2"/>
  <c r="D895" i="2"/>
  <c r="B895" i="2"/>
  <c r="A895" i="2"/>
  <c r="S894" i="2"/>
  <c r="P894" i="2"/>
  <c r="O894" i="2"/>
  <c r="J894" i="2"/>
  <c r="K894" i="2" s="1"/>
  <c r="H894" i="2"/>
  <c r="E894" i="2"/>
  <c r="D894" i="2"/>
  <c r="B894" i="2"/>
  <c r="A894" i="2"/>
  <c r="U893" i="2"/>
  <c r="T893" i="2"/>
  <c r="S893" i="2"/>
  <c r="P893" i="2"/>
  <c r="O893" i="2"/>
  <c r="K893" i="2"/>
  <c r="V893" i="2" s="1"/>
  <c r="J893" i="2"/>
  <c r="H893" i="2"/>
  <c r="E893" i="2"/>
  <c r="D893" i="2"/>
  <c r="B893" i="2"/>
  <c r="A893" i="2"/>
  <c r="V891" i="2"/>
  <c r="S891" i="2"/>
  <c r="P891" i="2"/>
  <c r="T891" i="2" s="1"/>
  <c r="O891" i="2"/>
  <c r="K891" i="2"/>
  <c r="U891" i="2" s="1"/>
  <c r="J891" i="2"/>
  <c r="H891" i="2"/>
  <c r="D891" i="2"/>
  <c r="B891" i="2"/>
  <c r="A891" i="2"/>
  <c r="V890" i="2"/>
  <c r="U890" i="2"/>
  <c r="S890" i="2"/>
  <c r="T890" i="2" s="1"/>
  <c r="P890" i="2"/>
  <c r="O890" i="2"/>
  <c r="K890" i="2"/>
  <c r="J890" i="2"/>
  <c r="H890" i="2"/>
  <c r="D890" i="2"/>
  <c r="B890" i="2"/>
  <c r="A890" i="2"/>
  <c r="V889" i="2"/>
  <c r="U889" i="2"/>
  <c r="T889" i="2"/>
  <c r="S889" i="2"/>
  <c r="P889" i="2"/>
  <c r="O889" i="2"/>
  <c r="K889" i="2"/>
  <c r="J889" i="2"/>
  <c r="H889" i="2"/>
  <c r="E889" i="2"/>
  <c r="D889" i="2"/>
  <c r="B889" i="2"/>
  <c r="A889" i="2"/>
  <c r="V888" i="2"/>
  <c r="S888" i="2"/>
  <c r="T888" i="2" s="1"/>
  <c r="P888" i="2"/>
  <c r="O888" i="2"/>
  <c r="K888" i="2"/>
  <c r="U888" i="2" s="1"/>
  <c r="J888" i="2"/>
  <c r="H888" i="2"/>
  <c r="D888" i="2"/>
  <c r="B888" i="2"/>
  <c r="A888" i="2"/>
  <c r="U887" i="2"/>
  <c r="S887" i="2"/>
  <c r="T887" i="2" s="1"/>
  <c r="P887" i="2"/>
  <c r="O887" i="2"/>
  <c r="K887" i="2"/>
  <c r="V887" i="2" s="1"/>
  <c r="J887" i="2"/>
  <c r="H887" i="2"/>
  <c r="E887" i="2"/>
  <c r="D887" i="2"/>
  <c r="B887" i="2"/>
  <c r="A887" i="2"/>
  <c r="U886" i="2"/>
  <c r="S886" i="2"/>
  <c r="P886" i="2"/>
  <c r="O886" i="2"/>
  <c r="J886" i="2"/>
  <c r="K886" i="2" s="1"/>
  <c r="V886" i="2" s="1"/>
  <c r="H886" i="2"/>
  <c r="T886" i="2" s="1"/>
  <c r="E886" i="2"/>
  <c r="D886" i="2"/>
  <c r="B886" i="2"/>
  <c r="A886" i="2"/>
  <c r="S885" i="2"/>
  <c r="P885" i="2"/>
  <c r="T885" i="2" s="1"/>
  <c r="O885" i="2"/>
  <c r="K885" i="2"/>
  <c r="V885" i="2" s="1"/>
  <c r="J885" i="2"/>
  <c r="H885" i="2"/>
  <c r="E885" i="2"/>
  <c r="D885" i="2"/>
  <c r="B885" i="2"/>
  <c r="A885" i="2"/>
  <c r="S884" i="2"/>
  <c r="P884" i="2"/>
  <c r="O884" i="2"/>
  <c r="J884" i="2"/>
  <c r="K884" i="2" s="1"/>
  <c r="V884" i="2" s="1"/>
  <c r="H884" i="2"/>
  <c r="T884" i="2" s="1"/>
  <c r="D884" i="2"/>
  <c r="B884" i="2"/>
  <c r="A884" i="2"/>
  <c r="U883" i="2"/>
  <c r="S883" i="2"/>
  <c r="P883" i="2"/>
  <c r="O883" i="2"/>
  <c r="J883" i="2"/>
  <c r="K883" i="2" s="1"/>
  <c r="V883" i="2" s="1"/>
  <c r="H883" i="2"/>
  <c r="E883" i="2"/>
  <c r="D883" i="2"/>
  <c r="B883" i="2"/>
  <c r="A883" i="2"/>
  <c r="U882" i="2"/>
  <c r="S882" i="2"/>
  <c r="P882" i="2"/>
  <c r="O882" i="2"/>
  <c r="J882" i="2"/>
  <c r="K882" i="2" s="1"/>
  <c r="V882" i="2" s="1"/>
  <c r="H882" i="2"/>
  <c r="E882" i="2"/>
  <c r="D882" i="2"/>
  <c r="B882" i="2"/>
  <c r="A882" i="2"/>
  <c r="S881" i="2"/>
  <c r="P881" i="2"/>
  <c r="O881" i="2"/>
  <c r="K881" i="2"/>
  <c r="U881" i="2" s="1"/>
  <c r="J881" i="2"/>
  <c r="H881" i="2"/>
  <c r="T881" i="2" s="1"/>
  <c r="E881" i="2"/>
  <c r="D881" i="2"/>
  <c r="B881" i="2"/>
  <c r="A881" i="2"/>
  <c r="U880" i="2"/>
  <c r="T880" i="2"/>
  <c r="S880" i="2"/>
  <c r="P880" i="2"/>
  <c r="O880" i="2"/>
  <c r="K880" i="2"/>
  <c r="V880" i="2" s="1"/>
  <c r="J880" i="2"/>
  <c r="H880" i="2"/>
  <c r="D880" i="2"/>
  <c r="B880" i="2"/>
  <c r="A880" i="2"/>
  <c r="V879" i="2"/>
  <c r="U879" i="2"/>
  <c r="S879" i="2"/>
  <c r="P879" i="2"/>
  <c r="T879" i="2" s="1"/>
  <c r="O879" i="2"/>
  <c r="K879" i="2"/>
  <c r="J879" i="2"/>
  <c r="H879" i="2"/>
  <c r="E879" i="2"/>
  <c r="D879" i="2"/>
  <c r="B879" i="2"/>
  <c r="A879" i="2"/>
  <c r="S878" i="2"/>
  <c r="P878" i="2"/>
  <c r="O878" i="2"/>
  <c r="J878" i="2"/>
  <c r="K878" i="2" s="1"/>
  <c r="H878" i="2"/>
  <c r="E878" i="2"/>
  <c r="D878" i="2"/>
  <c r="B878" i="2"/>
  <c r="A878" i="2"/>
  <c r="U877" i="2"/>
  <c r="S877" i="2"/>
  <c r="P877" i="2"/>
  <c r="O877" i="2"/>
  <c r="J877" i="2"/>
  <c r="K877" i="2" s="1"/>
  <c r="V877" i="2" s="1"/>
  <c r="H877" i="2"/>
  <c r="T877" i="2" s="1"/>
  <c r="E877" i="2"/>
  <c r="D877" i="2"/>
  <c r="B877" i="2"/>
  <c r="A877" i="2"/>
  <c r="S876" i="2"/>
  <c r="P876" i="2"/>
  <c r="O876" i="2"/>
  <c r="J876" i="2"/>
  <c r="K876" i="2" s="1"/>
  <c r="H876" i="2"/>
  <c r="T876" i="2" s="1"/>
  <c r="E876" i="2"/>
  <c r="D876" i="2"/>
  <c r="B876" i="2"/>
  <c r="A876" i="2"/>
  <c r="U875" i="2"/>
  <c r="S875" i="2"/>
  <c r="P875" i="2"/>
  <c r="O875" i="2"/>
  <c r="J875" i="2"/>
  <c r="K875" i="2" s="1"/>
  <c r="V875" i="2" s="1"/>
  <c r="H875" i="2"/>
  <c r="E875" i="2"/>
  <c r="D875" i="2"/>
  <c r="B875" i="2"/>
  <c r="A875" i="2"/>
  <c r="T874" i="2"/>
  <c r="S874" i="2"/>
  <c r="P874" i="2"/>
  <c r="O874" i="2"/>
  <c r="K874" i="2"/>
  <c r="V874" i="2" s="1"/>
  <c r="J874" i="2"/>
  <c r="H874" i="2"/>
  <c r="E874" i="2"/>
  <c r="D874" i="2"/>
  <c r="B874" i="2"/>
  <c r="A874" i="2"/>
  <c r="V873" i="2"/>
  <c r="U873" i="2"/>
  <c r="S873" i="2"/>
  <c r="P873" i="2"/>
  <c r="O873" i="2"/>
  <c r="K873" i="2"/>
  <c r="J873" i="2"/>
  <c r="H873" i="2"/>
  <c r="T873" i="2" s="1"/>
  <c r="E873" i="2"/>
  <c r="D873" i="2"/>
  <c r="B873" i="2"/>
  <c r="A873" i="2"/>
  <c r="U872" i="2"/>
  <c r="T872" i="2"/>
  <c r="S872" i="2"/>
  <c r="P872" i="2"/>
  <c r="O872" i="2"/>
  <c r="K872" i="2"/>
  <c r="V872" i="2" s="1"/>
  <c r="J872" i="2"/>
  <c r="H872" i="2"/>
  <c r="D872" i="2"/>
  <c r="B872" i="2"/>
  <c r="A872" i="2"/>
  <c r="V871" i="2"/>
  <c r="U871" i="2"/>
  <c r="S871" i="2"/>
  <c r="P871" i="2"/>
  <c r="T871" i="2" s="1"/>
  <c r="O871" i="2"/>
  <c r="K871" i="2"/>
  <c r="J871" i="2"/>
  <c r="H871" i="2"/>
  <c r="D871" i="2"/>
  <c r="B871" i="2"/>
  <c r="A871" i="2"/>
  <c r="V870" i="2"/>
  <c r="U870" i="2"/>
  <c r="T870" i="2"/>
  <c r="S870" i="2"/>
  <c r="P870" i="2"/>
  <c r="O870" i="2"/>
  <c r="J870" i="2"/>
  <c r="K870" i="2" s="1"/>
  <c r="H870" i="2"/>
  <c r="E870" i="2"/>
  <c r="D870" i="2"/>
  <c r="B870" i="2"/>
  <c r="A870" i="2"/>
  <c r="S869" i="2"/>
  <c r="P869" i="2"/>
  <c r="O869" i="2"/>
  <c r="J869" i="2"/>
  <c r="K869" i="2" s="1"/>
  <c r="H869" i="2"/>
  <c r="T869" i="2" s="1"/>
  <c r="E869" i="2"/>
  <c r="D869" i="2"/>
  <c r="B869" i="2"/>
  <c r="A869" i="2"/>
  <c r="S868" i="2"/>
  <c r="P868" i="2"/>
  <c r="O868" i="2"/>
  <c r="K868" i="2"/>
  <c r="J868" i="2"/>
  <c r="H868" i="2"/>
  <c r="E868" i="2"/>
  <c r="D868" i="2"/>
  <c r="B868" i="2"/>
  <c r="A868" i="2"/>
  <c r="S867" i="2"/>
  <c r="P867" i="2"/>
  <c r="O867" i="2"/>
  <c r="K867" i="2"/>
  <c r="V867" i="2" s="1"/>
  <c r="J867" i="2"/>
  <c r="H867" i="2"/>
  <c r="T867" i="2" s="1"/>
  <c r="E867" i="2"/>
  <c r="D867" i="2"/>
  <c r="B867" i="2"/>
  <c r="A867" i="2"/>
  <c r="S866" i="2"/>
  <c r="P866" i="2"/>
  <c r="O866" i="2"/>
  <c r="J866" i="2"/>
  <c r="K866" i="2" s="1"/>
  <c r="H866" i="2"/>
  <c r="D866" i="2"/>
  <c r="B866" i="2"/>
  <c r="A866" i="2"/>
  <c r="T865" i="2"/>
  <c r="S865" i="2"/>
  <c r="P865" i="2"/>
  <c r="O865" i="2"/>
  <c r="K865" i="2"/>
  <c r="V865" i="2" s="1"/>
  <c r="J865" i="2"/>
  <c r="H865" i="2"/>
  <c r="E865" i="2"/>
  <c r="D865" i="2"/>
  <c r="B865" i="2"/>
  <c r="A865" i="2"/>
  <c r="U864" i="2"/>
  <c r="S864" i="2"/>
  <c r="P864" i="2"/>
  <c r="T864" i="2" s="1"/>
  <c r="O864" i="2"/>
  <c r="K864" i="2"/>
  <c r="V864" i="2" s="1"/>
  <c r="J864" i="2"/>
  <c r="H864" i="2"/>
  <c r="E864" i="2"/>
  <c r="D864" i="2"/>
  <c r="B864" i="2"/>
  <c r="A864" i="2"/>
  <c r="S862" i="2"/>
  <c r="P862" i="2"/>
  <c r="O862" i="2"/>
  <c r="J862" i="2"/>
  <c r="K862" i="2" s="1"/>
  <c r="H862" i="2"/>
  <c r="E862" i="2"/>
  <c r="D862" i="2"/>
  <c r="B862" i="2"/>
  <c r="A862" i="2"/>
  <c r="V861" i="2"/>
  <c r="U861" i="2"/>
  <c r="T861" i="2"/>
  <c r="S861" i="2"/>
  <c r="P861" i="2"/>
  <c r="O861" i="2"/>
  <c r="K861" i="2"/>
  <c r="J861" i="2"/>
  <c r="H861" i="2"/>
  <c r="E861" i="2"/>
  <c r="D861" i="2"/>
  <c r="B861" i="2"/>
  <c r="A861" i="2"/>
  <c r="S860" i="2"/>
  <c r="P860" i="2"/>
  <c r="O860" i="2"/>
  <c r="J860" i="2"/>
  <c r="K860" i="2" s="1"/>
  <c r="H860" i="2"/>
  <c r="T860" i="2" s="1"/>
  <c r="E860" i="2"/>
  <c r="D860" i="2"/>
  <c r="B860" i="2"/>
  <c r="A860" i="2"/>
  <c r="S858" i="2"/>
  <c r="P858" i="2"/>
  <c r="O858" i="2"/>
  <c r="K858" i="2"/>
  <c r="J858" i="2"/>
  <c r="H858" i="2"/>
  <c r="E858" i="2"/>
  <c r="D858" i="2"/>
  <c r="B858" i="2"/>
  <c r="A858" i="2"/>
  <c r="U857" i="2"/>
  <c r="S857" i="2"/>
  <c r="P857" i="2"/>
  <c r="O857" i="2"/>
  <c r="J857" i="2"/>
  <c r="K857" i="2" s="1"/>
  <c r="V857" i="2" s="1"/>
  <c r="H857" i="2"/>
  <c r="D857" i="2"/>
  <c r="B857" i="2"/>
  <c r="A857" i="2"/>
  <c r="S856" i="2"/>
  <c r="P856" i="2"/>
  <c r="T856" i="2" s="1"/>
  <c r="O856" i="2"/>
  <c r="J856" i="2"/>
  <c r="K856" i="2" s="1"/>
  <c r="H856" i="2"/>
  <c r="E856" i="2"/>
  <c r="D856" i="2"/>
  <c r="B856" i="2"/>
  <c r="A856" i="2"/>
  <c r="T854" i="2"/>
  <c r="S854" i="2"/>
  <c r="P854" i="2"/>
  <c r="O854" i="2"/>
  <c r="J854" i="2"/>
  <c r="K854" i="2" s="1"/>
  <c r="V854" i="2" s="1"/>
  <c r="H854" i="2"/>
  <c r="E854" i="2"/>
  <c r="D854" i="2"/>
  <c r="B854" i="2"/>
  <c r="A854" i="2"/>
  <c r="U853" i="2"/>
  <c r="S853" i="2"/>
  <c r="P853" i="2"/>
  <c r="O853" i="2"/>
  <c r="J853" i="2"/>
  <c r="K853" i="2" s="1"/>
  <c r="H853" i="2"/>
  <c r="E853" i="2"/>
  <c r="D853" i="2"/>
  <c r="B853" i="2"/>
  <c r="A853" i="2"/>
  <c r="S851" i="2"/>
  <c r="P851" i="2"/>
  <c r="O851" i="2"/>
  <c r="K851" i="2"/>
  <c r="V851" i="2" s="1"/>
  <c r="J851" i="2"/>
  <c r="H851" i="2"/>
  <c r="E851" i="2"/>
  <c r="D851" i="2"/>
  <c r="B851" i="2"/>
  <c r="A851" i="2"/>
  <c r="S850" i="2"/>
  <c r="T850" i="2" s="1"/>
  <c r="P850" i="2"/>
  <c r="O850" i="2"/>
  <c r="K850" i="2"/>
  <c r="V850" i="2" s="1"/>
  <c r="J850" i="2"/>
  <c r="H850" i="2"/>
  <c r="E850" i="2"/>
  <c r="D850" i="2"/>
  <c r="B850" i="2"/>
  <c r="A850" i="2"/>
  <c r="V849" i="2"/>
  <c r="U849" i="2"/>
  <c r="S849" i="2"/>
  <c r="P849" i="2"/>
  <c r="T849" i="2" s="1"/>
  <c r="O849" i="2"/>
  <c r="K849" i="2"/>
  <c r="J849" i="2"/>
  <c r="H849" i="2"/>
  <c r="E849" i="2"/>
  <c r="D849" i="2"/>
  <c r="B849" i="2"/>
  <c r="A849" i="2"/>
  <c r="S847" i="2"/>
  <c r="P847" i="2"/>
  <c r="O847" i="2"/>
  <c r="J847" i="2"/>
  <c r="K847" i="2" s="1"/>
  <c r="H847" i="2"/>
  <c r="E847" i="2"/>
  <c r="D847" i="2"/>
  <c r="B847" i="2"/>
  <c r="A847" i="2"/>
  <c r="S845" i="2"/>
  <c r="P845" i="2"/>
  <c r="O845" i="2"/>
  <c r="J845" i="2"/>
  <c r="K845" i="2" s="1"/>
  <c r="V845" i="2" s="1"/>
  <c r="H845" i="2"/>
  <c r="T845" i="2" s="1"/>
  <c r="E845" i="2"/>
  <c r="D845" i="2"/>
  <c r="B845" i="2"/>
  <c r="A845" i="2"/>
  <c r="S844" i="2"/>
  <c r="P844" i="2"/>
  <c r="O844" i="2"/>
  <c r="J844" i="2"/>
  <c r="K844" i="2" s="1"/>
  <c r="H844" i="2"/>
  <c r="T844" i="2" s="1"/>
  <c r="E844" i="2"/>
  <c r="D844" i="2"/>
  <c r="B844" i="2"/>
  <c r="A844" i="2"/>
  <c r="S843" i="2"/>
  <c r="P843" i="2"/>
  <c r="O843" i="2"/>
  <c r="J843" i="2"/>
  <c r="K843" i="2" s="1"/>
  <c r="H843" i="2"/>
  <c r="D843" i="2"/>
  <c r="B843" i="2"/>
  <c r="A843" i="2"/>
  <c r="S842" i="2"/>
  <c r="P842" i="2"/>
  <c r="O842" i="2"/>
  <c r="J842" i="2"/>
  <c r="K842" i="2" s="1"/>
  <c r="H842" i="2"/>
  <c r="D842" i="2"/>
  <c r="B842" i="2"/>
  <c r="A842" i="2"/>
  <c r="S841" i="2"/>
  <c r="P841" i="2"/>
  <c r="O841" i="2"/>
  <c r="J841" i="2"/>
  <c r="K841" i="2" s="1"/>
  <c r="H841" i="2"/>
  <c r="D841" i="2"/>
  <c r="B841" i="2"/>
  <c r="A841" i="2"/>
  <c r="T840" i="2"/>
  <c r="S840" i="2"/>
  <c r="P840" i="2"/>
  <c r="O840" i="2"/>
  <c r="K840" i="2"/>
  <c r="V840" i="2" s="1"/>
  <c r="J840" i="2"/>
  <c r="H840" i="2"/>
  <c r="E840" i="2"/>
  <c r="D840" i="2"/>
  <c r="B840" i="2"/>
  <c r="A840" i="2"/>
  <c r="V839" i="2"/>
  <c r="U839" i="2"/>
  <c r="S839" i="2"/>
  <c r="P839" i="2"/>
  <c r="O839" i="2"/>
  <c r="K839" i="2"/>
  <c r="J839" i="2"/>
  <c r="H839" i="2"/>
  <c r="T839" i="2" s="1"/>
  <c r="E839" i="2"/>
  <c r="D839" i="2"/>
  <c r="B839" i="2"/>
  <c r="A839" i="2"/>
  <c r="U838" i="2"/>
  <c r="S838" i="2"/>
  <c r="T838" i="2" s="1"/>
  <c r="P838" i="2"/>
  <c r="O838" i="2"/>
  <c r="K838" i="2"/>
  <c r="V838" i="2" s="1"/>
  <c r="J838" i="2"/>
  <c r="H838" i="2"/>
  <c r="E838" i="2"/>
  <c r="D838" i="2"/>
  <c r="B838" i="2"/>
  <c r="A838" i="2"/>
  <c r="V837" i="2"/>
  <c r="U837" i="2"/>
  <c r="S837" i="2"/>
  <c r="P837" i="2"/>
  <c r="T837" i="2" s="1"/>
  <c r="O837" i="2"/>
  <c r="K837" i="2"/>
  <c r="J837" i="2"/>
  <c r="H837" i="2"/>
  <c r="E837" i="2"/>
  <c r="D837" i="2"/>
  <c r="B837" i="2"/>
  <c r="A837" i="2"/>
  <c r="U836" i="2"/>
  <c r="S836" i="2"/>
  <c r="P836" i="2"/>
  <c r="O836" i="2"/>
  <c r="J836" i="2"/>
  <c r="K836" i="2" s="1"/>
  <c r="H836" i="2"/>
  <c r="D836" i="2"/>
  <c r="B836" i="2"/>
  <c r="A836" i="2"/>
  <c r="S835" i="2"/>
  <c r="P835" i="2"/>
  <c r="O835" i="2"/>
  <c r="J835" i="2"/>
  <c r="K835" i="2" s="1"/>
  <c r="H835" i="2"/>
  <c r="E835" i="2"/>
  <c r="D835" i="2"/>
  <c r="B835" i="2"/>
  <c r="A835" i="2"/>
  <c r="S834" i="2"/>
  <c r="P834" i="2"/>
  <c r="O834" i="2"/>
  <c r="K834" i="2"/>
  <c r="J834" i="2"/>
  <c r="H834" i="2"/>
  <c r="E834" i="2"/>
  <c r="D834" i="2"/>
  <c r="B834" i="2"/>
  <c r="A834" i="2"/>
  <c r="U833" i="2"/>
  <c r="S833" i="2"/>
  <c r="P833" i="2"/>
  <c r="O833" i="2"/>
  <c r="J833" i="2"/>
  <c r="K833" i="2" s="1"/>
  <c r="V833" i="2" s="1"/>
  <c r="H833" i="2"/>
  <c r="E833" i="2"/>
  <c r="D833" i="2"/>
  <c r="B833" i="2"/>
  <c r="A833" i="2"/>
  <c r="T831" i="2"/>
  <c r="S831" i="2"/>
  <c r="P831" i="2"/>
  <c r="O831" i="2"/>
  <c r="K831" i="2"/>
  <c r="V831" i="2" s="1"/>
  <c r="J831" i="2"/>
  <c r="H831" i="2"/>
  <c r="E831" i="2"/>
  <c r="D831" i="2"/>
  <c r="B831" i="2"/>
  <c r="A831" i="2"/>
  <c r="V829" i="2"/>
  <c r="S829" i="2"/>
  <c r="P829" i="2"/>
  <c r="O829" i="2"/>
  <c r="J829" i="2"/>
  <c r="K829" i="2" s="1"/>
  <c r="U829" i="2" s="1"/>
  <c r="H829" i="2"/>
  <c r="T829" i="2" s="1"/>
  <c r="D829" i="2"/>
  <c r="B829" i="2"/>
  <c r="A829" i="2"/>
  <c r="V828" i="2"/>
  <c r="S828" i="2"/>
  <c r="P828" i="2"/>
  <c r="O828" i="2"/>
  <c r="K828" i="2"/>
  <c r="U828" i="2" s="1"/>
  <c r="J828" i="2"/>
  <c r="H828" i="2"/>
  <c r="T828" i="2" s="1"/>
  <c r="E828" i="2"/>
  <c r="D828" i="2"/>
  <c r="B828" i="2"/>
  <c r="A828" i="2"/>
  <c r="U827" i="2"/>
  <c r="T827" i="2"/>
  <c r="S827" i="2"/>
  <c r="P827" i="2"/>
  <c r="O827" i="2"/>
  <c r="K827" i="2"/>
  <c r="V827" i="2" s="1"/>
  <c r="J827" i="2"/>
  <c r="H827" i="2"/>
  <c r="E827" i="2"/>
  <c r="D827" i="2"/>
  <c r="B827" i="2"/>
  <c r="A827" i="2"/>
  <c r="V826" i="2"/>
  <c r="S826" i="2"/>
  <c r="P826" i="2"/>
  <c r="T826" i="2" s="1"/>
  <c r="O826" i="2"/>
  <c r="K826" i="2"/>
  <c r="U826" i="2" s="1"/>
  <c r="J826" i="2"/>
  <c r="H826" i="2"/>
  <c r="E826" i="2"/>
  <c r="D826" i="2"/>
  <c r="B826" i="2"/>
  <c r="A826" i="2"/>
  <c r="S825" i="2"/>
  <c r="P825" i="2"/>
  <c r="O825" i="2"/>
  <c r="J825" i="2"/>
  <c r="K825" i="2" s="1"/>
  <c r="H825" i="2"/>
  <c r="D825" i="2"/>
  <c r="B825" i="2"/>
  <c r="A825" i="2"/>
  <c r="S823" i="2"/>
  <c r="P823" i="2"/>
  <c r="O823" i="2"/>
  <c r="K823" i="2"/>
  <c r="J823" i="2"/>
  <c r="H823" i="2"/>
  <c r="E823" i="2"/>
  <c r="D823" i="2"/>
  <c r="B823" i="2"/>
  <c r="A823" i="2"/>
  <c r="S821" i="2"/>
  <c r="P821" i="2"/>
  <c r="O821" i="2"/>
  <c r="J821" i="2"/>
  <c r="K821" i="2" s="1"/>
  <c r="H821" i="2"/>
  <c r="E821" i="2"/>
  <c r="D821" i="2"/>
  <c r="B821" i="2"/>
  <c r="A821" i="2"/>
  <c r="T820" i="2"/>
  <c r="S820" i="2"/>
  <c r="P820" i="2"/>
  <c r="O820" i="2"/>
  <c r="K820" i="2"/>
  <c r="J820" i="2"/>
  <c r="H820" i="2"/>
  <c r="E820" i="2"/>
  <c r="D820" i="2"/>
  <c r="B820" i="2"/>
  <c r="A820" i="2"/>
  <c r="V818" i="2"/>
  <c r="S818" i="2"/>
  <c r="P818" i="2"/>
  <c r="O818" i="2"/>
  <c r="K818" i="2"/>
  <c r="U818" i="2" s="1"/>
  <c r="J818" i="2"/>
  <c r="H818" i="2"/>
  <c r="D818" i="2"/>
  <c r="B818" i="2"/>
  <c r="A818" i="2"/>
  <c r="U817" i="2"/>
  <c r="S817" i="2"/>
  <c r="T817" i="2" s="1"/>
  <c r="P817" i="2"/>
  <c r="O817" i="2"/>
  <c r="J817" i="2"/>
  <c r="K817" i="2" s="1"/>
  <c r="V817" i="2" s="1"/>
  <c r="H817" i="2"/>
  <c r="D817" i="2"/>
  <c r="B817" i="2"/>
  <c r="A817" i="2"/>
  <c r="U816" i="2"/>
  <c r="T816" i="2"/>
  <c r="S816" i="2"/>
  <c r="P816" i="2"/>
  <c r="O816" i="2"/>
  <c r="K816" i="2"/>
  <c r="V816" i="2" s="1"/>
  <c r="H816" i="2"/>
  <c r="E816" i="2"/>
  <c r="D816" i="2"/>
  <c r="B816" i="2"/>
  <c r="A816" i="2"/>
  <c r="V815" i="2"/>
  <c r="U815" i="2"/>
  <c r="S815" i="2"/>
  <c r="P815" i="2"/>
  <c r="T815" i="2" s="1"/>
  <c r="O815" i="2"/>
  <c r="K815" i="2"/>
  <c r="J815" i="2"/>
  <c r="H815" i="2"/>
  <c r="D815" i="2"/>
  <c r="B815" i="2"/>
  <c r="A815" i="2"/>
  <c r="U814" i="2"/>
  <c r="S814" i="2"/>
  <c r="P814" i="2"/>
  <c r="O814" i="2"/>
  <c r="J814" i="2"/>
  <c r="K814" i="2" s="1"/>
  <c r="V814" i="2" s="1"/>
  <c r="H814" i="2"/>
  <c r="E814" i="2"/>
  <c r="D814" i="2"/>
  <c r="B814" i="2"/>
  <c r="A814" i="2"/>
  <c r="S813" i="2"/>
  <c r="P813" i="2"/>
  <c r="O813" i="2"/>
  <c r="K813" i="2"/>
  <c r="J813" i="2"/>
  <c r="H813" i="2"/>
  <c r="E813" i="2"/>
  <c r="D813" i="2"/>
  <c r="B813" i="2"/>
  <c r="A813" i="2"/>
  <c r="S812" i="2"/>
  <c r="P812" i="2"/>
  <c r="O812" i="2"/>
  <c r="J812" i="2"/>
  <c r="K812" i="2" s="1"/>
  <c r="H812" i="2"/>
  <c r="E812" i="2"/>
  <c r="D812" i="2"/>
  <c r="B812" i="2"/>
  <c r="A812" i="2"/>
  <c r="T811" i="2"/>
  <c r="S811" i="2"/>
  <c r="P811" i="2"/>
  <c r="O811" i="2"/>
  <c r="K811" i="2"/>
  <c r="J811" i="2"/>
  <c r="H811" i="2"/>
  <c r="D811" i="2"/>
  <c r="B811" i="2"/>
  <c r="A811" i="2"/>
  <c r="S810" i="2"/>
  <c r="P810" i="2"/>
  <c r="O810" i="2"/>
  <c r="J810" i="2"/>
  <c r="K810" i="2" s="1"/>
  <c r="V810" i="2" s="1"/>
  <c r="H810" i="2"/>
  <c r="E810" i="2"/>
  <c r="D810" i="2"/>
  <c r="B810" i="2"/>
  <c r="A810" i="2"/>
  <c r="T809" i="2"/>
  <c r="S809" i="2"/>
  <c r="P809" i="2"/>
  <c r="O809" i="2"/>
  <c r="J809" i="2"/>
  <c r="K809" i="2" s="1"/>
  <c r="H809" i="2"/>
  <c r="E809" i="2"/>
  <c r="D809" i="2"/>
  <c r="B809" i="2"/>
  <c r="A809" i="2"/>
  <c r="V808" i="2"/>
  <c r="U808" i="2"/>
  <c r="S808" i="2"/>
  <c r="P808" i="2"/>
  <c r="T808" i="2" s="1"/>
  <c r="O808" i="2"/>
  <c r="K808" i="2"/>
  <c r="J808" i="2"/>
  <c r="H808" i="2"/>
  <c r="E808" i="2"/>
  <c r="D808" i="2"/>
  <c r="B808" i="2"/>
  <c r="A808" i="2"/>
  <c r="S807" i="2"/>
  <c r="P807" i="2"/>
  <c r="O807" i="2"/>
  <c r="J807" i="2"/>
  <c r="K807" i="2" s="1"/>
  <c r="H807" i="2"/>
  <c r="E807" i="2"/>
  <c r="D807" i="2"/>
  <c r="B807" i="2"/>
  <c r="A807" i="2"/>
  <c r="S806" i="2"/>
  <c r="P806" i="2"/>
  <c r="O806" i="2"/>
  <c r="K806" i="2"/>
  <c r="V806" i="2" s="1"/>
  <c r="J806" i="2"/>
  <c r="H806" i="2"/>
  <c r="T806" i="2" s="1"/>
  <c r="E806" i="2"/>
  <c r="D806" i="2"/>
  <c r="B806" i="2"/>
  <c r="A806" i="2"/>
  <c r="S805" i="2"/>
  <c r="P805" i="2"/>
  <c r="O805" i="2"/>
  <c r="K805" i="2"/>
  <c r="J805" i="2"/>
  <c r="H805" i="2"/>
  <c r="E805" i="2"/>
  <c r="D805" i="2"/>
  <c r="B805" i="2"/>
  <c r="A805" i="2"/>
  <c r="U804" i="2"/>
  <c r="S804" i="2"/>
  <c r="P804" i="2"/>
  <c r="O804" i="2"/>
  <c r="J804" i="2"/>
  <c r="K804" i="2" s="1"/>
  <c r="V804" i="2" s="1"/>
  <c r="H804" i="2"/>
  <c r="T804" i="2" s="1"/>
  <c r="D804" i="2"/>
  <c r="B804" i="2"/>
  <c r="A804" i="2"/>
  <c r="V802" i="2"/>
  <c r="S802" i="2"/>
  <c r="P802" i="2"/>
  <c r="O802" i="2"/>
  <c r="K802" i="2"/>
  <c r="U802" i="2" s="1"/>
  <c r="J802" i="2"/>
  <c r="H802" i="2"/>
  <c r="E802" i="2"/>
  <c r="D802" i="2"/>
  <c r="B802" i="2"/>
  <c r="A802" i="2"/>
  <c r="U801" i="2"/>
  <c r="T801" i="2"/>
  <c r="S801" i="2"/>
  <c r="P801" i="2"/>
  <c r="O801" i="2"/>
  <c r="K801" i="2"/>
  <c r="V801" i="2" s="1"/>
  <c r="J801" i="2"/>
  <c r="H801" i="2"/>
  <c r="E801" i="2"/>
  <c r="D801" i="2"/>
  <c r="B801" i="2"/>
  <c r="A801" i="2"/>
  <c r="V800" i="2"/>
  <c r="S800" i="2"/>
  <c r="P800" i="2"/>
  <c r="O800" i="2"/>
  <c r="J800" i="2"/>
  <c r="K800" i="2" s="1"/>
  <c r="U800" i="2" s="1"/>
  <c r="H800" i="2"/>
  <c r="T800" i="2" s="1"/>
  <c r="E800" i="2"/>
  <c r="D800" i="2"/>
  <c r="B800" i="2"/>
  <c r="A800" i="2"/>
  <c r="S799" i="2"/>
  <c r="P799" i="2"/>
  <c r="O799" i="2"/>
  <c r="K799" i="2"/>
  <c r="J799" i="2"/>
  <c r="H799" i="2"/>
  <c r="E799" i="2"/>
  <c r="D799" i="2"/>
  <c r="B799" i="2"/>
  <c r="A799" i="2"/>
  <c r="S798" i="2"/>
  <c r="P798" i="2"/>
  <c r="O798" i="2"/>
  <c r="J798" i="2"/>
  <c r="K798" i="2" s="1"/>
  <c r="H798" i="2"/>
  <c r="T798" i="2" s="1"/>
  <c r="E798" i="2"/>
  <c r="D798" i="2"/>
  <c r="B798" i="2"/>
  <c r="A798" i="2"/>
  <c r="S797" i="2"/>
  <c r="P797" i="2"/>
  <c r="O797" i="2"/>
  <c r="K797" i="2"/>
  <c r="J797" i="2"/>
  <c r="H797" i="2"/>
  <c r="D797" i="2"/>
  <c r="B797" i="2"/>
  <c r="A797" i="2"/>
  <c r="U796" i="2"/>
  <c r="S796" i="2"/>
  <c r="P796" i="2"/>
  <c r="T796" i="2" s="1"/>
  <c r="O796" i="2"/>
  <c r="J796" i="2"/>
  <c r="K796" i="2" s="1"/>
  <c r="V796" i="2" s="1"/>
  <c r="H796" i="2"/>
  <c r="E796" i="2"/>
  <c r="D796" i="2"/>
  <c r="B796" i="2"/>
  <c r="A796" i="2"/>
  <c r="S795" i="2"/>
  <c r="T795" i="2" s="1"/>
  <c r="P795" i="2"/>
  <c r="O795" i="2"/>
  <c r="J795" i="2"/>
  <c r="K795" i="2" s="1"/>
  <c r="H795" i="2"/>
  <c r="D795" i="2"/>
  <c r="B795" i="2"/>
  <c r="A795" i="2"/>
  <c r="U794" i="2"/>
  <c r="T794" i="2"/>
  <c r="S794" i="2"/>
  <c r="P794" i="2"/>
  <c r="O794" i="2"/>
  <c r="K794" i="2"/>
  <c r="V794" i="2" s="1"/>
  <c r="J794" i="2"/>
  <c r="H794" i="2"/>
  <c r="E794" i="2"/>
  <c r="D794" i="2"/>
  <c r="B794" i="2"/>
  <c r="A794" i="2"/>
  <c r="V792" i="2"/>
  <c r="S792" i="2"/>
  <c r="P792" i="2"/>
  <c r="O792" i="2"/>
  <c r="J792" i="2"/>
  <c r="K792" i="2" s="1"/>
  <c r="U792" i="2" s="1"/>
  <c r="H792" i="2"/>
  <c r="T792" i="2" s="1"/>
  <c r="E792" i="2"/>
  <c r="D792" i="2"/>
  <c r="B792" i="2"/>
  <c r="A792" i="2"/>
  <c r="S790" i="2"/>
  <c r="P790" i="2"/>
  <c r="O790" i="2"/>
  <c r="K790" i="2"/>
  <c r="J790" i="2"/>
  <c r="H790" i="2"/>
  <c r="E790" i="2"/>
  <c r="D790" i="2"/>
  <c r="B790" i="2"/>
  <c r="A790" i="2"/>
  <c r="S789" i="2"/>
  <c r="P789" i="2"/>
  <c r="O789" i="2"/>
  <c r="J789" i="2"/>
  <c r="K789" i="2" s="1"/>
  <c r="H789" i="2"/>
  <c r="E789" i="2"/>
  <c r="D789" i="2"/>
  <c r="B789" i="2"/>
  <c r="A789" i="2"/>
  <c r="S788" i="2"/>
  <c r="P788" i="2"/>
  <c r="O788" i="2"/>
  <c r="K788" i="2"/>
  <c r="J788" i="2"/>
  <c r="H788" i="2"/>
  <c r="E788" i="2"/>
  <c r="D788" i="2"/>
  <c r="B788" i="2"/>
  <c r="A788" i="2"/>
  <c r="V786" i="2"/>
  <c r="S786" i="2"/>
  <c r="P786" i="2"/>
  <c r="O786" i="2"/>
  <c r="K786" i="2"/>
  <c r="U786" i="2" s="1"/>
  <c r="J786" i="2"/>
  <c r="H786" i="2"/>
  <c r="E786" i="2"/>
  <c r="D786" i="2"/>
  <c r="B786" i="2"/>
  <c r="A786" i="2"/>
  <c r="U785" i="2"/>
  <c r="T785" i="2"/>
  <c r="S785" i="2"/>
  <c r="P785" i="2"/>
  <c r="O785" i="2"/>
  <c r="K785" i="2"/>
  <c r="V785" i="2" s="1"/>
  <c r="J785" i="2"/>
  <c r="H785" i="2"/>
  <c r="E785" i="2"/>
  <c r="D785" i="2"/>
  <c r="B785" i="2"/>
  <c r="A785" i="2"/>
  <c r="V783" i="2"/>
  <c r="S783" i="2"/>
  <c r="P783" i="2"/>
  <c r="O783" i="2"/>
  <c r="J783" i="2"/>
  <c r="K783" i="2" s="1"/>
  <c r="U783" i="2" s="1"/>
  <c r="H783" i="2"/>
  <c r="E783" i="2"/>
  <c r="D783" i="2"/>
  <c r="B783" i="2"/>
  <c r="A783" i="2"/>
  <c r="S781" i="2"/>
  <c r="P781" i="2"/>
  <c r="O781" i="2"/>
  <c r="K781" i="2"/>
  <c r="J781" i="2"/>
  <c r="H781" i="2"/>
  <c r="E781" i="2"/>
  <c r="D781" i="2"/>
  <c r="B781" i="2"/>
  <c r="A781" i="2"/>
  <c r="S779" i="2"/>
  <c r="P779" i="2"/>
  <c r="O779" i="2"/>
  <c r="J779" i="2"/>
  <c r="K779" i="2" s="1"/>
  <c r="H779" i="2"/>
  <c r="E779" i="2"/>
  <c r="D779" i="2"/>
  <c r="B779" i="2"/>
  <c r="A779" i="2"/>
  <c r="T777" i="2"/>
  <c r="S777" i="2"/>
  <c r="P777" i="2"/>
  <c r="O777" i="2"/>
  <c r="K777" i="2"/>
  <c r="J777" i="2"/>
  <c r="H777" i="2"/>
  <c r="D777" i="2"/>
  <c r="B777" i="2"/>
  <c r="A777" i="2"/>
  <c r="S776" i="2"/>
  <c r="P776" i="2"/>
  <c r="T776" i="2" s="1"/>
  <c r="O776" i="2"/>
  <c r="J776" i="2"/>
  <c r="K776" i="2" s="1"/>
  <c r="V776" i="2" s="1"/>
  <c r="H776" i="2"/>
  <c r="D776" i="2"/>
  <c r="B776" i="2"/>
  <c r="A776" i="2"/>
  <c r="S775" i="2"/>
  <c r="P775" i="2"/>
  <c r="O775" i="2"/>
  <c r="K775" i="2"/>
  <c r="J775" i="2"/>
  <c r="H775" i="2"/>
  <c r="E775" i="2"/>
  <c r="D775" i="2"/>
  <c r="B775" i="2"/>
  <c r="A775" i="2"/>
  <c r="U774" i="2"/>
  <c r="S774" i="2"/>
  <c r="P774" i="2"/>
  <c r="O774" i="2"/>
  <c r="K774" i="2"/>
  <c r="J774" i="2"/>
  <c r="H774" i="2"/>
  <c r="D774" i="2"/>
  <c r="B774" i="2"/>
  <c r="A774" i="2"/>
  <c r="V773" i="2"/>
  <c r="U773" i="2"/>
  <c r="S773" i="2"/>
  <c r="T773" i="2" s="1"/>
  <c r="P773" i="2"/>
  <c r="O773" i="2"/>
  <c r="K773" i="2"/>
  <c r="J773" i="2"/>
  <c r="H773" i="2"/>
  <c r="D773" i="2"/>
  <c r="B773" i="2"/>
  <c r="A773" i="2"/>
  <c r="V772" i="2"/>
  <c r="S772" i="2"/>
  <c r="P772" i="2"/>
  <c r="O772" i="2"/>
  <c r="J772" i="2"/>
  <c r="K772" i="2" s="1"/>
  <c r="U772" i="2" s="1"/>
  <c r="H772" i="2"/>
  <c r="T772" i="2" s="1"/>
  <c r="D772" i="2"/>
  <c r="B772" i="2"/>
  <c r="A772" i="2"/>
  <c r="U771" i="2"/>
  <c r="S771" i="2"/>
  <c r="P771" i="2"/>
  <c r="O771" i="2"/>
  <c r="J771" i="2"/>
  <c r="K771" i="2" s="1"/>
  <c r="V771" i="2" s="1"/>
  <c r="H771" i="2"/>
  <c r="E771" i="2"/>
  <c r="D771" i="2"/>
  <c r="B771" i="2"/>
  <c r="A771" i="2"/>
  <c r="U770" i="2"/>
  <c r="S770" i="2"/>
  <c r="P770" i="2"/>
  <c r="O770" i="2"/>
  <c r="K770" i="2"/>
  <c r="V770" i="2" s="1"/>
  <c r="J770" i="2"/>
  <c r="H770" i="2"/>
  <c r="E770" i="2"/>
  <c r="D770" i="2"/>
  <c r="B770" i="2"/>
  <c r="A770" i="2"/>
  <c r="S769" i="2"/>
  <c r="P769" i="2"/>
  <c r="O769" i="2"/>
  <c r="J769" i="2"/>
  <c r="K769" i="2" s="1"/>
  <c r="H769" i="2"/>
  <c r="E769" i="2"/>
  <c r="D769" i="2"/>
  <c r="B769" i="2"/>
  <c r="A769" i="2"/>
  <c r="U768" i="2"/>
  <c r="T768" i="2"/>
  <c r="S768" i="2"/>
  <c r="P768" i="2"/>
  <c r="O768" i="2"/>
  <c r="J768" i="2"/>
  <c r="K768" i="2" s="1"/>
  <c r="V768" i="2" s="1"/>
  <c r="H768" i="2"/>
  <c r="E768" i="2"/>
  <c r="D768" i="2"/>
  <c r="B768" i="2"/>
  <c r="A768" i="2"/>
  <c r="V767" i="2"/>
  <c r="S767" i="2"/>
  <c r="T767" i="2" s="1"/>
  <c r="P767" i="2"/>
  <c r="O767" i="2"/>
  <c r="J767" i="2"/>
  <c r="K767" i="2" s="1"/>
  <c r="U767" i="2" s="1"/>
  <c r="H767" i="2"/>
  <c r="E767" i="2"/>
  <c r="D767" i="2"/>
  <c r="B767" i="2"/>
  <c r="A767" i="2"/>
  <c r="V766" i="2"/>
  <c r="U766" i="2"/>
  <c r="S766" i="2"/>
  <c r="P766" i="2"/>
  <c r="O766" i="2"/>
  <c r="K766" i="2"/>
  <c r="J766" i="2"/>
  <c r="H766" i="2"/>
  <c r="E766" i="2"/>
  <c r="D766" i="2"/>
  <c r="B766" i="2"/>
  <c r="A766" i="2"/>
  <c r="U765" i="2"/>
  <c r="S765" i="2"/>
  <c r="P765" i="2"/>
  <c r="O765" i="2"/>
  <c r="J765" i="2"/>
  <c r="K765" i="2" s="1"/>
  <c r="V765" i="2" s="1"/>
  <c r="H765" i="2"/>
  <c r="E765" i="2"/>
  <c r="D765" i="2"/>
  <c r="B765" i="2"/>
  <c r="A765" i="2"/>
  <c r="U764" i="2"/>
  <c r="S764" i="2"/>
  <c r="P764" i="2"/>
  <c r="O764" i="2"/>
  <c r="K764" i="2"/>
  <c r="V764" i="2" s="1"/>
  <c r="J764" i="2"/>
  <c r="H764" i="2"/>
  <c r="D764" i="2"/>
  <c r="B764" i="2"/>
  <c r="A764" i="2"/>
  <c r="S763" i="2"/>
  <c r="P763" i="2"/>
  <c r="O763" i="2"/>
  <c r="J763" i="2"/>
  <c r="K763" i="2" s="1"/>
  <c r="U763" i="2" s="1"/>
  <c r="H763" i="2"/>
  <c r="T763" i="2" s="1"/>
  <c r="E763" i="2"/>
  <c r="D763" i="2"/>
  <c r="B763" i="2"/>
  <c r="A763" i="2"/>
  <c r="S762" i="2"/>
  <c r="P762" i="2"/>
  <c r="O762" i="2"/>
  <c r="K762" i="2"/>
  <c r="J762" i="2"/>
  <c r="H762" i="2"/>
  <c r="T762" i="2" s="1"/>
  <c r="D762" i="2"/>
  <c r="B762" i="2"/>
  <c r="A762" i="2"/>
  <c r="S761" i="2"/>
  <c r="P761" i="2"/>
  <c r="O761" i="2"/>
  <c r="K761" i="2"/>
  <c r="V761" i="2" s="1"/>
  <c r="J761" i="2"/>
  <c r="H761" i="2"/>
  <c r="E761" i="2"/>
  <c r="D761" i="2"/>
  <c r="B761" i="2"/>
  <c r="A761" i="2"/>
  <c r="S760" i="2"/>
  <c r="P760" i="2"/>
  <c r="T760" i="2" s="1"/>
  <c r="O760" i="2"/>
  <c r="K760" i="2"/>
  <c r="U760" i="2" s="1"/>
  <c r="J760" i="2"/>
  <c r="H760" i="2"/>
  <c r="E760" i="2"/>
  <c r="D760" i="2"/>
  <c r="B760" i="2"/>
  <c r="A760" i="2"/>
  <c r="V758" i="2"/>
  <c r="U758" i="2"/>
  <c r="T758" i="2"/>
  <c r="S758" i="2"/>
  <c r="P758" i="2"/>
  <c r="O758" i="2"/>
  <c r="K758" i="2"/>
  <c r="J758" i="2"/>
  <c r="H758" i="2"/>
  <c r="E758" i="2"/>
  <c r="D758" i="2"/>
  <c r="B758" i="2"/>
  <c r="A758" i="2"/>
  <c r="V757" i="2"/>
  <c r="U757" i="2"/>
  <c r="T757" i="2"/>
  <c r="S757" i="2"/>
  <c r="P757" i="2"/>
  <c r="O757" i="2"/>
  <c r="J757" i="2"/>
  <c r="K757" i="2" s="1"/>
  <c r="H757" i="2"/>
  <c r="E757" i="2"/>
  <c r="D757" i="2"/>
  <c r="B757" i="2"/>
  <c r="A757" i="2"/>
  <c r="S755" i="2"/>
  <c r="P755" i="2"/>
  <c r="O755" i="2"/>
  <c r="J755" i="2"/>
  <c r="K755" i="2" s="1"/>
  <c r="H755" i="2"/>
  <c r="E755" i="2"/>
  <c r="D755" i="2"/>
  <c r="B755" i="2"/>
  <c r="A755" i="2"/>
  <c r="S754" i="2"/>
  <c r="P754" i="2"/>
  <c r="O754" i="2"/>
  <c r="J754" i="2"/>
  <c r="K754" i="2" s="1"/>
  <c r="H754" i="2"/>
  <c r="E754" i="2"/>
  <c r="D754" i="2"/>
  <c r="B754" i="2"/>
  <c r="A754" i="2"/>
  <c r="S753" i="2"/>
  <c r="P753" i="2"/>
  <c r="O753" i="2"/>
  <c r="J753" i="2"/>
  <c r="K753" i="2" s="1"/>
  <c r="H753" i="2"/>
  <c r="E753" i="2"/>
  <c r="D753" i="2"/>
  <c r="B753" i="2"/>
  <c r="A753" i="2"/>
  <c r="V752" i="2"/>
  <c r="S752" i="2"/>
  <c r="P752" i="2"/>
  <c r="O752" i="2"/>
  <c r="K752" i="2"/>
  <c r="U752" i="2" s="1"/>
  <c r="J752" i="2"/>
  <c r="H752" i="2"/>
  <c r="D752" i="2"/>
  <c r="B752" i="2"/>
  <c r="A752" i="2"/>
  <c r="V750" i="2"/>
  <c r="S750" i="2"/>
  <c r="P750" i="2"/>
  <c r="O750" i="2"/>
  <c r="K750" i="2"/>
  <c r="U750" i="2" s="1"/>
  <c r="J750" i="2"/>
  <c r="H750" i="2"/>
  <c r="D750" i="2"/>
  <c r="B750" i="2"/>
  <c r="A750" i="2"/>
  <c r="V748" i="2"/>
  <c r="U748" i="2"/>
  <c r="T748" i="2"/>
  <c r="S748" i="2"/>
  <c r="P748" i="2"/>
  <c r="O748" i="2"/>
  <c r="K748" i="2"/>
  <c r="J748" i="2"/>
  <c r="H748" i="2"/>
  <c r="D748" i="2"/>
  <c r="B748" i="2"/>
  <c r="A748" i="2"/>
  <c r="V746" i="2"/>
  <c r="U746" i="2"/>
  <c r="S746" i="2"/>
  <c r="P746" i="2"/>
  <c r="O746" i="2"/>
  <c r="J746" i="2"/>
  <c r="K746" i="2" s="1"/>
  <c r="H746" i="2"/>
  <c r="T746" i="2" s="1"/>
  <c r="E746" i="2"/>
  <c r="D746" i="2"/>
  <c r="B746" i="2"/>
  <c r="A746" i="2"/>
  <c r="S745" i="2"/>
  <c r="P745" i="2"/>
  <c r="O745" i="2"/>
  <c r="K745" i="2"/>
  <c r="U745" i="2" s="1"/>
  <c r="J745" i="2"/>
  <c r="H745" i="2"/>
  <c r="T745" i="2" s="1"/>
  <c r="E745" i="2"/>
  <c r="D745" i="2"/>
  <c r="B745" i="2"/>
  <c r="A745" i="2"/>
  <c r="S744" i="2"/>
  <c r="P744" i="2"/>
  <c r="O744" i="2"/>
  <c r="K744" i="2"/>
  <c r="U744" i="2" s="1"/>
  <c r="J744" i="2"/>
  <c r="H744" i="2"/>
  <c r="T744" i="2" s="1"/>
  <c r="E744" i="2"/>
  <c r="D744" i="2"/>
  <c r="B744" i="2"/>
  <c r="A744" i="2"/>
  <c r="S743" i="2"/>
  <c r="P743" i="2"/>
  <c r="O743" i="2"/>
  <c r="K743" i="2"/>
  <c r="J743" i="2"/>
  <c r="H743" i="2"/>
  <c r="T743" i="2" s="1"/>
  <c r="E743" i="2"/>
  <c r="D743" i="2"/>
  <c r="B743" i="2"/>
  <c r="A743" i="2"/>
  <c r="S742" i="2"/>
  <c r="P742" i="2"/>
  <c r="O742" i="2"/>
  <c r="K742" i="2"/>
  <c r="J742" i="2"/>
  <c r="H742" i="2"/>
  <c r="E742" i="2"/>
  <c r="D742" i="2"/>
  <c r="B742" i="2"/>
  <c r="A742" i="2"/>
  <c r="S741" i="2"/>
  <c r="T741" i="2" s="1"/>
  <c r="P741" i="2"/>
  <c r="O741" i="2"/>
  <c r="K741" i="2"/>
  <c r="V741" i="2" s="1"/>
  <c r="J741" i="2"/>
  <c r="H741" i="2"/>
  <c r="E741" i="2"/>
  <c r="D741" i="2"/>
  <c r="B741" i="2"/>
  <c r="A741" i="2"/>
  <c r="S740" i="2"/>
  <c r="P740" i="2"/>
  <c r="O740" i="2"/>
  <c r="J740" i="2"/>
  <c r="K740" i="2" s="1"/>
  <c r="V740" i="2" s="1"/>
  <c r="H740" i="2"/>
  <c r="T740" i="2" s="1"/>
  <c r="E740" i="2"/>
  <c r="D740" i="2"/>
  <c r="B740" i="2"/>
  <c r="A740" i="2"/>
  <c r="S739" i="2"/>
  <c r="P739" i="2"/>
  <c r="O739" i="2"/>
  <c r="J739" i="2"/>
  <c r="K739" i="2" s="1"/>
  <c r="H739" i="2"/>
  <c r="T739" i="2" s="1"/>
  <c r="E739" i="2"/>
  <c r="D739" i="2"/>
  <c r="B739" i="2"/>
  <c r="A739" i="2"/>
  <c r="S738" i="2"/>
  <c r="P738" i="2"/>
  <c r="O738" i="2"/>
  <c r="J738" i="2"/>
  <c r="K738" i="2" s="1"/>
  <c r="H738" i="2"/>
  <c r="E738" i="2"/>
  <c r="D738" i="2"/>
  <c r="B738" i="2"/>
  <c r="A738" i="2"/>
  <c r="S737" i="2"/>
  <c r="P737" i="2"/>
  <c r="O737" i="2"/>
  <c r="J737" i="2"/>
  <c r="K737" i="2" s="1"/>
  <c r="H737" i="2"/>
  <c r="E737" i="2"/>
  <c r="D737" i="2"/>
  <c r="B737" i="2"/>
  <c r="A737" i="2"/>
  <c r="U736" i="2"/>
  <c r="S736" i="2"/>
  <c r="P736" i="2"/>
  <c r="O736" i="2"/>
  <c r="J736" i="2"/>
  <c r="K736" i="2" s="1"/>
  <c r="V736" i="2" s="1"/>
  <c r="H736" i="2"/>
  <c r="E736" i="2"/>
  <c r="D736" i="2"/>
  <c r="B736" i="2"/>
  <c r="A736" i="2"/>
  <c r="S734" i="2"/>
  <c r="T734" i="2" s="1"/>
  <c r="P734" i="2"/>
  <c r="O734" i="2"/>
  <c r="J734" i="2"/>
  <c r="K734" i="2" s="1"/>
  <c r="H734" i="2"/>
  <c r="E734" i="2"/>
  <c r="D734" i="2"/>
  <c r="B734" i="2"/>
  <c r="A734" i="2"/>
  <c r="V732" i="2"/>
  <c r="U732" i="2"/>
  <c r="S732" i="2"/>
  <c r="P732" i="2"/>
  <c r="O732" i="2"/>
  <c r="K732" i="2"/>
  <c r="H732" i="2"/>
  <c r="T732" i="2" s="1"/>
  <c r="E732" i="2"/>
  <c r="D732" i="2"/>
  <c r="B732" i="2"/>
  <c r="A732" i="2"/>
  <c r="S731" i="2"/>
  <c r="P731" i="2"/>
  <c r="O731" i="2"/>
  <c r="K731" i="2"/>
  <c r="U731" i="2" s="1"/>
  <c r="J731" i="2"/>
  <c r="H731" i="2"/>
  <c r="T731" i="2" s="1"/>
  <c r="E731" i="2"/>
  <c r="D731" i="2"/>
  <c r="B731" i="2"/>
  <c r="A731" i="2"/>
  <c r="U729" i="2"/>
  <c r="S729" i="2"/>
  <c r="P729" i="2"/>
  <c r="O729" i="2"/>
  <c r="K729" i="2"/>
  <c r="V729" i="2" s="1"/>
  <c r="H729" i="2"/>
  <c r="T729" i="2" s="1"/>
  <c r="E729" i="2"/>
  <c r="D729" i="2"/>
  <c r="B729" i="2"/>
  <c r="A729" i="2"/>
  <c r="S728" i="2"/>
  <c r="P728" i="2"/>
  <c r="O728" i="2"/>
  <c r="K728" i="2"/>
  <c r="J728" i="2"/>
  <c r="H728" i="2"/>
  <c r="E728" i="2"/>
  <c r="D728" i="2"/>
  <c r="B728" i="2"/>
  <c r="A728" i="2"/>
  <c r="S727" i="2"/>
  <c r="P727" i="2"/>
  <c r="O727" i="2"/>
  <c r="J727" i="2"/>
  <c r="K727" i="2" s="1"/>
  <c r="H727" i="2"/>
  <c r="E727" i="2"/>
  <c r="D727" i="2"/>
  <c r="B727" i="2"/>
  <c r="A727" i="2"/>
  <c r="S726" i="2"/>
  <c r="P726" i="2"/>
  <c r="O726" i="2"/>
  <c r="J726" i="2"/>
  <c r="K726" i="2" s="1"/>
  <c r="H726" i="2"/>
  <c r="D726" i="2"/>
  <c r="B726" i="2"/>
  <c r="A726" i="2"/>
  <c r="T725" i="2"/>
  <c r="S725" i="2"/>
  <c r="P725" i="2"/>
  <c r="O725" i="2"/>
  <c r="K725" i="2"/>
  <c r="V725" i="2" s="1"/>
  <c r="J725" i="2"/>
  <c r="H725" i="2"/>
  <c r="D725" i="2"/>
  <c r="B725" i="2"/>
  <c r="A725" i="2"/>
  <c r="U724" i="2"/>
  <c r="T724" i="2"/>
  <c r="S724" i="2"/>
  <c r="P724" i="2"/>
  <c r="O724" i="2"/>
  <c r="K724" i="2"/>
  <c r="V724" i="2" s="1"/>
  <c r="J724" i="2"/>
  <c r="H724" i="2"/>
  <c r="E724" i="2"/>
  <c r="D724" i="2"/>
  <c r="B724" i="2"/>
  <c r="A724" i="2"/>
  <c r="V722" i="2"/>
  <c r="U722" i="2"/>
  <c r="T722" i="2"/>
  <c r="S722" i="2"/>
  <c r="P722" i="2"/>
  <c r="O722" i="2"/>
  <c r="J722" i="2"/>
  <c r="K722" i="2" s="1"/>
  <c r="H722" i="2"/>
  <c r="D722" i="2"/>
  <c r="B722" i="2"/>
  <c r="A722" i="2"/>
  <c r="V721" i="2"/>
  <c r="U721" i="2"/>
  <c r="S721" i="2"/>
  <c r="P721" i="2"/>
  <c r="O721" i="2"/>
  <c r="J721" i="2"/>
  <c r="K721" i="2" s="1"/>
  <c r="T721" i="2" s="1"/>
  <c r="H721" i="2"/>
  <c r="D721" i="2"/>
  <c r="B721" i="2"/>
  <c r="A721" i="2"/>
  <c r="S720" i="2"/>
  <c r="P720" i="2"/>
  <c r="O720" i="2"/>
  <c r="J720" i="2"/>
  <c r="K720" i="2" s="1"/>
  <c r="H720" i="2"/>
  <c r="E720" i="2"/>
  <c r="D720" i="2"/>
  <c r="B720" i="2"/>
  <c r="A720" i="2"/>
  <c r="S719" i="2"/>
  <c r="P719" i="2"/>
  <c r="O719" i="2"/>
  <c r="K719" i="2"/>
  <c r="V719" i="2" s="1"/>
  <c r="J719" i="2"/>
  <c r="H719" i="2"/>
  <c r="E719" i="2"/>
  <c r="D719" i="2"/>
  <c r="B719" i="2"/>
  <c r="A719" i="2"/>
  <c r="S718" i="2"/>
  <c r="P718" i="2"/>
  <c r="T718" i="2" s="1"/>
  <c r="O718" i="2"/>
  <c r="J718" i="2"/>
  <c r="K718" i="2" s="1"/>
  <c r="H718" i="2"/>
  <c r="E718" i="2"/>
  <c r="D718" i="2"/>
  <c r="B718" i="2"/>
  <c r="A718" i="2"/>
  <c r="S717" i="2"/>
  <c r="P717" i="2"/>
  <c r="O717" i="2"/>
  <c r="J717" i="2"/>
  <c r="K717" i="2" s="1"/>
  <c r="H717" i="2"/>
  <c r="T717" i="2" s="1"/>
  <c r="D717" i="2"/>
  <c r="B717" i="2"/>
  <c r="A717" i="2"/>
  <c r="S716" i="2"/>
  <c r="P716" i="2"/>
  <c r="O716" i="2"/>
  <c r="K716" i="2"/>
  <c r="J716" i="2"/>
  <c r="H716" i="2"/>
  <c r="E716" i="2"/>
  <c r="D716" i="2"/>
  <c r="B716" i="2"/>
  <c r="A716" i="2"/>
  <c r="S715" i="2"/>
  <c r="P715" i="2"/>
  <c r="O715" i="2"/>
  <c r="K715" i="2"/>
  <c r="V715" i="2" s="1"/>
  <c r="J715" i="2"/>
  <c r="H715" i="2"/>
  <c r="T715" i="2" s="1"/>
  <c r="E715" i="2"/>
  <c r="D715" i="2"/>
  <c r="B715" i="2"/>
  <c r="A715" i="2"/>
  <c r="T714" i="2"/>
  <c r="S714" i="2"/>
  <c r="P714" i="2"/>
  <c r="O714" i="2"/>
  <c r="K714" i="2"/>
  <c r="V714" i="2" s="1"/>
  <c r="J714" i="2"/>
  <c r="H714" i="2"/>
  <c r="D714" i="2"/>
  <c r="B714" i="2"/>
  <c r="A714" i="2"/>
  <c r="U713" i="2"/>
  <c r="S713" i="2"/>
  <c r="T713" i="2" s="1"/>
  <c r="P713" i="2"/>
  <c r="O713" i="2"/>
  <c r="J713" i="2"/>
  <c r="K713" i="2" s="1"/>
  <c r="V713" i="2" s="1"/>
  <c r="H713" i="2"/>
  <c r="E713" i="2"/>
  <c r="D713" i="2"/>
  <c r="B713" i="2"/>
  <c r="A713" i="2"/>
  <c r="S711" i="2"/>
  <c r="T711" i="2" s="1"/>
  <c r="P711" i="2"/>
  <c r="O711" i="2"/>
  <c r="J711" i="2"/>
  <c r="K711" i="2" s="1"/>
  <c r="H711" i="2"/>
  <c r="D711" i="2"/>
  <c r="B711" i="2"/>
  <c r="A711" i="2"/>
  <c r="V710" i="2"/>
  <c r="S710" i="2"/>
  <c r="P710" i="2"/>
  <c r="O710" i="2"/>
  <c r="K710" i="2"/>
  <c r="U710" i="2" s="1"/>
  <c r="J710" i="2"/>
  <c r="H710" i="2"/>
  <c r="D710" i="2"/>
  <c r="B710" i="2"/>
  <c r="A710" i="2"/>
  <c r="U709" i="2"/>
  <c r="S709" i="2"/>
  <c r="P709" i="2"/>
  <c r="O709" i="2"/>
  <c r="J709" i="2"/>
  <c r="K709" i="2" s="1"/>
  <c r="V709" i="2" s="1"/>
  <c r="H709" i="2"/>
  <c r="D709" i="2"/>
  <c r="B709" i="2"/>
  <c r="A709" i="2"/>
  <c r="V708" i="2"/>
  <c r="S708" i="2"/>
  <c r="P708" i="2"/>
  <c r="O708" i="2"/>
  <c r="K708" i="2"/>
  <c r="U708" i="2" s="1"/>
  <c r="J708" i="2"/>
  <c r="H708" i="2"/>
  <c r="T708" i="2" s="1"/>
  <c r="E708" i="2"/>
  <c r="D708" i="2"/>
  <c r="B708" i="2"/>
  <c r="A708" i="2"/>
  <c r="U707" i="2"/>
  <c r="S707" i="2"/>
  <c r="P707" i="2"/>
  <c r="O707" i="2"/>
  <c r="K707" i="2"/>
  <c r="V707" i="2" s="1"/>
  <c r="H707" i="2"/>
  <c r="T707" i="2" s="1"/>
  <c r="E707" i="2"/>
  <c r="D707" i="2"/>
  <c r="B707" i="2"/>
  <c r="A707" i="2"/>
  <c r="U706" i="2"/>
  <c r="S706" i="2"/>
  <c r="P706" i="2"/>
  <c r="O706" i="2"/>
  <c r="J706" i="2"/>
  <c r="K706" i="2" s="1"/>
  <c r="V706" i="2" s="1"/>
  <c r="H706" i="2"/>
  <c r="E706" i="2"/>
  <c r="D706" i="2"/>
  <c r="B706" i="2"/>
  <c r="A706" i="2"/>
  <c r="S705" i="2"/>
  <c r="P705" i="2"/>
  <c r="O705" i="2"/>
  <c r="K705" i="2"/>
  <c r="V705" i="2" s="1"/>
  <c r="H705" i="2"/>
  <c r="E705" i="2"/>
  <c r="D705" i="2"/>
  <c r="B705" i="2"/>
  <c r="A705" i="2"/>
  <c r="T704" i="2"/>
  <c r="S704" i="2"/>
  <c r="P704" i="2"/>
  <c r="O704" i="2"/>
  <c r="K704" i="2"/>
  <c r="V704" i="2" s="1"/>
  <c r="J704" i="2"/>
  <c r="H704" i="2"/>
  <c r="E704" i="2"/>
  <c r="D704" i="2"/>
  <c r="B704" i="2"/>
  <c r="A704" i="2"/>
  <c r="S703" i="2"/>
  <c r="P703" i="2"/>
  <c r="O703" i="2"/>
  <c r="J703" i="2"/>
  <c r="K703" i="2" s="1"/>
  <c r="H703" i="2"/>
  <c r="E703" i="2"/>
  <c r="D703" i="2"/>
  <c r="B703" i="2"/>
  <c r="A703" i="2"/>
  <c r="V702" i="2"/>
  <c r="S702" i="2"/>
  <c r="P702" i="2"/>
  <c r="O702" i="2"/>
  <c r="K702" i="2"/>
  <c r="U702" i="2" s="1"/>
  <c r="J702" i="2"/>
  <c r="H702" i="2"/>
  <c r="D702" i="2"/>
  <c r="B702" i="2"/>
  <c r="A702" i="2"/>
  <c r="U701" i="2"/>
  <c r="S701" i="2"/>
  <c r="P701" i="2"/>
  <c r="T701" i="2" s="1"/>
  <c r="O701" i="2"/>
  <c r="J701" i="2"/>
  <c r="K701" i="2" s="1"/>
  <c r="V701" i="2" s="1"/>
  <c r="H701" i="2"/>
  <c r="E701" i="2"/>
  <c r="D701" i="2"/>
  <c r="B701" i="2"/>
  <c r="A701" i="2"/>
  <c r="S700" i="2"/>
  <c r="P700" i="2"/>
  <c r="O700" i="2"/>
  <c r="J700" i="2"/>
  <c r="K700" i="2" s="1"/>
  <c r="H700" i="2"/>
  <c r="E700" i="2"/>
  <c r="D700" i="2"/>
  <c r="B700" i="2"/>
  <c r="A700" i="2"/>
  <c r="U699" i="2"/>
  <c r="S699" i="2"/>
  <c r="P699" i="2"/>
  <c r="O699" i="2"/>
  <c r="J699" i="2"/>
  <c r="K699" i="2" s="1"/>
  <c r="V699" i="2" s="1"/>
  <c r="H699" i="2"/>
  <c r="T699" i="2" s="1"/>
  <c r="E699" i="2"/>
  <c r="D699" i="2"/>
  <c r="B699" i="2"/>
  <c r="A699" i="2"/>
  <c r="U698" i="2"/>
  <c r="S698" i="2"/>
  <c r="P698" i="2"/>
  <c r="O698" i="2"/>
  <c r="K698" i="2"/>
  <c r="V698" i="2" s="1"/>
  <c r="J698" i="2"/>
  <c r="H698" i="2"/>
  <c r="D698" i="2"/>
  <c r="B698" i="2"/>
  <c r="A698" i="2"/>
  <c r="T696" i="2"/>
  <c r="S696" i="2"/>
  <c r="P696" i="2"/>
  <c r="O696" i="2"/>
  <c r="K696" i="2"/>
  <c r="V696" i="2" s="1"/>
  <c r="J696" i="2"/>
  <c r="H696" i="2"/>
  <c r="E696" i="2"/>
  <c r="D696" i="2"/>
  <c r="B696" i="2"/>
  <c r="A696" i="2"/>
  <c r="S695" i="2"/>
  <c r="P695" i="2"/>
  <c r="O695" i="2"/>
  <c r="J695" i="2"/>
  <c r="K695" i="2" s="1"/>
  <c r="H695" i="2"/>
  <c r="E695" i="2"/>
  <c r="D695" i="2"/>
  <c r="B695" i="2"/>
  <c r="A695" i="2"/>
  <c r="V694" i="2"/>
  <c r="S694" i="2"/>
  <c r="P694" i="2"/>
  <c r="O694" i="2"/>
  <c r="K694" i="2"/>
  <c r="U694" i="2" s="1"/>
  <c r="J694" i="2"/>
  <c r="H694" i="2"/>
  <c r="T694" i="2" s="1"/>
  <c r="E694" i="2"/>
  <c r="D694" i="2"/>
  <c r="B694" i="2"/>
  <c r="A694" i="2"/>
  <c r="U692" i="2"/>
  <c r="S692" i="2"/>
  <c r="P692" i="2"/>
  <c r="O692" i="2"/>
  <c r="K692" i="2"/>
  <c r="V692" i="2" s="1"/>
  <c r="J692" i="2"/>
  <c r="H692" i="2"/>
  <c r="T692" i="2" s="1"/>
  <c r="D692" i="2"/>
  <c r="B692" i="2"/>
  <c r="A692" i="2"/>
  <c r="S691" i="2"/>
  <c r="P691" i="2"/>
  <c r="O691" i="2"/>
  <c r="J691" i="2"/>
  <c r="K691" i="2" s="1"/>
  <c r="H691" i="2"/>
  <c r="E691" i="2"/>
  <c r="D691" i="2"/>
  <c r="B691" i="2"/>
  <c r="A691" i="2"/>
  <c r="U690" i="2"/>
  <c r="S690" i="2"/>
  <c r="P690" i="2"/>
  <c r="O690" i="2"/>
  <c r="K690" i="2"/>
  <c r="V690" i="2" s="1"/>
  <c r="H690" i="2"/>
  <c r="T690" i="2" s="1"/>
  <c r="E690" i="2"/>
  <c r="D690" i="2"/>
  <c r="B690" i="2"/>
  <c r="A690" i="2"/>
  <c r="U689" i="2"/>
  <c r="S689" i="2"/>
  <c r="P689" i="2"/>
  <c r="O689" i="2"/>
  <c r="K689" i="2"/>
  <c r="V689" i="2" s="1"/>
  <c r="J689" i="2"/>
  <c r="H689" i="2"/>
  <c r="D689" i="2"/>
  <c r="B689" i="2"/>
  <c r="A689" i="2"/>
  <c r="U688" i="2"/>
  <c r="S688" i="2"/>
  <c r="P688" i="2"/>
  <c r="O688" i="2"/>
  <c r="K688" i="2"/>
  <c r="V688" i="2" s="1"/>
  <c r="H688" i="2"/>
  <c r="T688" i="2" s="1"/>
  <c r="E688" i="2"/>
  <c r="D688" i="2"/>
  <c r="B688" i="2"/>
  <c r="A688" i="2"/>
  <c r="T687" i="2"/>
  <c r="S687" i="2"/>
  <c r="P687" i="2"/>
  <c r="O687" i="2"/>
  <c r="K687" i="2"/>
  <c r="V687" i="2" s="1"/>
  <c r="J687" i="2"/>
  <c r="H687" i="2"/>
  <c r="E687" i="2"/>
  <c r="D687" i="2"/>
  <c r="B687" i="2"/>
  <c r="A687" i="2"/>
  <c r="V686" i="2"/>
  <c r="S686" i="2"/>
  <c r="P686" i="2"/>
  <c r="O686" i="2"/>
  <c r="J686" i="2"/>
  <c r="K686" i="2" s="1"/>
  <c r="H686" i="2"/>
  <c r="E686" i="2"/>
  <c r="D686" i="2"/>
  <c r="B686" i="2"/>
  <c r="A686" i="2"/>
  <c r="V685" i="2"/>
  <c r="U685" i="2"/>
  <c r="S685" i="2"/>
  <c r="P685" i="2"/>
  <c r="O685" i="2"/>
  <c r="K685" i="2"/>
  <c r="T685" i="2" s="1"/>
  <c r="J685" i="2"/>
  <c r="H685" i="2"/>
  <c r="D685" i="2"/>
  <c r="B685" i="2"/>
  <c r="A685" i="2"/>
  <c r="V684" i="2"/>
  <c r="U684" i="2"/>
  <c r="S684" i="2"/>
  <c r="P684" i="2"/>
  <c r="O684" i="2"/>
  <c r="K684" i="2"/>
  <c r="H684" i="2"/>
  <c r="T684" i="2" s="1"/>
  <c r="D684" i="2"/>
  <c r="B684" i="2"/>
  <c r="A684" i="2"/>
  <c r="U683" i="2"/>
  <c r="S683" i="2"/>
  <c r="P683" i="2"/>
  <c r="T683" i="2" s="1"/>
  <c r="O683" i="2"/>
  <c r="J683" i="2"/>
  <c r="K683" i="2" s="1"/>
  <c r="V683" i="2" s="1"/>
  <c r="H683" i="2"/>
  <c r="E683" i="2"/>
  <c r="D683" i="2"/>
  <c r="B683" i="2"/>
  <c r="A683" i="2"/>
  <c r="S681" i="2"/>
  <c r="P681" i="2"/>
  <c r="O681" i="2"/>
  <c r="J681" i="2"/>
  <c r="K681" i="2" s="1"/>
  <c r="H681" i="2"/>
  <c r="D681" i="2"/>
  <c r="B681" i="2"/>
  <c r="A681" i="2"/>
  <c r="S680" i="2"/>
  <c r="P680" i="2"/>
  <c r="O680" i="2"/>
  <c r="K680" i="2"/>
  <c r="J680" i="2"/>
  <c r="H680" i="2"/>
  <c r="T680" i="2" s="1"/>
  <c r="E680" i="2"/>
  <c r="D680" i="2"/>
  <c r="B680" i="2"/>
  <c r="A680" i="2"/>
  <c r="S679" i="2"/>
  <c r="P679" i="2"/>
  <c r="O679" i="2"/>
  <c r="K679" i="2"/>
  <c r="V679" i="2" s="1"/>
  <c r="J679" i="2"/>
  <c r="H679" i="2"/>
  <c r="D679" i="2"/>
  <c r="B679" i="2"/>
  <c r="A679" i="2"/>
  <c r="S678" i="2"/>
  <c r="P678" i="2"/>
  <c r="O678" i="2"/>
  <c r="K678" i="2"/>
  <c r="V678" i="2" s="1"/>
  <c r="J678" i="2"/>
  <c r="H678" i="2"/>
  <c r="E678" i="2"/>
  <c r="D678" i="2"/>
  <c r="B678" i="2"/>
  <c r="A678" i="2"/>
  <c r="U676" i="2"/>
  <c r="S676" i="2"/>
  <c r="T676" i="2" s="1"/>
  <c r="P676" i="2"/>
  <c r="O676" i="2"/>
  <c r="J676" i="2"/>
  <c r="K676" i="2" s="1"/>
  <c r="V676" i="2" s="1"/>
  <c r="H676" i="2"/>
  <c r="E676" i="2"/>
  <c r="D676" i="2"/>
  <c r="B676" i="2"/>
  <c r="A676" i="2"/>
  <c r="U675" i="2"/>
  <c r="S675" i="2"/>
  <c r="P675" i="2"/>
  <c r="O675" i="2"/>
  <c r="J675" i="2"/>
  <c r="K675" i="2" s="1"/>
  <c r="H675" i="2"/>
  <c r="E675" i="2"/>
  <c r="D675" i="2"/>
  <c r="B675" i="2"/>
  <c r="A675" i="2"/>
  <c r="V673" i="2"/>
  <c r="U673" i="2"/>
  <c r="S673" i="2"/>
  <c r="P673" i="2"/>
  <c r="O673" i="2"/>
  <c r="K673" i="2"/>
  <c r="H673" i="2"/>
  <c r="T673" i="2" s="1"/>
  <c r="E673" i="2"/>
  <c r="D673" i="2"/>
  <c r="B673" i="2"/>
  <c r="A673" i="2"/>
  <c r="V672" i="2"/>
  <c r="S672" i="2"/>
  <c r="P672" i="2"/>
  <c r="O672" i="2"/>
  <c r="K672" i="2"/>
  <c r="U672" i="2" s="1"/>
  <c r="J672" i="2"/>
  <c r="H672" i="2"/>
  <c r="T672" i="2" s="1"/>
  <c r="E672" i="2"/>
  <c r="D672" i="2"/>
  <c r="B672" i="2"/>
  <c r="A672" i="2"/>
  <c r="S670" i="2"/>
  <c r="P670" i="2"/>
  <c r="O670" i="2"/>
  <c r="K670" i="2"/>
  <c r="J670" i="2"/>
  <c r="H670" i="2"/>
  <c r="T670" i="2" s="1"/>
  <c r="E670" i="2"/>
  <c r="D670" i="2"/>
  <c r="B670" i="2"/>
  <c r="A670" i="2"/>
  <c r="U669" i="2"/>
  <c r="S669" i="2"/>
  <c r="P669" i="2"/>
  <c r="O669" i="2"/>
  <c r="K669" i="2"/>
  <c r="V669" i="2" s="1"/>
  <c r="J669" i="2"/>
  <c r="H669" i="2"/>
  <c r="E669" i="2"/>
  <c r="D669" i="2"/>
  <c r="B669" i="2"/>
  <c r="A669" i="2"/>
  <c r="T667" i="2"/>
  <c r="S667" i="2"/>
  <c r="P667" i="2"/>
  <c r="O667" i="2"/>
  <c r="K667" i="2"/>
  <c r="V667" i="2" s="1"/>
  <c r="J667" i="2"/>
  <c r="H667" i="2"/>
  <c r="E667" i="2"/>
  <c r="D667" i="2"/>
  <c r="B667" i="2"/>
  <c r="A667" i="2"/>
  <c r="V666" i="2"/>
  <c r="S666" i="2"/>
  <c r="P666" i="2"/>
  <c r="O666" i="2"/>
  <c r="J666" i="2"/>
  <c r="K666" i="2" s="1"/>
  <c r="H666" i="2"/>
  <c r="E666" i="2"/>
  <c r="D666" i="2"/>
  <c r="B666" i="2"/>
  <c r="A666" i="2"/>
  <c r="V665" i="2"/>
  <c r="S665" i="2"/>
  <c r="P665" i="2"/>
  <c r="O665" i="2"/>
  <c r="K665" i="2"/>
  <c r="U665" i="2" s="1"/>
  <c r="J665" i="2"/>
  <c r="H665" i="2"/>
  <c r="E665" i="2"/>
  <c r="D665" i="2"/>
  <c r="B665" i="2"/>
  <c r="A665" i="2"/>
  <c r="V664" i="2"/>
  <c r="U664" i="2"/>
  <c r="S664" i="2"/>
  <c r="P664" i="2"/>
  <c r="O664" i="2"/>
  <c r="K664" i="2"/>
  <c r="J664" i="2"/>
  <c r="H664" i="2"/>
  <c r="T664" i="2" s="1"/>
  <c r="E664" i="2"/>
  <c r="D664" i="2"/>
  <c r="B664" i="2"/>
  <c r="A664" i="2"/>
  <c r="U662" i="2"/>
  <c r="S662" i="2"/>
  <c r="P662" i="2"/>
  <c r="O662" i="2"/>
  <c r="K662" i="2"/>
  <c r="V662" i="2" s="1"/>
  <c r="J662" i="2"/>
  <c r="H662" i="2"/>
  <c r="E662" i="2"/>
  <c r="D662" i="2"/>
  <c r="B662" i="2"/>
  <c r="A662" i="2"/>
  <c r="U661" i="2"/>
  <c r="S661" i="2"/>
  <c r="P661" i="2"/>
  <c r="O661" i="2"/>
  <c r="K661" i="2"/>
  <c r="V661" i="2" s="1"/>
  <c r="J661" i="2"/>
  <c r="H661" i="2"/>
  <c r="D661" i="2"/>
  <c r="B661" i="2"/>
  <c r="A661" i="2"/>
  <c r="U660" i="2"/>
  <c r="S660" i="2"/>
  <c r="P660" i="2"/>
  <c r="O660" i="2"/>
  <c r="J660" i="2"/>
  <c r="K660" i="2" s="1"/>
  <c r="V660" i="2" s="1"/>
  <c r="H660" i="2"/>
  <c r="E660" i="2"/>
  <c r="D660" i="2"/>
  <c r="B660" i="2"/>
  <c r="A660" i="2"/>
  <c r="U659" i="2"/>
  <c r="S659" i="2"/>
  <c r="T659" i="2" s="1"/>
  <c r="P659" i="2"/>
  <c r="O659" i="2"/>
  <c r="J659" i="2"/>
  <c r="K659" i="2" s="1"/>
  <c r="V659" i="2" s="1"/>
  <c r="H659" i="2"/>
  <c r="E659" i="2"/>
  <c r="D659" i="2"/>
  <c r="B659" i="2"/>
  <c r="A659" i="2"/>
  <c r="S658" i="2"/>
  <c r="T658" i="2" s="1"/>
  <c r="P658" i="2"/>
  <c r="O658" i="2"/>
  <c r="J658" i="2"/>
  <c r="K658" i="2" s="1"/>
  <c r="H658" i="2"/>
  <c r="E658" i="2"/>
  <c r="D658" i="2"/>
  <c r="B658" i="2"/>
  <c r="A658" i="2"/>
  <c r="V657" i="2"/>
  <c r="U657" i="2"/>
  <c r="S657" i="2"/>
  <c r="P657" i="2"/>
  <c r="T657" i="2" s="1"/>
  <c r="O657" i="2"/>
  <c r="K657" i="2"/>
  <c r="J657" i="2"/>
  <c r="H657" i="2"/>
  <c r="D657" i="2"/>
  <c r="B657" i="2"/>
  <c r="A657" i="2"/>
  <c r="V656" i="2"/>
  <c r="S656" i="2"/>
  <c r="P656" i="2"/>
  <c r="O656" i="2"/>
  <c r="K656" i="2"/>
  <c r="U656" i="2" s="1"/>
  <c r="J656" i="2"/>
  <c r="H656" i="2"/>
  <c r="T656" i="2" s="1"/>
  <c r="D656" i="2"/>
  <c r="B656" i="2"/>
  <c r="A656" i="2"/>
  <c r="U655" i="2"/>
  <c r="S655" i="2"/>
  <c r="P655" i="2"/>
  <c r="O655" i="2"/>
  <c r="J655" i="2"/>
  <c r="K655" i="2" s="1"/>
  <c r="V655" i="2" s="1"/>
  <c r="H655" i="2"/>
  <c r="E655" i="2"/>
  <c r="D655" i="2"/>
  <c r="B655" i="2"/>
  <c r="A655" i="2"/>
  <c r="U654" i="2"/>
  <c r="S654" i="2"/>
  <c r="P654" i="2"/>
  <c r="O654" i="2"/>
  <c r="J654" i="2"/>
  <c r="K654" i="2" s="1"/>
  <c r="V654" i="2" s="1"/>
  <c r="H654" i="2"/>
  <c r="T654" i="2" s="1"/>
  <c r="E654" i="2"/>
  <c r="D654" i="2"/>
  <c r="B654" i="2"/>
  <c r="A654" i="2"/>
  <c r="S652" i="2"/>
  <c r="P652" i="2"/>
  <c r="O652" i="2"/>
  <c r="K652" i="2"/>
  <c r="V652" i="2" s="1"/>
  <c r="J652" i="2"/>
  <c r="H652" i="2"/>
  <c r="T652" i="2" s="1"/>
  <c r="E652" i="2"/>
  <c r="D652" i="2"/>
  <c r="B652" i="2"/>
  <c r="A652" i="2"/>
  <c r="U651" i="2"/>
  <c r="S651" i="2"/>
  <c r="T651" i="2" s="1"/>
  <c r="P651" i="2"/>
  <c r="O651" i="2"/>
  <c r="J651" i="2"/>
  <c r="K651" i="2" s="1"/>
  <c r="V651" i="2" s="1"/>
  <c r="H651" i="2"/>
  <c r="E651" i="2"/>
  <c r="D651" i="2"/>
  <c r="B651" i="2"/>
  <c r="A651" i="2"/>
  <c r="S650" i="2"/>
  <c r="P650" i="2"/>
  <c r="O650" i="2"/>
  <c r="J650" i="2"/>
  <c r="K650" i="2" s="1"/>
  <c r="H650" i="2"/>
  <c r="D650" i="2"/>
  <c r="B650" i="2"/>
  <c r="A650" i="2"/>
  <c r="V648" i="2"/>
  <c r="S648" i="2"/>
  <c r="P648" i="2"/>
  <c r="O648" i="2"/>
  <c r="K648" i="2"/>
  <c r="U648" i="2" s="1"/>
  <c r="J648" i="2"/>
  <c r="H648" i="2"/>
  <c r="E648" i="2"/>
  <c r="D648" i="2"/>
  <c r="B648" i="2"/>
  <c r="A648" i="2"/>
  <c r="V647" i="2"/>
  <c r="S647" i="2"/>
  <c r="P647" i="2"/>
  <c r="O647" i="2"/>
  <c r="K647" i="2"/>
  <c r="U647" i="2" s="1"/>
  <c r="J647" i="2"/>
  <c r="H647" i="2"/>
  <c r="T647" i="2" s="1"/>
  <c r="E647" i="2"/>
  <c r="D647" i="2"/>
  <c r="B647" i="2"/>
  <c r="A647" i="2"/>
  <c r="S646" i="2"/>
  <c r="P646" i="2"/>
  <c r="O646" i="2"/>
  <c r="K646" i="2"/>
  <c r="J646" i="2"/>
  <c r="H646" i="2"/>
  <c r="T646" i="2" s="1"/>
  <c r="E646" i="2"/>
  <c r="D646" i="2"/>
  <c r="B646" i="2"/>
  <c r="A646" i="2"/>
  <c r="S645" i="2"/>
  <c r="P645" i="2"/>
  <c r="O645" i="2"/>
  <c r="K645" i="2"/>
  <c r="V645" i="2" s="1"/>
  <c r="J645" i="2"/>
  <c r="H645" i="2"/>
  <c r="T645" i="2" s="1"/>
  <c r="E645" i="2"/>
  <c r="D645" i="2"/>
  <c r="B645" i="2"/>
  <c r="A645" i="2"/>
  <c r="T644" i="2"/>
  <c r="S644" i="2"/>
  <c r="P644" i="2"/>
  <c r="O644" i="2"/>
  <c r="K644" i="2"/>
  <c r="V644" i="2" s="1"/>
  <c r="J644" i="2"/>
  <c r="H644" i="2"/>
  <c r="E644" i="2"/>
  <c r="D644" i="2"/>
  <c r="B644" i="2"/>
  <c r="A644" i="2"/>
  <c r="V643" i="2"/>
  <c r="S643" i="2"/>
  <c r="P643" i="2"/>
  <c r="O643" i="2"/>
  <c r="J643" i="2"/>
  <c r="K643" i="2" s="1"/>
  <c r="H643" i="2"/>
  <c r="D643" i="2"/>
  <c r="B643" i="2"/>
  <c r="A643" i="2"/>
  <c r="S642" i="2"/>
  <c r="P642" i="2"/>
  <c r="O642" i="2"/>
  <c r="J642" i="2"/>
  <c r="K642" i="2" s="1"/>
  <c r="H642" i="2"/>
  <c r="D642" i="2"/>
  <c r="B642" i="2"/>
  <c r="A642" i="2"/>
  <c r="V640" i="2"/>
  <c r="S640" i="2"/>
  <c r="P640" i="2"/>
  <c r="O640" i="2"/>
  <c r="K640" i="2"/>
  <c r="U640" i="2" s="1"/>
  <c r="J640" i="2"/>
  <c r="H640" i="2"/>
  <c r="E640" i="2"/>
  <c r="D640" i="2"/>
  <c r="B640" i="2"/>
  <c r="A640" i="2"/>
  <c r="V639" i="2"/>
  <c r="S639" i="2"/>
  <c r="P639" i="2"/>
  <c r="O639" i="2"/>
  <c r="K639" i="2"/>
  <c r="U639" i="2" s="1"/>
  <c r="J639" i="2"/>
  <c r="H639" i="2"/>
  <c r="T639" i="2" s="1"/>
  <c r="E639" i="2"/>
  <c r="D639" i="2"/>
  <c r="B639" i="2"/>
  <c r="A639" i="2"/>
  <c r="S638" i="2"/>
  <c r="P638" i="2"/>
  <c r="O638" i="2"/>
  <c r="K638" i="2"/>
  <c r="J638" i="2"/>
  <c r="H638" i="2"/>
  <c r="T638" i="2" s="1"/>
  <c r="E638" i="2"/>
  <c r="D638" i="2"/>
  <c r="B638" i="2"/>
  <c r="A638" i="2"/>
  <c r="S637" i="2"/>
  <c r="P637" i="2"/>
  <c r="O637" i="2"/>
  <c r="K637" i="2"/>
  <c r="V637" i="2" s="1"/>
  <c r="J637" i="2"/>
  <c r="H637" i="2"/>
  <c r="E637" i="2"/>
  <c r="D637" i="2"/>
  <c r="B637" i="2"/>
  <c r="A637" i="2"/>
  <c r="T636" i="2"/>
  <c r="S636" i="2"/>
  <c r="P636" i="2"/>
  <c r="O636" i="2"/>
  <c r="K636" i="2"/>
  <c r="V636" i="2" s="1"/>
  <c r="J636" i="2"/>
  <c r="H636" i="2"/>
  <c r="D636" i="2"/>
  <c r="B636" i="2"/>
  <c r="A636" i="2"/>
  <c r="U635" i="2"/>
  <c r="S635" i="2"/>
  <c r="T635" i="2" s="1"/>
  <c r="P635" i="2"/>
  <c r="O635" i="2"/>
  <c r="J635" i="2"/>
  <c r="K635" i="2" s="1"/>
  <c r="V635" i="2" s="1"/>
  <c r="H635" i="2"/>
  <c r="E635" i="2"/>
  <c r="D635" i="2"/>
  <c r="B635" i="2"/>
  <c r="A635" i="2"/>
  <c r="S633" i="2"/>
  <c r="P633" i="2"/>
  <c r="O633" i="2"/>
  <c r="J633" i="2"/>
  <c r="K633" i="2" s="1"/>
  <c r="H633" i="2"/>
  <c r="E633" i="2"/>
  <c r="D633" i="2"/>
  <c r="B633" i="2"/>
  <c r="A633" i="2"/>
  <c r="V631" i="2"/>
  <c r="U631" i="2"/>
  <c r="S631" i="2"/>
  <c r="P631" i="2"/>
  <c r="T631" i="2" s="1"/>
  <c r="O631" i="2"/>
  <c r="K631" i="2"/>
  <c r="J631" i="2"/>
  <c r="H631" i="2"/>
  <c r="E631" i="2"/>
  <c r="D631" i="2"/>
  <c r="B631" i="2"/>
  <c r="A631" i="2"/>
  <c r="S630" i="2"/>
  <c r="P630" i="2"/>
  <c r="O630" i="2"/>
  <c r="J630" i="2"/>
  <c r="K630" i="2" s="1"/>
  <c r="H630" i="2"/>
  <c r="E630" i="2"/>
  <c r="D630" i="2"/>
  <c r="B630" i="2"/>
  <c r="A630" i="2"/>
  <c r="S629" i="2"/>
  <c r="P629" i="2"/>
  <c r="O629" i="2"/>
  <c r="K629" i="2"/>
  <c r="V629" i="2" s="1"/>
  <c r="H629" i="2"/>
  <c r="T629" i="2" s="1"/>
  <c r="D629" i="2"/>
  <c r="B629" i="2"/>
  <c r="A629" i="2"/>
  <c r="S628" i="2"/>
  <c r="P628" i="2"/>
  <c r="O628" i="2"/>
  <c r="K628" i="2"/>
  <c r="V628" i="2" s="1"/>
  <c r="H628" i="2"/>
  <c r="T628" i="2" s="1"/>
  <c r="D628" i="2"/>
  <c r="B628" i="2"/>
  <c r="A628" i="2"/>
  <c r="S626" i="2"/>
  <c r="P626" i="2"/>
  <c r="O626" i="2"/>
  <c r="J626" i="2"/>
  <c r="K626" i="2" s="1"/>
  <c r="H626" i="2"/>
  <c r="T626" i="2" s="1"/>
  <c r="E626" i="2"/>
  <c r="D626" i="2"/>
  <c r="B626" i="2"/>
  <c r="A626" i="2"/>
  <c r="S625" i="2"/>
  <c r="P625" i="2"/>
  <c r="O625" i="2"/>
  <c r="J625" i="2"/>
  <c r="K625" i="2" s="1"/>
  <c r="H625" i="2"/>
  <c r="T625" i="2" s="1"/>
  <c r="E625" i="2"/>
  <c r="D625" i="2"/>
  <c r="B625" i="2"/>
  <c r="A625" i="2"/>
  <c r="U623" i="2"/>
  <c r="S623" i="2"/>
  <c r="T623" i="2" s="1"/>
  <c r="P623" i="2"/>
  <c r="O623" i="2"/>
  <c r="J623" i="2"/>
  <c r="K623" i="2" s="1"/>
  <c r="V623" i="2" s="1"/>
  <c r="H623" i="2"/>
  <c r="E623" i="2"/>
  <c r="D623" i="2"/>
  <c r="B623" i="2"/>
  <c r="A623" i="2"/>
  <c r="S621" i="2"/>
  <c r="T621" i="2" s="1"/>
  <c r="P621" i="2"/>
  <c r="O621" i="2"/>
  <c r="J621" i="2"/>
  <c r="K621" i="2" s="1"/>
  <c r="H621" i="2"/>
  <c r="E621" i="2"/>
  <c r="D621" i="2"/>
  <c r="B621" i="2"/>
  <c r="A621" i="2"/>
  <c r="S620" i="2"/>
  <c r="P620" i="2"/>
  <c r="T620" i="2" s="1"/>
  <c r="O620" i="2"/>
  <c r="J620" i="2"/>
  <c r="K620" i="2" s="1"/>
  <c r="H620" i="2"/>
  <c r="E620" i="2"/>
  <c r="D620" i="2"/>
  <c r="B620" i="2"/>
  <c r="A620" i="2"/>
  <c r="S618" i="2"/>
  <c r="P618" i="2"/>
  <c r="O618" i="2"/>
  <c r="J618" i="2"/>
  <c r="K618" i="2" s="1"/>
  <c r="H618" i="2"/>
  <c r="E618" i="2"/>
  <c r="D618" i="2"/>
  <c r="B618" i="2"/>
  <c r="A618" i="2"/>
  <c r="S617" i="2"/>
  <c r="P617" i="2"/>
  <c r="O617" i="2"/>
  <c r="J617" i="2"/>
  <c r="K617" i="2" s="1"/>
  <c r="H617" i="2"/>
  <c r="T617" i="2" s="1"/>
  <c r="E617" i="2"/>
  <c r="D617" i="2"/>
  <c r="B617" i="2"/>
  <c r="A617" i="2"/>
  <c r="U615" i="2"/>
  <c r="S615" i="2"/>
  <c r="P615" i="2"/>
  <c r="O615" i="2"/>
  <c r="J615" i="2"/>
  <c r="K615" i="2" s="1"/>
  <c r="V615" i="2" s="1"/>
  <c r="H615" i="2"/>
  <c r="D615" i="2"/>
  <c r="B615" i="2"/>
  <c r="A615" i="2"/>
  <c r="T613" i="2"/>
  <c r="S613" i="2"/>
  <c r="P613" i="2"/>
  <c r="O613" i="2"/>
  <c r="K613" i="2"/>
  <c r="V613" i="2" s="1"/>
  <c r="J613" i="2"/>
  <c r="H613" i="2"/>
  <c r="E613" i="2"/>
  <c r="D613" i="2"/>
  <c r="B613" i="2"/>
  <c r="A613" i="2"/>
  <c r="V611" i="2"/>
  <c r="S611" i="2"/>
  <c r="P611" i="2"/>
  <c r="O611" i="2"/>
  <c r="J611" i="2"/>
  <c r="K611" i="2" s="1"/>
  <c r="H611" i="2"/>
  <c r="E611" i="2"/>
  <c r="D611" i="2"/>
  <c r="B611" i="2"/>
  <c r="A611" i="2"/>
  <c r="V610" i="2"/>
  <c r="S610" i="2"/>
  <c r="P610" i="2"/>
  <c r="O610" i="2"/>
  <c r="K610" i="2"/>
  <c r="U610" i="2" s="1"/>
  <c r="J610" i="2"/>
  <c r="H610" i="2"/>
  <c r="E610" i="2"/>
  <c r="D610" i="2"/>
  <c r="B610" i="2"/>
  <c r="A610" i="2"/>
  <c r="V608" i="2"/>
  <c r="U608" i="2"/>
  <c r="S608" i="2"/>
  <c r="P608" i="2"/>
  <c r="O608" i="2"/>
  <c r="K608" i="2"/>
  <c r="J608" i="2"/>
  <c r="H608" i="2"/>
  <c r="T608" i="2" s="1"/>
  <c r="E608" i="2"/>
  <c r="D608" i="2"/>
  <c r="B608" i="2"/>
  <c r="A608" i="2"/>
  <c r="S607" i="2"/>
  <c r="P607" i="2"/>
  <c r="O607" i="2"/>
  <c r="K607" i="2"/>
  <c r="J607" i="2"/>
  <c r="H607" i="2"/>
  <c r="E607" i="2"/>
  <c r="D607" i="2"/>
  <c r="B607" i="2"/>
  <c r="A607" i="2"/>
  <c r="S606" i="2"/>
  <c r="P606" i="2"/>
  <c r="O606" i="2"/>
  <c r="K606" i="2"/>
  <c r="V606" i="2" s="1"/>
  <c r="J606" i="2"/>
  <c r="H606" i="2"/>
  <c r="T606" i="2" s="1"/>
  <c r="D606" i="2"/>
  <c r="B606" i="2"/>
  <c r="A606" i="2"/>
  <c r="S605" i="2"/>
  <c r="P605" i="2"/>
  <c r="O605" i="2"/>
  <c r="J605" i="2"/>
  <c r="K605" i="2" s="1"/>
  <c r="H605" i="2"/>
  <c r="E605" i="2"/>
  <c r="D605" i="2"/>
  <c r="B605" i="2"/>
  <c r="A605" i="2"/>
  <c r="S604" i="2"/>
  <c r="P604" i="2"/>
  <c r="O604" i="2"/>
  <c r="J604" i="2"/>
  <c r="K604" i="2" s="1"/>
  <c r="V604" i="2" s="1"/>
  <c r="H604" i="2"/>
  <c r="E604" i="2"/>
  <c r="D604" i="2"/>
  <c r="B604" i="2"/>
  <c r="A604" i="2"/>
  <c r="S603" i="2"/>
  <c r="P603" i="2"/>
  <c r="O603" i="2"/>
  <c r="J603" i="2"/>
  <c r="K603" i="2" s="1"/>
  <c r="H603" i="2"/>
  <c r="E603" i="2"/>
  <c r="D603" i="2"/>
  <c r="B603" i="2"/>
  <c r="A603" i="2"/>
  <c r="V602" i="2"/>
  <c r="U602" i="2"/>
  <c r="S602" i="2"/>
  <c r="P602" i="2"/>
  <c r="T602" i="2" s="1"/>
  <c r="O602" i="2"/>
  <c r="K602" i="2"/>
  <c r="J602" i="2"/>
  <c r="H602" i="2"/>
  <c r="E602" i="2"/>
  <c r="D602" i="2"/>
  <c r="B602" i="2"/>
  <c r="A602" i="2"/>
  <c r="S601" i="2"/>
  <c r="P601" i="2"/>
  <c r="O601" i="2"/>
  <c r="J601" i="2"/>
  <c r="K601" i="2" s="1"/>
  <c r="H601" i="2"/>
  <c r="D601" i="2"/>
  <c r="B601" i="2"/>
  <c r="A601" i="2"/>
  <c r="U599" i="2"/>
  <c r="S599" i="2"/>
  <c r="P599" i="2"/>
  <c r="O599" i="2"/>
  <c r="K599" i="2"/>
  <c r="V599" i="2" s="1"/>
  <c r="J599" i="2"/>
  <c r="H599" i="2"/>
  <c r="T599" i="2" s="1"/>
  <c r="E599" i="2"/>
  <c r="D599" i="2"/>
  <c r="B599" i="2"/>
  <c r="A599" i="2"/>
  <c r="S598" i="2"/>
  <c r="P598" i="2"/>
  <c r="O598" i="2"/>
  <c r="K598" i="2"/>
  <c r="V598" i="2" s="1"/>
  <c r="J598" i="2"/>
  <c r="H598" i="2"/>
  <c r="E598" i="2"/>
  <c r="D598" i="2"/>
  <c r="B598" i="2"/>
  <c r="A598" i="2"/>
  <c r="U597" i="2"/>
  <c r="T597" i="2"/>
  <c r="S597" i="2"/>
  <c r="P597" i="2"/>
  <c r="O597" i="2"/>
  <c r="K597" i="2"/>
  <c r="V597" i="2" s="1"/>
  <c r="J597" i="2"/>
  <c r="H597" i="2"/>
  <c r="D597" i="2"/>
  <c r="B597" i="2"/>
  <c r="A597" i="2"/>
  <c r="U596" i="2"/>
  <c r="S596" i="2"/>
  <c r="P596" i="2"/>
  <c r="O596" i="2"/>
  <c r="J596" i="2"/>
  <c r="K596" i="2" s="1"/>
  <c r="V596" i="2" s="1"/>
  <c r="H596" i="2"/>
  <c r="E596" i="2"/>
  <c r="D596" i="2"/>
  <c r="B596" i="2"/>
  <c r="A596" i="2"/>
  <c r="S595" i="2"/>
  <c r="P595" i="2"/>
  <c r="O595" i="2"/>
  <c r="J595" i="2"/>
  <c r="K595" i="2" s="1"/>
  <c r="H595" i="2"/>
  <c r="E595" i="2"/>
  <c r="D595" i="2"/>
  <c r="B595" i="2"/>
  <c r="A595" i="2"/>
  <c r="V594" i="2"/>
  <c r="U594" i="2"/>
  <c r="S594" i="2"/>
  <c r="P594" i="2"/>
  <c r="T594" i="2" s="1"/>
  <c r="O594" i="2"/>
  <c r="K594" i="2"/>
  <c r="J594" i="2"/>
  <c r="H594" i="2"/>
  <c r="D594" i="2"/>
  <c r="B594" i="2"/>
  <c r="A594" i="2"/>
  <c r="V593" i="2"/>
  <c r="U593" i="2"/>
  <c r="S593" i="2"/>
  <c r="P593" i="2"/>
  <c r="O593" i="2"/>
  <c r="K593" i="2"/>
  <c r="J593" i="2"/>
  <c r="H593" i="2"/>
  <c r="T593" i="2" s="1"/>
  <c r="E593" i="2"/>
  <c r="D593" i="2"/>
  <c r="B593" i="2"/>
  <c r="A593" i="2"/>
  <c r="S592" i="2"/>
  <c r="P592" i="2"/>
  <c r="O592" i="2"/>
  <c r="K592" i="2"/>
  <c r="J592" i="2"/>
  <c r="H592" i="2"/>
  <c r="T592" i="2" s="1"/>
  <c r="D592" i="2"/>
  <c r="B592" i="2"/>
  <c r="A592" i="2"/>
  <c r="U591" i="2"/>
  <c r="S591" i="2"/>
  <c r="P591" i="2"/>
  <c r="O591" i="2"/>
  <c r="J591" i="2"/>
  <c r="K591" i="2" s="1"/>
  <c r="V591" i="2" s="1"/>
  <c r="H591" i="2"/>
  <c r="T591" i="2" s="1"/>
  <c r="E591" i="2"/>
  <c r="D591" i="2"/>
  <c r="B591" i="2"/>
  <c r="A591" i="2"/>
  <c r="S590" i="2"/>
  <c r="P590" i="2"/>
  <c r="O590" i="2"/>
  <c r="J590" i="2"/>
  <c r="K590" i="2" s="1"/>
  <c r="H590" i="2"/>
  <c r="D590" i="2"/>
  <c r="B590" i="2"/>
  <c r="A590" i="2"/>
  <c r="T589" i="2"/>
  <c r="S589" i="2"/>
  <c r="P589" i="2"/>
  <c r="O589" i="2"/>
  <c r="K589" i="2"/>
  <c r="V589" i="2" s="1"/>
  <c r="J589" i="2"/>
  <c r="H589" i="2"/>
  <c r="D589" i="2"/>
  <c r="B589" i="2"/>
  <c r="A589" i="2"/>
  <c r="S588" i="2"/>
  <c r="P588" i="2"/>
  <c r="O588" i="2"/>
  <c r="J588" i="2"/>
  <c r="K588" i="2" s="1"/>
  <c r="V588" i="2" s="1"/>
  <c r="H588" i="2"/>
  <c r="E588" i="2"/>
  <c r="D588" i="2"/>
  <c r="B588" i="2"/>
  <c r="A588" i="2"/>
  <c r="S587" i="2"/>
  <c r="T587" i="2" s="1"/>
  <c r="P587" i="2"/>
  <c r="O587" i="2"/>
  <c r="J587" i="2"/>
  <c r="K587" i="2" s="1"/>
  <c r="H587" i="2"/>
  <c r="E587" i="2"/>
  <c r="D587" i="2"/>
  <c r="B587" i="2"/>
  <c r="A587" i="2"/>
  <c r="V586" i="2"/>
  <c r="U586" i="2"/>
  <c r="S586" i="2"/>
  <c r="P586" i="2"/>
  <c r="T586" i="2" s="1"/>
  <c r="O586" i="2"/>
  <c r="K586" i="2"/>
  <c r="J586" i="2"/>
  <c r="H586" i="2"/>
  <c r="E586" i="2"/>
  <c r="D586" i="2"/>
  <c r="B586" i="2"/>
  <c r="A586" i="2"/>
  <c r="U584" i="2"/>
  <c r="S584" i="2"/>
  <c r="P584" i="2"/>
  <c r="O584" i="2"/>
  <c r="J584" i="2"/>
  <c r="K584" i="2" s="1"/>
  <c r="V584" i="2" s="1"/>
  <c r="H584" i="2"/>
  <c r="T584" i="2" s="1"/>
  <c r="E584" i="2"/>
  <c r="D584" i="2"/>
  <c r="B584" i="2"/>
  <c r="A584" i="2"/>
  <c r="S583" i="2"/>
  <c r="P583" i="2"/>
  <c r="O583" i="2"/>
  <c r="J583" i="2"/>
  <c r="K583" i="2" s="1"/>
  <c r="H583" i="2"/>
  <c r="D583" i="2"/>
  <c r="B583" i="2"/>
  <c r="A583" i="2"/>
  <c r="S582" i="2"/>
  <c r="P582" i="2"/>
  <c r="O582" i="2"/>
  <c r="K582" i="2"/>
  <c r="V582" i="2" s="1"/>
  <c r="H582" i="2"/>
  <c r="E582" i="2"/>
  <c r="D582" i="2"/>
  <c r="B582" i="2"/>
  <c r="A582" i="2"/>
  <c r="S581" i="2"/>
  <c r="P581" i="2"/>
  <c r="O581" i="2"/>
  <c r="J581" i="2"/>
  <c r="K581" i="2" s="1"/>
  <c r="H581" i="2"/>
  <c r="T581" i="2" s="1"/>
  <c r="E581" i="2"/>
  <c r="D581" i="2"/>
  <c r="B581" i="2"/>
  <c r="A581" i="2"/>
  <c r="U580" i="2"/>
  <c r="S580" i="2"/>
  <c r="P580" i="2"/>
  <c r="O580" i="2"/>
  <c r="K580" i="2"/>
  <c r="V580" i="2" s="1"/>
  <c r="J580" i="2"/>
  <c r="H580" i="2"/>
  <c r="T580" i="2" s="1"/>
  <c r="D580" i="2"/>
  <c r="B580" i="2"/>
  <c r="A580" i="2"/>
  <c r="V578" i="2"/>
  <c r="U578" i="2"/>
  <c r="T578" i="2"/>
  <c r="S578" i="2"/>
  <c r="P578" i="2"/>
  <c r="O578" i="2"/>
  <c r="K578" i="2"/>
  <c r="H578" i="2"/>
  <c r="E578" i="2"/>
  <c r="D578" i="2"/>
  <c r="B578" i="2"/>
  <c r="A578" i="2"/>
  <c r="U577" i="2"/>
  <c r="S577" i="2"/>
  <c r="T577" i="2" s="1"/>
  <c r="P577" i="2"/>
  <c r="O577" i="2"/>
  <c r="J577" i="2"/>
  <c r="K577" i="2" s="1"/>
  <c r="V577" i="2" s="1"/>
  <c r="H577" i="2"/>
  <c r="E577" i="2"/>
  <c r="D577" i="2"/>
  <c r="B577" i="2"/>
  <c r="A577" i="2"/>
  <c r="V576" i="2"/>
  <c r="U576" i="2"/>
  <c r="S576" i="2"/>
  <c r="P576" i="2"/>
  <c r="T576" i="2" s="1"/>
  <c r="O576" i="2"/>
  <c r="K576" i="2"/>
  <c r="J576" i="2"/>
  <c r="H576" i="2"/>
  <c r="D576" i="2"/>
  <c r="B576" i="2"/>
  <c r="A576" i="2"/>
  <c r="V575" i="2"/>
  <c r="U575" i="2"/>
  <c r="S575" i="2"/>
  <c r="P575" i="2"/>
  <c r="O575" i="2"/>
  <c r="K575" i="2"/>
  <c r="J575" i="2"/>
  <c r="H575" i="2"/>
  <c r="T575" i="2" s="1"/>
  <c r="D575" i="2"/>
  <c r="B575" i="2"/>
  <c r="A575" i="2"/>
  <c r="S574" i="2"/>
  <c r="P574" i="2"/>
  <c r="O574" i="2"/>
  <c r="J574" i="2"/>
  <c r="K574" i="2" s="1"/>
  <c r="H574" i="2"/>
  <c r="D574" i="2"/>
  <c r="B574" i="2"/>
  <c r="A574" i="2"/>
  <c r="S573" i="2"/>
  <c r="P573" i="2"/>
  <c r="O573" i="2"/>
  <c r="K573" i="2"/>
  <c r="J573" i="2"/>
  <c r="H573" i="2"/>
  <c r="T573" i="2" s="1"/>
  <c r="E573" i="2"/>
  <c r="D573" i="2"/>
  <c r="B573" i="2"/>
  <c r="A573" i="2"/>
  <c r="S572" i="2"/>
  <c r="P572" i="2"/>
  <c r="O572" i="2"/>
  <c r="K572" i="2"/>
  <c r="V572" i="2" s="1"/>
  <c r="J572" i="2"/>
  <c r="H572" i="2"/>
  <c r="E572" i="2"/>
  <c r="D572" i="2"/>
  <c r="B572" i="2"/>
  <c r="A572" i="2"/>
  <c r="T571" i="2"/>
  <c r="S571" i="2"/>
  <c r="P571" i="2"/>
  <c r="O571" i="2"/>
  <c r="K571" i="2"/>
  <c r="V571" i="2" s="1"/>
  <c r="J571" i="2"/>
  <c r="H571" i="2"/>
  <c r="E571" i="2"/>
  <c r="D571" i="2"/>
  <c r="B571" i="2"/>
  <c r="A571" i="2"/>
  <c r="V570" i="2"/>
  <c r="S570" i="2"/>
  <c r="P570" i="2"/>
  <c r="O570" i="2"/>
  <c r="J570" i="2"/>
  <c r="K570" i="2" s="1"/>
  <c r="H570" i="2"/>
  <c r="E570" i="2"/>
  <c r="D570" i="2"/>
  <c r="B570" i="2"/>
  <c r="A570" i="2"/>
  <c r="V569" i="2"/>
  <c r="U569" i="2"/>
  <c r="S569" i="2"/>
  <c r="P569" i="2"/>
  <c r="O569" i="2"/>
  <c r="K569" i="2"/>
  <c r="T569" i="2" s="1"/>
  <c r="J569" i="2"/>
  <c r="H569" i="2"/>
  <c r="E569" i="2"/>
  <c r="D569" i="2"/>
  <c r="B569" i="2"/>
  <c r="A569" i="2"/>
  <c r="V568" i="2"/>
  <c r="U568" i="2"/>
  <c r="S568" i="2"/>
  <c r="P568" i="2"/>
  <c r="O568" i="2"/>
  <c r="K568" i="2"/>
  <c r="J568" i="2"/>
  <c r="H568" i="2"/>
  <c r="T568" i="2" s="1"/>
  <c r="E568" i="2"/>
  <c r="D568" i="2"/>
  <c r="B568" i="2"/>
  <c r="A568" i="2"/>
  <c r="U567" i="2"/>
  <c r="S567" i="2"/>
  <c r="P567" i="2"/>
  <c r="O567" i="2"/>
  <c r="K567" i="2"/>
  <c r="V567" i="2" s="1"/>
  <c r="J567" i="2"/>
  <c r="H567" i="2"/>
  <c r="E567" i="2"/>
  <c r="D567" i="2"/>
  <c r="B567" i="2"/>
  <c r="A567" i="2"/>
  <c r="S566" i="2"/>
  <c r="P566" i="2"/>
  <c r="O566" i="2"/>
  <c r="K566" i="2"/>
  <c r="V566" i="2" s="1"/>
  <c r="J566" i="2"/>
  <c r="H566" i="2"/>
  <c r="T566" i="2" s="1"/>
  <c r="E566" i="2"/>
  <c r="D566" i="2"/>
  <c r="B566" i="2"/>
  <c r="A566" i="2"/>
  <c r="U564" i="2"/>
  <c r="T564" i="2"/>
  <c r="S564" i="2"/>
  <c r="P564" i="2"/>
  <c r="O564" i="2"/>
  <c r="K564" i="2"/>
  <c r="V564" i="2" s="1"/>
  <c r="H564" i="2"/>
  <c r="E564" i="2"/>
  <c r="D564" i="2"/>
  <c r="B564" i="2"/>
  <c r="A564" i="2"/>
  <c r="S563" i="2"/>
  <c r="P563" i="2"/>
  <c r="O563" i="2"/>
  <c r="J563" i="2"/>
  <c r="K563" i="2" s="1"/>
  <c r="V563" i="2" s="1"/>
  <c r="H563" i="2"/>
  <c r="E563" i="2"/>
  <c r="D563" i="2"/>
  <c r="B563" i="2"/>
  <c r="A563" i="2"/>
  <c r="U562" i="2"/>
  <c r="S562" i="2"/>
  <c r="P562" i="2"/>
  <c r="O562" i="2"/>
  <c r="K562" i="2"/>
  <c r="V562" i="2" s="1"/>
  <c r="H562" i="2"/>
  <c r="T562" i="2" s="1"/>
  <c r="E562" i="2"/>
  <c r="D562" i="2"/>
  <c r="B562" i="2"/>
  <c r="A562" i="2"/>
  <c r="V561" i="2"/>
  <c r="U561" i="2"/>
  <c r="S561" i="2"/>
  <c r="P561" i="2"/>
  <c r="O561" i="2"/>
  <c r="K561" i="2"/>
  <c r="T561" i="2" s="1"/>
  <c r="J561" i="2"/>
  <c r="H561" i="2"/>
  <c r="D561" i="2"/>
  <c r="B561" i="2"/>
  <c r="A561" i="2"/>
  <c r="V560" i="2"/>
  <c r="U560" i="2"/>
  <c r="S560" i="2"/>
  <c r="P560" i="2"/>
  <c r="T560" i="2" s="1"/>
  <c r="O560" i="2"/>
  <c r="K560" i="2"/>
  <c r="J560" i="2"/>
  <c r="H560" i="2"/>
  <c r="E560" i="2"/>
  <c r="D560" i="2"/>
  <c r="B560" i="2"/>
  <c r="A560" i="2"/>
  <c r="S559" i="2"/>
  <c r="P559" i="2"/>
  <c r="O559" i="2"/>
  <c r="J559" i="2"/>
  <c r="K559" i="2" s="1"/>
  <c r="H559" i="2"/>
  <c r="E559" i="2"/>
  <c r="D559" i="2"/>
  <c r="B559" i="2"/>
  <c r="A559" i="2"/>
  <c r="U558" i="2"/>
  <c r="S558" i="2"/>
  <c r="P558" i="2"/>
  <c r="O558" i="2"/>
  <c r="J558" i="2"/>
  <c r="K558" i="2" s="1"/>
  <c r="V558" i="2" s="1"/>
  <c r="H558" i="2"/>
  <c r="D558" i="2"/>
  <c r="B558" i="2"/>
  <c r="A558" i="2"/>
  <c r="U557" i="2"/>
  <c r="S557" i="2"/>
  <c r="P557" i="2"/>
  <c r="O557" i="2"/>
  <c r="K557" i="2"/>
  <c r="V557" i="2" s="1"/>
  <c r="J557" i="2"/>
  <c r="H557" i="2"/>
  <c r="T557" i="2" s="1"/>
  <c r="E557" i="2"/>
  <c r="D557" i="2"/>
  <c r="B557" i="2"/>
  <c r="A557" i="2"/>
  <c r="U555" i="2"/>
  <c r="T555" i="2"/>
  <c r="S555" i="2"/>
  <c r="P555" i="2"/>
  <c r="O555" i="2"/>
  <c r="K555" i="2"/>
  <c r="V555" i="2" s="1"/>
  <c r="J555" i="2"/>
  <c r="H555" i="2"/>
  <c r="E555" i="2"/>
  <c r="D555" i="2"/>
  <c r="B555" i="2"/>
  <c r="A555" i="2"/>
  <c r="S554" i="2"/>
  <c r="P554" i="2"/>
  <c r="O554" i="2"/>
  <c r="J554" i="2"/>
  <c r="K554" i="2" s="1"/>
  <c r="H554" i="2"/>
  <c r="E554" i="2"/>
  <c r="D554" i="2"/>
  <c r="B554" i="2"/>
  <c r="A554" i="2"/>
  <c r="V553" i="2"/>
  <c r="U553" i="2"/>
  <c r="S553" i="2"/>
  <c r="P553" i="2"/>
  <c r="O553" i="2"/>
  <c r="K553" i="2"/>
  <c r="T553" i="2" s="1"/>
  <c r="J553" i="2"/>
  <c r="H553" i="2"/>
  <c r="E553" i="2"/>
  <c r="D553" i="2"/>
  <c r="B553" i="2"/>
  <c r="A553" i="2"/>
  <c r="V552" i="2"/>
  <c r="U552" i="2"/>
  <c r="S552" i="2"/>
  <c r="P552" i="2"/>
  <c r="O552" i="2"/>
  <c r="K552" i="2"/>
  <c r="J552" i="2"/>
  <c r="H552" i="2"/>
  <c r="T552" i="2" s="1"/>
  <c r="D552" i="2"/>
  <c r="B552" i="2"/>
  <c r="A552" i="2"/>
  <c r="U551" i="2"/>
  <c r="S551" i="2"/>
  <c r="P551" i="2"/>
  <c r="O551" i="2"/>
  <c r="J551" i="2"/>
  <c r="K551" i="2" s="1"/>
  <c r="V551" i="2" s="1"/>
  <c r="H551" i="2"/>
  <c r="T551" i="2" s="1"/>
  <c r="E551" i="2"/>
  <c r="D551" i="2"/>
  <c r="B551" i="2"/>
  <c r="A551" i="2"/>
  <c r="U550" i="2"/>
  <c r="S550" i="2"/>
  <c r="P550" i="2"/>
  <c r="O550" i="2"/>
  <c r="J550" i="2"/>
  <c r="K550" i="2" s="1"/>
  <c r="V550" i="2" s="1"/>
  <c r="H550" i="2"/>
  <c r="E550" i="2"/>
  <c r="D550" i="2"/>
  <c r="B550" i="2"/>
  <c r="A550" i="2"/>
  <c r="U549" i="2"/>
  <c r="S549" i="2"/>
  <c r="P549" i="2"/>
  <c r="O549" i="2"/>
  <c r="J549" i="2"/>
  <c r="K549" i="2" s="1"/>
  <c r="V549" i="2" s="1"/>
  <c r="H549" i="2"/>
  <c r="E549" i="2"/>
  <c r="D549" i="2"/>
  <c r="B549" i="2"/>
  <c r="A549" i="2"/>
  <c r="U548" i="2"/>
  <c r="S548" i="2"/>
  <c r="P548" i="2"/>
  <c r="O548" i="2"/>
  <c r="J548" i="2"/>
  <c r="K548" i="2" s="1"/>
  <c r="V548" i="2" s="1"/>
  <c r="H548" i="2"/>
  <c r="D548" i="2"/>
  <c r="B548" i="2"/>
  <c r="A548" i="2"/>
  <c r="U547" i="2"/>
  <c r="S547" i="2"/>
  <c r="P547" i="2"/>
  <c r="O547" i="2"/>
  <c r="J547" i="2"/>
  <c r="K547" i="2" s="1"/>
  <c r="V547" i="2" s="1"/>
  <c r="H547" i="2"/>
  <c r="E547" i="2"/>
  <c r="D547" i="2"/>
  <c r="B547" i="2"/>
  <c r="A547" i="2"/>
  <c r="V545" i="2"/>
  <c r="S545" i="2"/>
  <c r="P545" i="2"/>
  <c r="O545" i="2"/>
  <c r="K545" i="2"/>
  <c r="U545" i="2" s="1"/>
  <c r="H545" i="2"/>
  <c r="E545" i="2"/>
  <c r="D545" i="2"/>
  <c r="B545" i="2"/>
  <c r="A545" i="2"/>
  <c r="V543" i="2"/>
  <c r="U543" i="2"/>
  <c r="S543" i="2"/>
  <c r="P543" i="2"/>
  <c r="T543" i="2" s="1"/>
  <c r="O543" i="2"/>
  <c r="K543" i="2"/>
  <c r="J543" i="2"/>
  <c r="H543" i="2"/>
  <c r="E543" i="2"/>
  <c r="D543" i="2"/>
  <c r="B543" i="2"/>
  <c r="A543" i="2"/>
  <c r="S542" i="2"/>
  <c r="P542" i="2"/>
  <c r="O542" i="2"/>
  <c r="J542" i="2"/>
  <c r="K542" i="2" s="1"/>
  <c r="H542" i="2"/>
  <c r="D542" i="2"/>
  <c r="B542" i="2"/>
  <c r="A542" i="2"/>
  <c r="S540" i="2"/>
  <c r="P540" i="2"/>
  <c r="O540" i="2"/>
  <c r="K540" i="2"/>
  <c r="J540" i="2"/>
  <c r="H540" i="2"/>
  <c r="T540" i="2" s="1"/>
  <c r="E540" i="2"/>
  <c r="D540" i="2"/>
  <c r="B540" i="2"/>
  <c r="A540" i="2"/>
  <c r="S539" i="2"/>
  <c r="P539" i="2"/>
  <c r="O539" i="2"/>
  <c r="K539" i="2"/>
  <c r="J539" i="2"/>
  <c r="H539" i="2"/>
  <c r="E539" i="2"/>
  <c r="D539" i="2"/>
  <c r="B539" i="2"/>
  <c r="A539" i="2"/>
  <c r="S538" i="2"/>
  <c r="P538" i="2"/>
  <c r="T538" i="2" s="1"/>
  <c r="O538" i="2"/>
  <c r="K538" i="2"/>
  <c r="V538" i="2" s="1"/>
  <c r="J538" i="2"/>
  <c r="H538" i="2"/>
  <c r="E538" i="2"/>
  <c r="D538" i="2"/>
  <c r="B538" i="2"/>
  <c r="A538" i="2"/>
  <c r="V537" i="2"/>
  <c r="T537" i="2"/>
  <c r="S537" i="2"/>
  <c r="P537" i="2"/>
  <c r="O537" i="2"/>
  <c r="J537" i="2"/>
  <c r="K537" i="2" s="1"/>
  <c r="U537" i="2" s="1"/>
  <c r="H537" i="2"/>
  <c r="E537" i="2"/>
  <c r="D537" i="2"/>
  <c r="B537" i="2"/>
  <c r="A537" i="2"/>
  <c r="S536" i="2"/>
  <c r="P536" i="2"/>
  <c r="O536" i="2"/>
  <c r="K536" i="2"/>
  <c r="V536" i="2" s="1"/>
  <c r="J536" i="2"/>
  <c r="H536" i="2"/>
  <c r="E536" i="2"/>
  <c r="D536" i="2"/>
  <c r="B536" i="2"/>
  <c r="A536" i="2"/>
  <c r="V535" i="2"/>
  <c r="U535" i="2"/>
  <c r="S535" i="2"/>
  <c r="P535" i="2"/>
  <c r="O535" i="2"/>
  <c r="K535" i="2"/>
  <c r="J535" i="2"/>
  <c r="H535" i="2"/>
  <c r="E535" i="2"/>
  <c r="D535" i="2"/>
  <c r="B535" i="2"/>
  <c r="A535" i="2"/>
  <c r="T534" i="2"/>
  <c r="S534" i="2"/>
  <c r="P534" i="2"/>
  <c r="O534" i="2"/>
  <c r="K534" i="2"/>
  <c r="J534" i="2"/>
  <c r="H534" i="2"/>
  <c r="D534" i="2"/>
  <c r="B534" i="2"/>
  <c r="A534" i="2"/>
  <c r="S532" i="2"/>
  <c r="P532" i="2"/>
  <c r="O532" i="2"/>
  <c r="J532" i="2"/>
  <c r="K532" i="2" s="1"/>
  <c r="V532" i="2" s="1"/>
  <c r="H532" i="2"/>
  <c r="T532" i="2" s="1"/>
  <c r="E532" i="2"/>
  <c r="D532" i="2"/>
  <c r="B532" i="2"/>
  <c r="A532" i="2"/>
  <c r="S531" i="2"/>
  <c r="P531" i="2"/>
  <c r="O531" i="2"/>
  <c r="J531" i="2"/>
  <c r="K531" i="2" s="1"/>
  <c r="H531" i="2"/>
  <c r="E531" i="2"/>
  <c r="D531" i="2"/>
  <c r="B531" i="2"/>
  <c r="A531" i="2"/>
  <c r="U530" i="2"/>
  <c r="S530" i="2"/>
  <c r="T530" i="2" s="1"/>
  <c r="P530" i="2"/>
  <c r="O530" i="2"/>
  <c r="J530" i="2"/>
  <c r="K530" i="2" s="1"/>
  <c r="V530" i="2" s="1"/>
  <c r="H530" i="2"/>
  <c r="E530" i="2"/>
  <c r="D530" i="2"/>
  <c r="B530" i="2"/>
  <c r="A530" i="2"/>
  <c r="U529" i="2"/>
  <c r="S529" i="2"/>
  <c r="P529" i="2"/>
  <c r="O529" i="2"/>
  <c r="J529" i="2"/>
  <c r="K529" i="2" s="1"/>
  <c r="V529" i="2" s="1"/>
  <c r="H529" i="2"/>
  <c r="E529" i="2"/>
  <c r="D529" i="2"/>
  <c r="B529" i="2"/>
  <c r="A529" i="2"/>
  <c r="U527" i="2"/>
  <c r="S527" i="2"/>
  <c r="P527" i="2"/>
  <c r="T527" i="2" s="1"/>
  <c r="O527" i="2"/>
  <c r="K527" i="2"/>
  <c r="V527" i="2" s="1"/>
  <c r="J527" i="2"/>
  <c r="H527" i="2"/>
  <c r="D527" i="2"/>
  <c r="B527" i="2"/>
  <c r="A527" i="2"/>
  <c r="V525" i="2"/>
  <c r="U525" i="2"/>
  <c r="S525" i="2"/>
  <c r="P525" i="2"/>
  <c r="O525" i="2"/>
  <c r="K525" i="2"/>
  <c r="J525" i="2"/>
  <c r="H525" i="2"/>
  <c r="E525" i="2"/>
  <c r="D525" i="2"/>
  <c r="B525" i="2"/>
  <c r="A525" i="2"/>
  <c r="S523" i="2"/>
  <c r="P523" i="2"/>
  <c r="O523" i="2"/>
  <c r="J523" i="2"/>
  <c r="K523" i="2" s="1"/>
  <c r="H523" i="2"/>
  <c r="E523" i="2"/>
  <c r="D523" i="2"/>
  <c r="B523" i="2"/>
  <c r="A523" i="2"/>
  <c r="S522" i="2"/>
  <c r="P522" i="2"/>
  <c r="O522" i="2"/>
  <c r="J522" i="2"/>
  <c r="K522" i="2" s="1"/>
  <c r="H522" i="2"/>
  <c r="E522" i="2"/>
  <c r="D522" i="2"/>
  <c r="B522" i="2"/>
  <c r="A522" i="2"/>
  <c r="S520" i="2"/>
  <c r="P520" i="2"/>
  <c r="T520" i="2" s="1"/>
  <c r="O520" i="2"/>
  <c r="K520" i="2"/>
  <c r="J520" i="2"/>
  <c r="H520" i="2"/>
  <c r="E520" i="2"/>
  <c r="D520" i="2"/>
  <c r="B520" i="2"/>
  <c r="A520" i="2"/>
  <c r="V518" i="2"/>
  <c r="U518" i="2"/>
  <c r="S518" i="2"/>
  <c r="P518" i="2"/>
  <c r="T518" i="2" s="1"/>
  <c r="O518" i="2"/>
  <c r="J518" i="2"/>
  <c r="K518" i="2" s="1"/>
  <c r="H518" i="2"/>
  <c r="E518" i="2"/>
  <c r="D518" i="2"/>
  <c r="B518" i="2"/>
  <c r="A518" i="2"/>
  <c r="V517" i="2"/>
  <c r="U517" i="2"/>
  <c r="T517" i="2"/>
  <c r="S517" i="2"/>
  <c r="P517" i="2"/>
  <c r="O517" i="2"/>
  <c r="K517" i="2"/>
  <c r="J517" i="2"/>
  <c r="H517" i="2"/>
  <c r="E517" i="2"/>
  <c r="D517" i="2"/>
  <c r="B517" i="2"/>
  <c r="A517" i="2"/>
  <c r="V516" i="2"/>
  <c r="U516" i="2"/>
  <c r="S516" i="2"/>
  <c r="P516" i="2"/>
  <c r="O516" i="2"/>
  <c r="K516" i="2"/>
  <c r="J516" i="2"/>
  <c r="H516" i="2"/>
  <c r="D516" i="2"/>
  <c r="B516" i="2"/>
  <c r="A516" i="2"/>
  <c r="S514" i="2"/>
  <c r="P514" i="2"/>
  <c r="O514" i="2"/>
  <c r="J514" i="2"/>
  <c r="K514" i="2" s="1"/>
  <c r="H514" i="2"/>
  <c r="E514" i="2"/>
  <c r="D514" i="2"/>
  <c r="B514" i="2"/>
  <c r="A514" i="2"/>
  <c r="S513" i="2"/>
  <c r="P513" i="2"/>
  <c r="O513" i="2"/>
  <c r="J513" i="2"/>
  <c r="K513" i="2" s="1"/>
  <c r="H513" i="2"/>
  <c r="E513" i="2"/>
  <c r="D513" i="2"/>
  <c r="B513" i="2"/>
  <c r="A513" i="2"/>
  <c r="S512" i="2"/>
  <c r="P512" i="2"/>
  <c r="O512" i="2"/>
  <c r="J512" i="2"/>
  <c r="K512" i="2" s="1"/>
  <c r="H512" i="2"/>
  <c r="E512" i="2"/>
  <c r="D512" i="2"/>
  <c r="B512" i="2"/>
  <c r="A512" i="2"/>
  <c r="U510" i="2"/>
  <c r="S510" i="2"/>
  <c r="T510" i="2" s="1"/>
  <c r="P510" i="2"/>
  <c r="O510" i="2"/>
  <c r="K510" i="2"/>
  <c r="V510" i="2" s="1"/>
  <c r="J510" i="2"/>
  <c r="H510" i="2"/>
  <c r="D510" i="2"/>
  <c r="B510" i="2"/>
  <c r="A510" i="2"/>
  <c r="S509" i="2"/>
  <c r="P509" i="2"/>
  <c r="O509" i="2"/>
  <c r="J509" i="2"/>
  <c r="K509" i="2" s="1"/>
  <c r="H509" i="2"/>
  <c r="D509" i="2"/>
  <c r="B509" i="2"/>
  <c r="A509" i="2"/>
  <c r="S508" i="2"/>
  <c r="P508" i="2"/>
  <c r="O508" i="2"/>
  <c r="J508" i="2"/>
  <c r="K508" i="2" s="1"/>
  <c r="H508" i="2"/>
  <c r="T508" i="2" s="1"/>
  <c r="D508" i="2"/>
  <c r="B508" i="2"/>
  <c r="A508" i="2"/>
  <c r="U507" i="2"/>
  <c r="S507" i="2"/>
  <c r="P507" i="2"/>
  <c r="O507" i="2"/>
  <c r="J507" i="2"/>
  <c r="K507" i="2" s="1"/>
  <c r="V507" i="2" s="1"/>
  <c r="H507" i="2"/>
  <c r="E507" i="2"/>
  <c r="D507" i="2"/>
  <c r="B507" i="2"/>
  <c r="A507" i="2"/>
  <c r="S506" i="2"/>
  <c r="P506" i="2"/>
  <c r="O506" i="2"/>
  <c r="K506" i="2"/>
  <c r="J506" i="2"/>
  <c r="H506" i="2"/>
  <c r="E506" i="2"/>
  <c r="D506" i="2"/>
  <c r="B506" i="2"/>
  <c r="A506" i="2"/>
  <c r="S505" i="2"/>
  <c r="P505" i="2"/>
  <c r="O505" i="2"/>
  <c r="J505" i="2"/>
  <c r="K505" i="2" s="1"/>
  <c r="H505" i="2"/>
  <c r="E505" i="2"/>
  <c r="D505" i="2"/>
  <c r="B505" i="2"/>
  <c r="A505" i="2"/>
  <c r="S504" i="2"/>
  <c r="P504" i="2"/>
  <c r="O504" i="2"/>
  <c r="J504" i="2"/>
  <c r="K504" i="2" s="1"/>
  <c r="T504" i="2" s="1"/>
  <c r="H504" i="2"/>
  <c r="E504" i="2"/>
  <c r="D504" i="2"/>
  <c r="B504" i="2"/>
  <c r="A504" i="2"/>
  <c r="V503" i="2"/>
  <c r="U503" i="2"/>
  <c r="S503" i="2"/>
  <c r="P503" i="2"/>
  <c r="T503" i="2" s="1"/>
  <c r="O503" i="2"/>
  <c r="K503" i="2"/>
  <c r="J503" i="2"/>
  <c r="H503" i="2"/>
  <c r="E503" i="2"/>
  <c r="D503" i="2"/>
  <c r="B503" i="2"/>
  <c r="A503" i="2"/>
  <c r="V502" i="2"/>
  <c r="U502" i="2"/>
  <c r="S502" i="2"/>
  <c r="T502" i="2" s="1"/>
  <c r="P502" i="2"/>
  <c r="O502" i="2"/>
  <c r="K502" i="2"/>
  <c r="J502" i="2"/>
  <c r="H502" i="2"/>
  <c r="E502" i="2"/>
  <c r="D502" i="2"/>
  <c r="B502" i="2"/>
  <c r="A502" i="2"/>
  <c r="U501" i="2"/>
  <c r="S501" i="2"/>
  <c r="P501" i="2"/>
  <c r="O501" i="2"/>
  <c r="J501" i="2"/>
  <c r="K501" i="2" s="1"/>
  <c r="V501" i="2" s="1"/>
  <c r="H501" i="2"/>
  <c r="T501" i="2" s="1"/>
  <c r="D501" i="2"/>
  <c r="B501" i="2"/>
  <c r="A501" i="2"/>
  <c r="S500" i="2"/>
  <c r="P500" i="2"/>
  <c r="O500" i="2"/>
  <c r="J500" i="2"/>
  <c r="K500" i="2" s="1"/>
  <c r="H500" i="2"/>
  <c r="E500" i="2"/>
  <c r="D500" i="2"/>
  <c r="B500" i="2"/>
  <c r="A500" i="2"/>
  <c r="S499" i="2"/>
  <c r="P499" i="2"/>
  <c r="O499" i="2"/>
  <c r="J499" i="2"/>
  <c r="K499" i="2" s="1"/>
  <c r="H499" i="2"/>
  <c r="E499" i="2"/>
  <c r="D499" i="2"/>
  <c r="B499" i="2"/>
  <c r="A499" i="2"/>
  <c r="S497" i="2"/>
  <c r="P497" i="2"/>
  <c r="O497" i="2"/>
  <c r="K497" i="2"/>
  <c r="V497" i="2" s="1"/>
  <c r="J497" i="2"/>
  <c r="H497" i="2"/>
  <c r="T497" i="2" s="1"/>
  <c r="E497" i="2"/>
  <c r="D497" i="2"/>
  <c r="B497" i="2"/>
  <c r="A497" i="2"/>
  <c r="S495" i="2"/>
  <c r="P495" i="2"/>
  <c r="O495" i="2"/>
  <c r="J495" i="2"/>
  <c r="K495" i="2" s="1"/>
  <c r="H495" i="2"/>
  <c r="E495" i="2"/>
  <c r="D495" i="2"/>
  <c r="B495" i="2"/>
  <c r="A495" i="2"/>
  <c r="S493" i="2"/>
  <c r="P493" i="2"/>
  <c r="O493" i="2"/>
  <c r="K493" i="2"/>
  <c r="V493" i="2" s="1"/>
  <c r="J493" i="2"/>
  <c r="H493" i="2"/>
  <c r="T493" i="2" s="1"/>
  <c r="E493" i="2"/>
  <c r="D493" i="2"/>
  <c r="B493" i="2"/>
  <c r="A493" i="2"/>
  <c r="U492" i="2"/>
  <c r="S492" i="2"/>
  <c r="P492" i="2"/>
  <c r="T492" i="2" s="1"/>
  <c r="O492" i="2"/>
  <c r="K492" i="2"/>
  <c r="V492" i="2" s="1"/>
  <c r="J492" i="2"/>
  <c r="H492" i="2"/>
  <c r="E492" i="2"/>
  <c r="D492" i="2"/>
  <c r="B492" i="2"/>
  <c r="A492" i="2"/>
  <c r="V490" i="2"/>
  <c r="U490" i="2"/>
  <c r="T490" i="2"/>
  <c r="S490" i="2"/>
  <c r="P490" i="2"/>
  <c r="O490" i="2"/>
  <c r="K490" i="2"/>
  <c r="H490" i="2"/>
  <c r="E490" i="2"/>
  <c r="D490" i="2"/>
  <c r="B490" i="2"/>
  <c r="A490" i="2"/>
  <c r="V489" i="2"/>
  <c r="U489" i="2"/>
  <c r="T489" i="2"/>
  <c r="S489" i="2"/>
  <c r="P489" i="2"/>
  <c r="O489" i="2"/>
  <c r="K489" i="2"/>
  <c r="J489" i="2"/>
  <c r="H489" i="2"/>
  <c r="E489" i="2"/>
  <c r="D489" i="2"/>
  <c r="B489" i="2"/>
  <c r="A489" i="2"/>
  <c r="S488" i="2"/>
  <c r="P488" i="2"/>
  <c r="O488" i="2"/>
  <c r="J488" i="2"/>
  <c r="K488" i="2" s="1"/>
  <c r="H488" i="2"/>
  <c r="D488" i="2"/>
  <c r="B488" i="2"/>
  <c r="A488" i="2"/>
  <c r="S487" i="2"/>
  <c r="P487" i="2"/>
  <c r="O487" i="2"/>
  <c r="J487" i="2"/>
  <c r="K487" i="2" s="1"/>
  <c r="H487" i="2"/>
  <c r="T487" i="2" s="1"/>
  <c r="E487" i="2"/>
  <c r="D487" i="2"/>
  <c r="B487" i="2"/>
  <c r="A487" i="2"/>
  <c r="V486" i="2"/>
  <c r="U486" i="2"/>
  <c r="S486" i="2"/>
  <c r="P486" i="2"/>
  <c r="O486" i="2"/>
  <c r="K486" i="2"/>
  <c r="H486" i="2"/>
  <c r="T486" i="2" s="1"/>
  <c r="D486" i="2"/>
  <c r="B486" i="2"/>
  <c r="A486" i="2"/>
  <c r="S484" i="2"/>
  <c r="P484" i="2"/>
  <c r="O484" i="2"/>
  <c r="J484" i="2"/>
  <c r="K484" i="2" s="1"/>
  <c r="H484" i="2"/>
  <c r="T484" i="2" s="1"/>
  <c r="D484" i="2"/>
  <c r="B484" i="2"/>
  <c r="A484" i="2"/>
  <c r="S483" i="2"/>
  <c r="P483" i="2"/>
  <c r="O483" i="2"/>
  <c r="J483" i="2"/>
  <c r="K483" i="2" s="1"/>
  <c r="H483" i="2"/>
  <c r="E483" i="2"/>
  <c r="D483" i="2"/>
  <c r="B483" i="2"/>
  <c r="A483" i="2"/>
  <c r="U482" i="2"/>
  <c r="S482" i="2"/>
  <c r="P482" i="2"/>
  <c r="O482" i="2"/>
  <c r="K482" i="2"/>
  <c r="V482" i="2" s="1"/>
  <c r="J482" i="2"/>
  <c r="H482" i="2"/>
  <c r="E482" i="2"/>
  <c r="D482" i="2"/>
  <c r="B482" i="2"/>
  <c r="A482" i="2"/>
  <c r="S481" i="2"/>
  <c r="P481" i="2"/>
  <c r="O481" i="2"/>
  <c r="J481" i="2"/>
  <c r="K481" i="2" s="1"/>
  <c r="H481" i="2"/>
  <c r="E481" i="2"/>
  <c r="D481" i="2"/>
  <c r="B481" i="2"/>
  <c r="A481" i="2"/>
  <c r="S480" i="2"/>
  <c r="P480" i="2"/>
  <c r="O480" i="2"/>
  <c r="K480" i="2"/>
  <c r="V480" i="2" s="1"/>
  <c r="J480" i="2"/>
  <c r="H480" i="2"/>
  <c r="T480" i="2" s="1"/>
  <c r="E480" i="2"/>
  <c r="D480" i="2"/>
  <c r="B480" i="2"/>
  <c r="A480" i="2"/>
  <c r="U479" i="2"/>
  <c r="S479" i="2"/>
  <c r="P479" i="2"/>
  <c r="T479" i="2" s="1"/>
  <c r="O479" i="2"/>
  <c r="K479" i="2"/>
  <c r="V479" i="2" s="1"/>
  <c r="H479" i="2"/>
  <c r="E479" i="2"/>
  <c r="D479" i="2"/>
  <c r="B479" i="2"/>
  <c r="A479" i="2"/>
  <c r="V478" i="2"/>
  <c r="U478" i="2"/>
  <c r="S478" i="2"/>
  <c r="T478" i="2" s="1"/>
  <c r="P478" i="2"/>
  <c r="O478" i="2"/>
  <c r="K478" i="2"/>
  <c r="J478" i="2"/>
  <c r="H478" i="2"/>
  <c r="D478" i="2"/>
  <c r="B478" i="2"/>
  <c r="A478" i="2"/>
  <c r="U477" i="2"/>
  <c r="S477" i="2"/>
  <c r="P477" i="2"/>
  <c r="O477" i="2"/>
  <c r="J477" i="2"/>
  <c r="K477" i="2" s="1"/>
  <c r="H477" i="2"/>
  <c r="E477" i="2"/>
  <c r="D477" i="2"/>
  <c r="B477" i="2"/>
  <c r="A477" i="2"/>
  <c r="V475" i="2"/>
  <c r="T475" i="2"/>
  <c r="S475" i="2"/>
  <c r="P475" i="2"/>
  <c r="O475" i="2"/>
  <c r="K475" i="2"/>
  <c r="U475" i="2" s="1"/>
  <c r="J475" i="2"/>
  <c r="H475" i="2"/>
  <c r="E475" i="2"/>
  <c r="D475" i="2"/>
  <c r="B475" i="2"/>
  <c r="A475" i="2"/>
  <c r="S474" i="2"/>
  <c r="P474" i="2"/>
  <c r="O474" i="2"/>
  <c r="J474" i="2"/>
  <c r="K474" i="2" s="1"/>
  <c r="H474" i="2"/>
  <c r="D474" i="2"/>
  <c r="B474" i="2"/>
  <c r="A474" i="2"/>
  <c r="U473" i="2"/>
  <c r="S473" i="2"/>
  <c r="P473" i="2"/>
  <c r="O473" i="2"/>
  <c r="J473" i="2"/>
  <c r="K473" i="2" s="1"/>
  <c r="V473" i="2" s="1"/>
  <c r="H473" i="2"/>
  <c r="D473" i="2"/>
  <c r="B473" i="2"/>
  <c r="A473" i="2"/>
  <c r="S471" i="2"/>
  <c r="P471" i="2"/>
  <c r="O471" i="2"/>
  <c r="K471" i="2"/>
  <c r="J471" i="2"/>
  <c r="H471" i="2"/>
  <c r="T471" i="2" s="1"/>
  <c r="D471" i="2"/>
  <c r="B471" i="2"/>
  <c r="A471" i="2"/>
  <c r="S470" i="2"/>
  <c r="P470" i="2"/>
  <c r="O470" i="2"/>
  <c r="K470" i="2"/>
  <c r="J470" i="2"/>
  <c r="H470" i="2"/>
  <c r="E470" i="2"/>
  <c r="D470" i="2"/>
  <c r="B470" i="2"/>
  <c r="A470" i="2"/>
  <c r="S469" i="2"/>
  <c r="P469" i="2"/>
  <c r="O469" i="2"/>
  <c r="J469" i="2"/>
  <c r="K469" i="2" s="1"/>
  <c r="V469" i="2" s="1"/>
  <c r="H469" i="2"/>
  <c r="E469" i="2"/>
  <c r="D469" i="2"/>
  <c r="B469" i="2"/>
  <c r="A469" i="2"/>
  <c r="S468" i="2"/>
  <c r="P468" i="2"/>
  <c r="O468" i="2"/>
  <c r="J468" i="2"/>
  <c r="K468" i="2" s="1"/>
  <c r="H468" i="2"/>
  <c r="E468" i="2"/>
  <c r="D468" i="2"/>
  <c r="B468" i="2"/>
  <c r="A468" i="2"/>
  <c r="U466" i="2"/>
  <c r="S466" i="2"/>
  <c r="P466" i="2"/>
  <c r="O466" i="2"/>
  <c r="K466" i="2"/>
  <c r="V466" i="2" s="1"/>
  <c r="J466" i="2"/>
  <c r="H466" i="2"/>
  <c r="E466" i="2"/>
  <c r="D466" i="2"/>
  <c r="B466" i="2"/>
  <c r="A466" i="2"/>
  <c r="U465" i="2"/>
  <c r="S465" i="2"/>
  <c r="P465" i="2"/>
  <c r="T465" i="2" s="1"/>
  <c r="O465" i="2"/>
  <c r="K465" i="2"/>
  <c r="V465" i="2" s="1"/>
  <c r="J465" i="2"/>
  <c r="H465" i="2"/>
  <c r="E465" i="2"/>
  <c r="D465" i="2"/>
  <c r="B465" i="2"/>
  <c r="A465" i="2"/>
  <c r="V464" i="2"/>
  <c r="U464" i="2"/>
  <c r="S464" i="2"/>
  <c r="P464" i="2"/>
  <c r="T464" i="2" s="1"/>
  <c r="O464" i="2"/>
  <c r="K464" i="2"/>
  <c r="J464" i="2"/>
  <c r="H464" i="2"/>
  <c r="E464" i="2"/>
  <c r="D464" i="2"/>
  <c r="B464" i="2"/>
  <c r="A464" i="2"/>
  <c r="S463" i="2"/>
  <c r="P463" i="2"/>
  <c r="O463" i="2"/>
  <c r="J463" i="2"/>
  <c r="K463" i="2" s="1"/>
  <c r="H463" i="2"/>
  <c r="E463" i="2"/>
  <c r="D463" i="2"/>
  <c r="B463" i="2"/>
  <c r="A463" i="2"/>
  <c r="V462" i="2"/>
  <c r="U462" i="2"/>
  <c r="S462" i="2"/>
  <c r="P462" i="2"/>
  <c r="O462" i="2"/>
  <c r="J462" i="2"/>
  <c r="K462" i="2" s="1"/>
  <c r="H462" i="2"/>
  <c r="T462" i="2" s="1"/>
  <c r="D462" i="2"/>
  <c r="B462" i="2"/>
  <c r="A462" i="2"/>
  <c r="U461" i="2"/>
  <c r="S461" i="2"/>
  <c r="P461" i="2"/>
  <c r="O461" i="2"/>
  <c r="J461" i="2"/>
  <c r="K461" i="2" s="1"/>
  <c r="V461" i="2" s="1"/>
  <c r="H461" i="2"/>
  <c r="T461" i="2" s="1"/>
  <c r="E461" i="2"/>
  <c r="D461" i="2"/>
  <c r="B461" i="2"/>
  <c r="A461" i="2"/>
  <c r="S459" i="2"/>
  <c r="P459" i="2"/>
  <c r="O459" i="2"/>
  <c r="J459" i="2"/>
  <c r="K459" i="2" s="1"/>
  <c r="H459" i="2"/>
  <c r="D459" i="2"/>
  <c r="B459" i="2"/>
  <c r="A459" i="2"/>
  <c r="S458" i="2"/>
  <c r="P458" i="2"/>
  <c r="O458" i="2"/>
  <c r="J458" i="2"/>
  <c r="K458" i="2" s="1"/>
  <c r="H458" i="2"/>
  <c r="E458" i="2"/>
  <c r="D458" i="2"/>
  <c r="B458" i="2"/>
  <c r="A458" i="2"/>
  <c r="U457" i="2"/>
  <c r="S457" i="2"/>
  <c r="P457" i="2"/>
  <c r="O457" i="2"/>
  <c r="K457" i="2"/>
  <c r="V457" i="2" s="1"/>
  <c r="J457" i="2"/>
  <c r="H457" i="2"/>
  <c r="T457" i="2" s="1"/>
  <c r="D457" i="2"/>
  <c r="B457" i="2"/>
  <c r="A457" i="2"/>
  <c r="S455" i="2"/>
  <c r="P455" i="2"/>
  <c r="O455" i="2"/>
  <c r="K455" i="2"/>
  <c r="V455" i="2" s="1"/>
  <c r="J455" i="2"/>
  <c r="H455" i="2"/>
  <c r="E455" i="2"/>
  <c r="D455" i="2"/>
  <c r="B455" i="2"/>
  <c r="A455" i="2"/>
  <c r="U454" i="2"/>
  <c r="S454" i="2"/>
  <c r="P454" i="2"/>
  <c r="T454" i="2" s="1"/>
  <c r="O454" i="2"/>
  <c r="K454" i="2"/>
  <c r="V454" i="2" s="1"/>
  <c r="J454" i="2"/>
  <c r="H454" i="2"/>
  <c r="E454" i="2"/>
  <c r="D454" i="2"/>
  <c r="B454" i="2"/>
  <c r="A454" i="2"/>
  <c r="V453" i="2"/>
  <c r="T453" i="2"/>
  <c r="S453" i="2"/>
  <c r="P453" i="2"/>
  <c r="O453" i="2"/>
  <c r="K453" i="2"/>
  <c r="U453" i="2" s="1"/>
  <c r="J453" i="2"/>
  <c r="H453" i="2"/>
  <c r="E453" i="2"/>
  <c r="D453" i="2"/>
  <c r="B453" i="2"/>
  <c r="A453" i="2"/>
  <c r="V452" i="2"/>
  <c r="U452" i="2"/>
  <c r="S452" i="2"/>
  <c r="T452" i="2" s="1"/>
  <c r="P452" i="2"/>
  <c r="O452" i="2"/>
  <c r="K452" i="2"/>
  <c r="J452" i="2"/>
  <c r="H452" i="2"/>
  <c r="E452" i="2"/>
  <c r="D452" i="2"/>
  <c r="B452" i="2"/>
  <c r="A452" i="2"/>
  <c r="S451" i="2"/>
  <c r="P451" i="2"/>
  <c r="O451" i="2"/>
  <c r="J451" i="2"/>
  <c r="K451" i="2" s="1"/>
  <c r="H451" i="2"/>
  <c r="D451" i="2"/>
  <c r="B451" i="2"/>
  <c r="A451" i="2"/>
  <c r="S449" i="2"/>
  <c r="P449" i="2"/>
  <c r="O449" i="2"/>
  <c r="J449" i="2"/>
  <c r="K449" i="2" s="1"/>
  <c r="H449" i="2"/>
  <c r="T449" i="2" s="1"/>
  <c r="D449" i="2"/>
  <c r="B449" i="2"/>
  <c r="A449" i="2"/>
  <c r="S448" i="2"/>
  <c r="P448" i="2"/>
  <c r="O448" i="2"/>
  <c r="J448" i="2"/>
  <c r="K448" i="2" s="1"/>
  <c r="H448" i="2"/>
  <c r="D448" i="2"/>
  <c r="B448" i="2"/>
  <c r="A448" i="2"/>
  <c r="S447" i="2"/>
  <c r="P447" i="2"/>
  <c r="O447" i="2"/>
  <c r="J447" i="2"/>
  <c r="K447" i="2" s="1"/>
  <c r="H447" i="2"/>
  <c r="E447" i="2"/>
  <c r="D447" i="2"/>
  <c r="B447" i="2"/>
  <c r="A447" i="2"/>
  <c r="S446" i="2"/>
  <c r="P446" i="2"/>
  <c r="O446" i="2"/>
  <c r="K446" i="2"/>
  <c r="J446" i="2"/>
  <c r="H446" i="2"/>
  <c r="E446" i="2"/>
  <c r="D446" i="2"/>
  <c r="B446" i="2"/>
  <c r="A446" i="2"/>
  <c r="S445" i="2"/>
  <c r="P445" i="2"/>
  <c r="O445" i="2"/>
  <c r="K445" i="2"/>
  <c r="V445" i="2" s="1"/>
  <c r="H445" i="2"/>
  <c r="T445" i="2" s="1"/>
  <c r="E445" i="2"/>
  <c r="D445" i="2"/>
  <c r="B445" i="2"/>
  <c r="A445" i="2"/>
  <c r="U444" i="2"/>
  <c r="S444" i="2"/>
  <c r="P444" i="2"/>
  <c r="O444" i="2"/>
  <c r="K444" i="2"/>
  <c r="V444" i="2" s="1"/>
  <c r="J444" i="2"/>
  <c r="H444" i="2"/>
  <c r="T444" i="2" s="1"/>
  <c r="E444" i="2"/>
  <c r="D444" i="2"/>
  <c r="B444" i="2"/>
  <c r="A444" i="2"/>
  <c r="T443" i="2"/>
  <c r="S443" i="2"/>
  <c r="P443" i="2"/>
  <c r="O443" i="2"/>
  <c r="J443" i="2"/>
  <c r="K443" i="2" s="1"/>
  <c r="H443" i="2"/>
  <c r="E443" i="2"/>
  <c r="D443" i="2"/>
  <c r="B443" i="2"/>
  <c r="A443" i="2"/>
  <c r="V442" i="2"/>
  <c r="U442" i="2"/>
  <c r="T442" i="2"/>
  <c r="S442" i="2"/>
  <c r="P442" i="2"/>
  <c r="O442" i="2"/>
  <c r="K442" i="2"/>
  <c r="J442" i="2"/>
  <c r="H442" i="2"/>
  <c r="E442" i="2"/>
  <c r="D442" i="2"/>
  <c r="B442" i="2"/>
  <c r="A442" i="2"/>
  <c r="V441" i="2"/>
  <c r="U441" i="2"/>
  <c r="S441" i="2"/>
  <c r="T441" i="2" s="1"/>
  <c r="P441" i="2"/>
  <c r="O441" i="2"/>
  <c r="K441" i="2"/>
  <c r="J441" i="2"/>
  <c r="H441" i="2"/>
  <c r="D441" i="2"/>
  <c r="B441" i="2"/>
  <c r="A441" i="2"/>
  <c r="U439" i="2"/>
  <c r="S439" i="2"/>
  <c r="T439" i="2" s="1"/>
  <c r="P439" i="2"/>
  <c r="O439" i="2"/>
  <c r="K439" i="2"/>
  <c r="V439" i="2" s="1"/>
  <c r="J439" i="2"/>
  <c r="H439" i="2"/>
  <c r="E439" i="2"/>
  <c r="D439" i="2"/>
  <c r="B439" i="2"/>
  <c r="A439" i="2"/>
  <c r="U438" i="2"/>
  <c r="S438" i="2"/>
  <c r="P438" i="2"/>
  <c r="O438" i="2"/>
  <c r="J438" i="2"/>
  <c r="K438" i="2" s="1"/>
  <c r="V438" i="2" s="1"/>
  <c r="H438" i="2"/>
  <c r="T438" i="2" s="1"/>
  <c r="D438" i="2"/>
  <c r="B438" i="2"/>
  <c r="A438" i="2"/>
  <c r="V437" i="2"/>
  <c r="U437" i="2"/>
  <c r="S437" i="2"/>
  <c r="P437" i="2"/>
  <c r="O437" i="2"/>
  <c r="K437" i="2"/>
  <c r="H437" i="2"/>
  <c r="T437" i="2" s="1"/>
  <c r="E437" i="2"/>
  <c r="D437" i="2"/>
  <c r="B437" i="2"/>
  <c r="A437" i="2"/>
  <c r="S436" i="2"/>
  <c r="P436" i="2"/>
  <c r="O436" i="2"/>
  <c r="K436" i="2"/>
  <c r="J436" i="2"/>
  <c r="H436" i="2"/>
  <c r="E436" i="2"/>
  <c r="D436" i="2"/>
  <c r="B436" i="2"/>
  <c r="A436" i="2"/>
  <c r="U435" i="2"/>
  <c r="S435" i="2"/>
  <c r="P435" i="2"/>
  <c r="O435" i="2"/>
  <c r="J435" i="2"/>
  <c r="K435" i="2" s="1"/>
  <c r="V435" i="2" s="1"/>
  <c r="H435" i="2"/>
  <c r="T435" i="2" s="1"/>
  <c r="E435" i="2"/>
  <c r="D435" i="2"/>
  <c r="B435" i="2"/>
  <c r="A435" i="2"/>
  <c r="S434" i="2"/>
  <c r="P434" i="2"/>
  <c r="O434" i="2"/>
  <c r="J434" i="2"/>
  <c r="K434" i="2" s="1"/>
  <c r="H434" i="2"/>
  <c r="E434" i="2"/>
  <c r="D434" i="2"/>
  <c r="B434" i="2"/>
  <c r="A434" i="2"/>
  <c r="U433" i="2"/>
  <c r="S433" i="2"/>
  <c r="P433" i="2"/>
  <c r="O433" i="2"/>
  <c r="J433" i="2"/>
  <c r="K433" i="2" s="1"/>
  <c r="V433" i="2" s="1"/>
  <c r="H433" i="2"/>
  <c r="E433" i="2"/>
  <c r="D433" i="2"/>
  <c r="B433" i="2"/>
  <c r="A433" i="2"/>
  <c r="U432" i="2"/>
  <c r="S432" i="2"/>
  <c r="P432" i="2"/>
  <c r="T432" i="2" s="1"/>
  <c r="O432" i="2"/>
  <c r="K432" i="2"/>
  <c r="V432" i="2" s="1"/>
  <c r="J432" i="2"/>
  <c r="H432" i="2"/>
  <c r="E432" i="2"/>
  <c r="D432" i="2"/>
  <c r="B432" i="2"/>
  <c r="A432" i="2"/>
  <c r="V431" i="2"/>
  <c r="U431" i="2"/>
  <c r="S431" i="2"/>
  <c r="P431" i="2"/>
  <c r="T431" i="2" s="1"/>
  <c r="O431" i="2"/>
  <c r="K431" i="2"/>
  <c r="J431" i="2"/>
  <c r="H431" i="2"/>
  <c r="D431" i="2"/>
  <c r="B431" i="2"/>
  <c r="A431" i="2"/>
  <c r="V429" i="2"/>
  <c r="U429" i="2"/>
  <c r="S429" i="2"/>
  <c r="T429" i="2" s="1"/>
  <c r="P429" i="2"/>
  <c r="O429" i="2"/>
  <c r="K429" i="2"/>
  <c r="J429" i="2"/>
  <c r="H429" i="2"/>
  <c r="E429" i="2"/>
  <c r="D429" i="2"/>
  <c r="B429" i="2"/>
  <c r="A429" i="2"/>
  <c r="V428" i="2"/>
  <c r="U428" i="2"/>
  <c r="T428" i="2"/>
  <c r="S428" i="2"/>
  <c r="P428" i="2"/>
  <c r="O428" i="2"/>
  <c r="K428" i="2"/>
  <c r="J428" i="2"/>
  <c r="H428" i="2"/>
  <c r="D428" i="2"/>
  <c r="B428" i="2"/>
  <c r="A428" i="2"/>
  <c r="V427" i="2"/>
  <c r="U427" i="2"/>
  <c r="T427" i="2"/>
  <c r="S427" i="2"/>
  <c r="P427" i="2"/>
  <c r="O427" i="2"/>
  <c r="J427" i="2"/>
  <c r="K427" i="2" s="1"/>
  <c r="H427" i="2"/>
  <c r="E427" i="2"/>
  <c r="D427" i="2"/>
  <c r="B427" i="2"/>
  <c r="A427" i="2"/>
  <c r="U426" i="2"/>
  <c r="S426" i="2"/>
  <c r="P426" i="2"/>
  <c r="O426" i="2"/>
  <c r="J426" i="2"/>
  <c r="K426" i="2" s="1"/>
  <c r="V426" i="2" s="1"/>
  <c r="H426" i="2"/>
  <c r="E426" i="2"/>
  <c r="D426" i="2"/>
  <c r="B426" i="2"/>
  <c r="A426" i="2"/>
  <c r="U425" i="2"/>
  <c r="S425" i="2"/>
  <c r="P425" i="2"/>
  <c r="O425" i="2"/>
  <c r="K425" i="2"/>
  <c r="V425" i="2" s="1"/>
  <c r="J425" i="2"/>
  <c r="H425" i="2"/>
  <c r="E425" i="2"/>
  <c r="D425" i="2"/>
  <c r="B425" i="2"/>
  <c r="A425" i="2"/>
  <c r="U423" i="2"/>
  <c r="S423" i="2"/>
  <c r="P423" i="2"/>
  <c r="O423" i="2"/>
  <c r="K423" i="2"/>
  <c r="V423" i="2" s="1"/>
  <c r="H423" i="2"/>
  <c r="T423" i="2" s="1"/>
  <c r="E423" i="2"/>
  <c r="D423" i="2"/>
  <c r="B423" i="2"/>
  <c r="A423" i="2"/>
  <c r="S422" i="2"/>
  <c r="P422" i="2"/>
  <c r="O422" i="2"/>
  <c r="K422" i="2"/>
  <c r="V422" i="2" s="1"/>
  <c r="H422" i="2"/>
  <c r="T422" i="2" s="1"/>
  <c r="E422" i="2"/>
  <c r="D422" i="2"/>
  <c r="B422" i="2"/>
  <c r="A422" i="2"/>
  <c r="U421" i="2"/>
  <c r="S421" i="2"/>
  <c r="P421" i="2"/>
  <c r="O421" i="2"/>
  <c r="K421" i="2"/>
  <c r="V421" i="2" s="1"/>
  <c r="H421" i="2"/>
  <c r="E421" i="2"/>
  <c r="D421" i="2"/>
  <c r="B421" i="2"/>
  <c r="A421" i="2"/>
  <c r="U420" i="2"/>
  <c r="T420" i="2"/>
  <c r="S420" i="2"/>
  <c r="P420" i="2"/>
  <c r="O420" i="2"/>
  <c r="K420" i="2"/>
  <c r="V420" i="2" s="1"/>
  <c r="H420" i="2"/>
  <c r="E420" i="2"/>
  <c r="D420" i="2"/>
  <c r="B420" i="2"/>
  <c r="A420" i="2"/>
  <c r="U418" i="2"/>
  <c r="S418" i="2"/>
  <c r="P418" i="2"/>
  <c r="T418" i="2" s="1"/>
  <c r="O418" i="2"/>
  <c r="K418" i="2"/>
  <c r="V418" i="2" s="1"/>
  <c r="J418" i="2"/>
  <c r="H418" i="2"/>
  <c r="D418" i="2"/>
  <c r="B418" i="2"/>
  <c r="A418" i="2"/>
  <c r="V417" i="2"/>
  <c r="U417" i="2"/>
  <c r="T417" i="2"/>
  <c r="S417" i="2"/>
  <c r="P417" i="2"/>
  <c r="O417" i="2"/>
  <c r="K417" i="2"/>
  <c r="J417" i="2"/>
  <c r="H417" i="2"/>
  <c r="E417" i="2"/>
  <c r="D417" i="2"/>
  <c r="B417" i="2"/>
  <c r="A417" i="2"/>
  <c r="V416" i="2"/>
  <c r="U416" i="2"/>
  <c r="S416" i="2"/>
  <c r="T416" i="2" s="1"/>
  <c r="P416" i="2"/>
  <c r="O416" i="2"/>
  <c r="K416" i="2"/>
  <c r="J416" i="2"/>
  <c r="H416" i="2"/>
  <c r="E416" i="2"/>
  <c r="D416" i="2"/>
  <c r="B416" i="2"/>
  <c r="A416" i="2"/>
  <c r="V415" i="2"/>
  <c r="U415" i="2"/>
  <c r="T415" i="2"/>
  <c r="S415" i="2"/>
  <c r="P415" i="2"/>
  <c r="O415" i="2"/>
  <c r="K415" i="2"/>
  <c r="H415" i="2"/>
  <c r="E415" i="2"/>
  <c r="D415" i="2"/>
  <c r="B415" i="2"/>
  <c r="A415" i="2"/>
  <c r="S413" i="2"/>
  <c r="P413" i="2"/>
  <c r="O413" i="2"/>
  <c r="J413" i="2"/>
  <c r="K413" i="2" s="1"/>
  <c r="H413" i="2"/>
  <c r="D413" i="2"/>
  <c r="B413" i="2"/>
  <c r="A413" i="2"/>
  <c r="S412" i="2"/>
  <c r="P412" i="2"/>
  <c r="O412" i="2"/>
  <c r="J412" i="2"/>
  <c r="K412" i="2" s="1"/>
  <c r="H412" i="2"/>
  <c r="T412" i="2" s="1"/>
  <c r="E412" i="2"/>
  <c r="D412" i="2"/>
  <c r="B412" i="2"/>
  <c r="A412" i="2"/>
  <c r="U411" i="2"/>
  <c r="S411" i="2"/>
  <c r="P411" i="2"/>
  <c r="O411" i="2"/>
  <c r="K411" i="2"/>
  <c r="V411" i="2" s="1"/>
  <c r="J411" i="2"/>
  <c r="H411" i="2"/>
  <c r="T411" i="2" s="1"/>
  <c r="E411" i="2"/>
  <c r="D411" i="2"/>
  <c r="B411" i="2"/>
  <c r="A411" i="2"/>
  <c r="S410" i="2"/>
  <c r="P410" i="2"/>
  <c r="O410" i="2"/>
  <c r="K410" i="2"/>
  <c r="V410" i="2" s="1"/>
  <c r="J410" i="2"/>
  <c r="H410" i="2"/>
  <c r="D410" i="2"/>
  <c r="B410" i="2"/>
  <c r="A410" i="2"/>
  <c r="S409" i="2"/>
  <c r="P409" i="2"/>
  <c r="T409" i="2" s="1"/>
  <c r="O409" i="2"/>
  <c r="K409" i="2"/>
  <c r="V409" i="2" s="1"/>
  <c r="J409" i="2"/>
  <c r="H409" i="2"/>
  <c r="E409" i="2"/>
  <c r="D409" i="2"/>
  <c r="B409" i="2"/>
  <c r="A409" i="2"/>
  <c r="T408" i="2"/>
  <c r="S408" i="2"/>
  <c r="P408" i="2"/>
  <c r="O408" i="2"/>
  <c r="J408" i="2"/>
  <c r="K408" i="2" s="1"/>
  <c r="V408" i="2" s="1"/>
  <c r="H408" i="2"/>
  <c r="E408" i="2"/>
  <c r="D408" i="2"/>
  <c r="B408" i="2"/>
  <c r="A408" i="2"/>
  <c r="U407" i="2"/>
  <c r="S407" i="2"/>
  <c r="T407" i="2" s="1"/>
  <c r="P407" i="2"/>
  <c r="O407" i="2"/>
  <c r="K407" i="2"/>
  <c r="V407" i="2" s="1"/>
  <c r="J407" i="2"/>
  <c r="H407" i="2"/>
  <c r="E407" i="2"/>
  <c r="D407" i="2"/>
  <c r="B407" i="2"/>
  <c r="A407" i="2"/>
  <c r="V406" i="2"/>
  <c r="U406" i="2"/>
  <c r="S406" i="2"/>
  <c r="P406" i="2"/>
  <c r="O406" i="2"/>
  <c r="K406" i="2"/>
  <c r="J406" i="2"/>
  <c r="H406" i="2"/>
  <c r="E406" i="2"/>
  <c r="D406" i="2"/>
  <c r="B406" i="2"/>
  <c r="A406" i="2"/>
  <c r="U405" i="2"/>
  <c r="T405" i="2"/>
  <c r="S405" i="2"/>
  <c r="P405" i="2"/>
  <c r="O405" i="2"/>
  <c r="K405" i="2"/>
  <c r="V405" i="2" s="1"/>
  <c r="J405" i="2"/>
  <c r="H405" i="2"/>
  <c r="D405" i="2"/>
  <c r="B405" i="2"/>
  <c r="A405" i="2"/>
  <c r="V404" i="2"/>
  <c r="U404" i="2"/>
  <c r="S404" i="2"/>
  <c r="T404" i="2" s="1"/>
  <c r="P404" i="2"/>
  <c r="O404" i="2"/>
  <c r="K404" i="2"/>
  <c r="J404" i="2"/>
  <c r="H404" i="2"/>
  <c r="E404" i="2"/>
  <c r="D404" i="2"/>
  <c r="B404" i="2"/>
  <c r="A404" i="2"/>
  <c r="U403" i="2"/>
  <c r="S403" i="2"/>
  <c r="P403" i="2"/>
  <c r="O403" i="2"/>
  <c r="J403" i="2"/>
  <c r="K403" i="2" s="1"/>
  <c r="V403" i="2" s="1"/>
  <c r="H403" i="2"/>
  <c r="T403" i="2" s="1"/>
  <c r="E403" i="2"/>
  <c r="D403" i="2"/>
  <c r="B403" i="2"/>
  <c r="A403" i="2"/>
  <c r="V401" i="2"/>
  <c r="U401" i="2"/>
  <c r="S401" i="2"/>
  <c r="P401" i="2"/>
  <c r="O401" i="2"/>
  <c r="K401" i="2"/>
  <c r="J401" i="2"/>
  <c r="H401" i="2"/>
  <c r="T401" i="2" s="1"/>
  <c r="E401" i="2"/>
  <c r="D401" i="2"/>
  <c r="B401" i="2"/>
  <c r="A401" i="2"/>
  <c r="S400" i="2"/>
  <c r="P400" i="2"/>
  <c r="O400" i="2"/>
  <c r="J400" i="2"/>
  <c r="K400" i="2" s="1"/>
  <c r="H400" i="2"/>
  <c r="T400" i="2" s="1"/>
  <c r="E400" i="2"/>
  <c r="D400" i="2"/>
  <c r="B400" i="2"/>
  <c r="A400" i="2"/>
  <c r="U399" i="2"/>
  <c r="S399" i="2"/>
  <c r="P399" i="2"/>
  <c r="O399" i="2"/>
  <c r="K399" i="2"/>
  <c r="V399" i="2" s="1"/>
  <c r="H399" i="2"/>
  <c r="T399" i="2" s="1"/>
  <c r="E399" i="2"/>
  <c r="D399" i="2"/>
  <c r="B399" i="2"/>
  <c r="A399" i="2"/>
  <c r="S398" i="2"/>
  <c r="P398" i="2"/>
  <c r="O398" i="2"/>
  <c r="K398" i="2"/>
  <c r="V398" i="2" s="1"/>
  <c r="J398" i="2"/>
  <c r="H398" i="2"/>
  <c r="E398" i="2"/>
  <c r="D398" i="2"/>
  <c r="B398" i="2"/>
  <c r="A398" i="2"/>
  <c r="U397" i="2"/>
  <c r="T397" i="2"/>
  <c r="S397" i="2"/>
  <c r="P397" i="2"/>
  <c r="O397" i="2"/>
  <c r="J397" i="2"/>
  <c r="K397" i="2" s="1"/>
  <c r="V397" i="2" s="1"/>
  <c r="H397" i="2"/>
  <c r="E397" i="2"/>
  <c r="D397" i="2"/>
  <c r="B397" i="2"/>
  <c r="A397" i="2"/>
  <c r="V396" i="2"/>
  <c r="U396" i="2"/>
  <c r="T396" i="2"/>
  <c r="S396" i="2"/>
  <c r="P396" i="2"/>
  <c r="O396" i="2"/>
  <c r="K396" i="2"/>
  <c r="J396" i="2"/>
  <c r="H396" i="2"/>
  <c r="E396" i="2"/>
  <c r="D396" i="2"/>
  <c r="B396" i="2"/>
  <c r="A396" i="2"/>
  <c r="V395" i="2"/>
  <c r="U395" i="2"/>
  <c r="S395" i="2"/>
  <c r="T395" i="2" s="1"/>
  <c r="P395" i="2"/>
  <c r="O395" i="2"/>
  <c r="K395" i="2"/>
  <c r="J395" i="2"/>
  <c r="H395" i="2"/>
  <c r="E395" i="2"/>
  <c r="D395" i="2"/>
  <c r="B395" i="2"/>
  <c r="A395" i="2"/>
  <c r="V393" i="2"/>
  <c r="U393" i="2"/>
  <c r="T393" i="2"/>
  <c r="S393" i="2"/>
  <c r="P393" i="2"/>
  <c r="O393" i="2"/>
  <c r="J393" i="2"/>
  <c r="K393" i="2" s="1"/>
  <c r="H393" i="2"/>
  <c r="E393" i="2"/>
  <c r="D393" i="2"/>
  <c r="B393" i="2"/>
  <c r="A393" i="2"/>
  <c r="S392" i="2"/>
  <c r="P392" i="2"/>
  <c r="O392" i="2"/>
  <c r="J392" i="2"/>
  <c r="K392" i="2" s="1"/>
  <c r="H392" i="2"/>
  <c r="E392" i="2"/>
  <c r="D392" i="2"/>
  <c r="B392" i="2"/>
  <c r="A392" i="2"/>
  <c r="S390" i="2"/>
  <c r="P390" i="2"/>
  <c r="O390" i="2"/>
  <c r="K390" i="2"/>
  <c r="J390" i="2"/>
  <c r="H390" i="2"/>
  <c r="E390" i="2"/>
  <c r="D390" i="2"/>
  <c r="B390" i="2"/>
  <c r="A390" i="2"/>
  <c r="S389" i="2"/>
  <c r="P389" i="2"/>
  <c r="O389" i="2"/>
  <c r="J389" i="2"/>
  <c r="K389" i="2" s="1"/>
  <c r="H389" i="2"/>
  <c r="D389" i="2"/>
  <c r="B389" i="2"/>
  <c r="A389" i="2"/>
  <c r="S388" i="2"/>
  <c r="P388" i="2"/>
  <c r="O388" i="2"/>
  <c r="K388" i="2"/>
  <c r="V388" i="2" s="1"/>
  <c r="J388" i="2"/>
  <c r="H388" i="2"/>
  <c r="E388" i="2"/>
  <c r="D388" i="2"/>
  <c r="B388" i="2"/>
  <c r="A388" i="2"/>
  <c r="T386" i="2"/>
  <c r="S386" i="2"/>
  <c r="P386" i="2"/>
  <c r="O386" i="2"/>
  <c r="K386" i="2"/>
  <c r="V386" i="2" s="1"/>
  <c r="H386" i="2"/>
  <c r="D386" i="2"/>
  <c r="B386" i="2"/>
  <c r="A386" i="2"/>
  <c r="T384" i="2"/>
  <c r="S384" i="2"/>
  <c r="P384" i="2"/>
  <c r="O384" i="2"/>
  <c r="K384" i="2"/>
  <c r="V384" i="2" s="1"/>
  <c r="H384" i="2"/>
  <c r="E384" i="2"/>
  <c r="D384" i="2"/>
  <c r="B384" i="2"/>
  <c r="A384" i="2"/>
  <c r="U383" i="2"/>
  <c r="S383" i="2"/>
  <c r="P383" i="2"/>
  <c r="T383" i="2" s="1"/>
  <c r="O383" i="2"/>
  <c r="K383" i="2"/>
  <c r="V383" i="2" s="1"/>
  <c r="J383" i="2"/>
  <c r="H383" i="2"/>
  <c r="D383" i="2"/>
  <c r="B383" i="2"/>
  <c r="A383" i="2"/>
  <c r="V381" i="2"/>
  <c r="U381" i="2"/>
  <c r="T381" i="2"/>
  <c r="S381" i="2"/>
  <c r="P381" i="2"/>
  <c r="O381" i="2"/>
  <c r="K381" i="2"/>
  <c r="J381" i="2"/>
  <c r="H381" i="2"/>
  <c r="E381" i="2"/>
  <c r="D381" i="2"/>
  <c r="B381" i="2"/>
  <c r="A381" i="2"/>
  <c r="V379" i="2"/>
  <c r="U379" i="2"/>
  <c r="T379" i="2"/>
  <c r="S379" i="2"/>
  <c r="P379" i="2"/>
  <c r="O379" i="2"/>
  <c r="K379" i="2"/>
  <c r="H379" i="2"/>
  <c r="D379" i="2"/>
  <c r="B379" i="2"/>
  <c r="A379" i="2"/>
  <c r="V377" i="2"/>
  <c r="U377" i="2"/>
  <c r="T377" i="2"/>
  <c r="S377" i="2"/>
  <c r="P377" i="2"/>
  <c r="O377" i="2"/>
  <c r="K377" i="2"/>
  <c r="H377" i="2"/>
  <c r="D377" i="2"/>
  <c r="B377" i="2"/>
  <c r="A377" i="2"/>
  <c r="V375" i="2"/>
  <c r="U375" i="2"/>
  <c r="T375" i="2"/>
  <c r="S375" i="2"/>
  <c r="P375" i="2"/>
  <c r="O375" i="2"/>
  <c r="K375" i="2"/>
  <c r="J375" i="2"/>
  <c r="H375" i="2"/>
  <c r="E375" i="2"/>
  <c r="D375" i="2"/>
  <c r="B375" i="2"/>
  <c r="A375" i="2"/>
  <c r="V374" i="2"/>
  <c r="U374" i="2"/>
  <c r="T374" i="2"/>
  <c r="S374" i="2"/>
  <c r="P374" i="2"/>
  <c r="O374" i="2"/>
  <c r="K374" i="2"/>
  <c r="H374" i="2"/>
  <c r="D374" i="2"/>
  <c r="B374" i="2"/>
  <c r="A374" i="2"/>
  <c r="U372" i="2"/>
  <c r="S372" i="2"/>
  <c r="P372" i="2"/>
  <c r="O372" i="2"/>
  <c r="J372" i="2"/>
  <c r="K372" i="2" s="1"/>
  <c r="V372" i="2" s="1"/>
  <c r="H372" i="2"/>
  <c r="D372" i="2"/>
  <c r="B372" i="2"/>
  <c r="A372" i="2"/>
  <c r="V370" i="2"/>
  <c r="U370" i="2"/>
  <c r="S370" i="2"/>
  <c r="P370" i="2"/>
  <c r="O370" i="2"/>
  <c r="K370" i="2"/>
  <c r="H370" i="2"/>
  <c r="T370" i="2" s="1"/>
  <c r="D370" i="2"/>
  <c r="B370" i="2"/>
  <c r="A370" i="2"/>
  <c r="S368" i="2"/>
  <c r="P368" i="2"/>
  <c r="O368" i="2"/>
  <c r="J368" i="2"/>
  <c r="K368" i="2" s="1"/>
  <c r="H368" i="2"/>
  <c r="E368" i="2"/>
  <c r="D368" i="2"/>
  <c r="B368" i="2"/>
  <c r="A368" i="2"/>
  <c r="U367" i="2"/>
  <c r="T367" i="2"/>
  <c r="S367" i="2"/>
  <c r="P367" i="2"/>
  <c r="O367" i="2"/>
  <c r="K367" i="2"/>
  <c r="V367" i="2" s="1"/>
  <c r="H367" i="2"/>
  <c r="E367" i="2"/>
  <c r="D367" i="2"/>
  <c r="B367" i="2"/>
  <c r="A367" i="2"/>
  <c r="S366" i="2"/>
  <c r="P366" i="2"/>
  <c r="O366" i="2"/>
  <c r="J366" i="2"/>
  <c r="K366" i="2" s="1"/>
  <c r="H366" i="2"/>
  <c r="E366" i="2"/>
  <c r="D366" i="2"/>
  <c r="B366" i="2"/>
  <c r="A366" i="2"/>
  <c r="S365" i="2"/>
  <c r="P365" i="2"/>
  <c r="O365" i="2"/>
  <c r="K365" i="2"/>
  <c r="V365" i="2" s="1"/>
  <c r="H365" i="2"/>
  <c r="T365" i="2" s="1"/>
  <c r="D365" i="2"/>
  <c r="B365" i="2"/>
  <c r="A365" i="2"/>
  <c r="U363" i="2"/>
  <c r="S363" i="2"/>
  <c r="P363" i="2"/>
  <c r="O363" i="2"/>
  <c r="K363" i="2"/>
  <c r="V363" i="2" s="1"/>
  <c r="H363" i="2"/>
  <c r="T363" i="2" s="1"/>
  <c r="E363" i="2"/>
  <c r="D363" i="2"/>
  <c r="B363" i="2"/>
  <c r="A363" i="2"/>
  <c r="S362" i="2"/>
  <c r="P362" i="2"/>
  <c r="O362" i="2"/>
  <c r="K362" i="2"/>
  <c r="V362" i="2" s="1"/>
  <c r="H362" i="2"/>
  <c r="D362" i="2"/>
  <c r="B362" i="2"/>
  <c r="A362" i="2"/>
  <c r="U360" i="2"/>
  <c r="S360" i="2"/>
  <c r="P360" i="2"/>
  <c r="O360" i="2"/>
  <c r="K360" i="2"/>
  <c r="V360" i="2" s="1"/>
  <c r="H360" i="2"/>
  <c r="T360" i="2" s="1"/>
  <c r="E360" i="2"/>
  <c r="D360" i="2"/>
  <c r="B360" i="2"/>
  <c r="A360" i="2"/>
  <c r="S358" i="2"/>
  <c r="P358" i="2"/>
  <c r="T358" i="2" s="1"/>
  <c r="O358" i="2"/>
  <c r="K358" i="2"/>
  <c r="V358" i="2" s="1"/>
  <c r="H358" i="2"/>
  <c r="E358" i="2"/>
  <c r="D358" i="2"/>
  <c r="B358" i="2"/>
  <c r="A358" i="2"/>
  <c r="S357" i="2"/>
  <c r="P357" i="2"/>
  <c r="O357" i="2"/>
  <c r="J357" i="2"/>
  <c r="K357" i="2" s="1"/>
  <c r="V357" i="2" s="1"/>
  <c r="H357" i="2"/>
  <c r="T357" i="2" s="1"/>
  <c r="D357" i="2"/>
  <c r="B357" i="2"/>
  <c r="A357" i="2"/>
  <c r="S356" i="2"/>
  <c r="P356" i="2"/>
  <c r="O356" i="2"/>
  <c r="K356" i="2"/>
  <c r="V356" i="2" s="1"/>
  <c r="J356" i="2"/>
  <c r="H356" i="2"/>
  <c r="E356" i="2"/>
  <c r="D356" i="2"/>
  <c r="B356" i="2"/>
  <c r="A356" i="2"/>
  <c r="T354" i="2"/>
  <c r="S354" i="2"/>
  <c r="P354" i="2"/>
  <c r="O354" i="2"/>
  <c r="K354" i="2"/>
  <c r="V354" i="2" s="1"/>
  <c r="H354" i="2"/>
  <c r="E354" i="2"/>
  <c r="D354" i="2"/>
  <c r="B354" i="2"/>
  <c r="A354" i="2"/>
  <c r="S353" i="2"/>
  <c r="P353" i="2"/>
  <c r="O353" i="2"/>
  <c r="J353" i="2"/>
  <c r="K353" i="2" s="1"/>
  <c r="V353" i="2" s="1"/>
  <c r="H353" i="2"/>
  <c r="E353" i="2"/>
  <c r="D353" i="2"/>
  <c r="B353" i="2"/>
  <c r="A353" i="2"/>
  <c r="U352" i="2"/>
  <c r="S352" i="2"/>
  <c r="T352" i="2" s="1"/>
  <c r="P352" i="2"/>
  <c r="O352" i="2"/>
  <c r="K352" i="2"/>
  <c r="V352" i="2" s="1"/>
  <c r="J352" i="2"/>
  <c r="H352" i="2"/>
  <c r="E352" i="2"/>
  <c r="D352" i="2"/>
  <c r="B352" i="2"/>
  <c r="A352" i="2"/>
  <c r="V350" i="2"/>
  <c r="U350" i="2"/>
  <c r="T350" i="2"/>
  <c r="S350" i="2"/>
  <c r="P350" i="2"/>
  <c r="O350" i="2"/>
  <c r="K350" i="2"/>
  <c r="J350" i="2"/>
  <c r="H350" i="2"/>
  <c r="E350" i="2"/>
  <c r="D350" i="2"/>
  <c r="B350" i="2"/>
  <c r="A350" i="2"/>
  <c r="S349" i="2"/>
  <c r="P349" i="2"/>
  <c r="O349" i="2"/>
  <c r="J349" i="2"/>
  <c r="K349" i="2" s="1"/>
  <c r="H349" i="2"/>
  <c r="D349" i="2"/>
  <c r="B349" i="2"/>
  <c r="A349" i="2"/>
  <c r="V348" i="2"/>
  <c r="U348" i="2"/>
  <c r="S348" i="2"/>
  <c r="P348" i="2"/>
  <c r="O348" i="2"/>
  <c r="K348" i="2"/>
  <c r="J348" i="2"/>
  <c r="H348" i="2"/>
  <c r="T348" i="2" s="1"/>
  <c r="D348" i="2"/>
  <c r="B348" i="2"/>
  <c r="A348" i="2"/>
  <c r="V347" i="2"/>
  <c r="U347" i="2"/>
  <c r="S347" i="2"/>
  <c r="P347" i="2"/>
  <c r="O347" i="2"/>
  <c r="J347" i="2"/>
  <c r="K347" i="2" s="1"/>
  <c r="H347" i="2"/>
  <c r="T347" i="2" s="1"/>
  <c r="E347" i="2"/>
  <c r="D347" i="2"/>
  <c r="B347" i="2"/>
  <c r="A347" i="2"/>
  <c r="U346" i="2"/>
  <c r="S346" i="2"/>
  <c r="P346" i="2"/>
  <c r="O346" i="2"/>
  <c r="K346" i="2"/>
  <c r="V346" i="2" s="1"/>
  <c r="J346" i="2"/>
  <c r="H346" i="2"/>
  <c r="E346" i="2"/>
  <c r="D346" i="2"/>
  <c r="B346" i="2"/>
  <c r="A346" i="2"/>
  <c r="S344" i="2"/>
  <c r="P344" i="2"/>
  <c r="O344" i="2"/>
  <c r="J344" i="2"/>
  <c r="K344" i="2" s="1"/>
  <c r="H344" i="2"/>
  <c r="E344" i="2"/>
  <c r="D344" i="2"/>
  <c r="B344" i="2"/>
  <c r="A344" i="2"/>
  <c r="U343" i="2"/>
  <c r="S343" i="2"/>
  <c r="P343" i="2"/>
  <c r="O343" i="2"/>
  <c r="K343" i="2"/>
  <c r="V343" i="2" s="1"/>
  <c r="H343" i="2"/>
  <c r="E343" i="2"/>
  <c r="D343" i="2"/>
  <c r="B343" i="2"/>
  <c r="A343" i="2"/>
  <c r="S342" i="2"/>
  <c r="P342" i="2"/>
  <c r="O342" i="2"/>
  <c r="K342" i="2"/>
  <c r="V342" i="2" s="1"/>
  <c r="J342" i="2"/>
  <c r="H342" i="2"/>
  <c r="T342" i="2" s="1"/>
  <c r="E342" i="2"/>
  <c r="D342" i="2"/>
  <c r="B342" i="2"/>
  <c r="A342" i="2"/>
  <c r="U341" i="2"/>
  <c r="S341" i="2"/>
  <c r="T341" i="2" s="1"/>
  <c r="P341" i="2"/>
  <c r="O341" i="2"/>
  <c r="K341" i="2"/>
  <c r="V341" i="2" s="1"/>
  <c r="J341" i="2"/>
  <c r="H341" i="2"/>
  <c r="E341" i="2"/>
  <c r="D341" i="2"/>
  <c r="B341" i="2"/>
  <c r="A341" i="2"/>
  <c r="V340" i="2"/>
  <c r="U340" i="2"/>
  <c r="T340" i="2"/>
  <c r="S340" i="2"/>
  <c r="P340" i="2"/>
  <c r="O340" i="2"/>
  <c r="K340" i="2"/>
  <c r="J340" i="2"/>
  <c r="H340" i="2"/>
  <c r="E340" i="2"/>
  <c r="D340" i="2"/>
  <c r="B340" i="2"/>
  <c r="A340" i="2"/>
  <c r="V339" i="2"/>
  <c r="U339" i="2"/>
  <c r="S339" i="2"/>
  <c r="T339" i="2" s="1"/>
  <c r="P339" i="2"/>
  <c r="O339" i="2"/>
  <c r="K339" i="2"/>
  <c r="J339" i="2"/>
  <c r="H339" i="2"/>
  <c r="E339" i="2"/>
  <c r="D339" i="2"/>
  <c r="B339" i="2"/>
  <c r="A339" i="2"/>
  <c r="S338" i="2"/>
  <c r="P338" i="2"/>
  <c r="O338" i="2"/>
  <c r="J338" i="2"/>
  <c r="K338" i="2" s="1"/>
  <c r="H338" i="2"/>
  <c r="E338" i="2"/>
  <c r="D338" i="2"/>
  <c r="B338" i="2"/>
  <c r="A338" i="2"/>
  <c r="S337" i="2"/>
  <c r="P337" i="2"/>
  <c r="O337" i="2"/>
  <c r="J337" i="2"/>
  <c r="K337" i="2" s="1"/>
  <c r="H337" i="2"/>
  <c r="D337" i="2"/>
  <c r="B337" i="2"/>
  <c r="A337" i="2"/>
  <c r="U336" i="2"/>
  <c r="S336" i="2"/>
  <c r="P336" i="2"/>
  <c r="O336" i="2"/>
  <c r="J336" i="2"/>
  <c r="K336" i="2" s="1"/>
  <c r="V336" i="2" s="1"/>
  <c r="H336" i="2"/>
  <c r="E336" i="2"/>
  <c r="D336" i="2"/>
  <c r="B336" i="2"/>
  <c r="A336" i="2"/>
  <c r="S334" i="2"/>
  <c r="P334" i="2"/>
  <c r="O334" i="2"/>
  <c r="J334" i="2"/>
  <c r="K334" i="2" s="1"/>
  <c r="H334" i="2"/>
  <c r="T334" i="2" s="1"/>
  <c r="E334" i="2"/>
  <c r="D334" i="2"/>
  <c r="B334" i="2"/>
  <c r="A334" i="2"/>
  <c r="S333" i="2"/>
  <c r="P333" i="2"/>
  <c r="O333" i="2"/>
  <c r="K333" i="2"/>
  <c r="V333" i="2" s="1"/>
  <c r="H333" i="2"/>
  <c r="T333" i="2" s="1"/>
  <c r="E333" i="2"/>
  <c r="D333" i="2"/>
  <c r="B333" i="2"/>
  <c r="A333" i="2"/>
  <c r="S332" i="2"/>
  <c r="P332" i="2"/>
  <c r="O332" i="2"/>
  <c r="K332" i="2"/>
  <c r="V332" i="2" s="1"/>
  <c r="J332" i="2"/>
  <c r="H332" i="2"/>
  <c r="E332" i="2"/>
  <c r="D332" i="2"/>
  <c r="B332" i="2"/>
  <c r="A332" i="2"/>
  <c r="U331" i="2"/>
  <c r="S331" i="2"/>
  <c r="P331" i="2"/>
  <c r="T331" i="2" s="1"/>
  <c r="O331" i="2"/>
  <c r="K331" i="2"/>
  <c r="V331" i="2" s="1"/>
  <c r="J331" i="2"/>
  <c r="H331" i="2"/>
  <c r="E331" i="2"/>
  <c r="D331" i="2"/>
  <c r="B331" i="2"/>
  <c r="A331" i="2"/>
  <c r="V330" i="2"/>
  <c r="U330" i="2"/>
  <c r="T330" i="2"/>
  <c r="S330" i="2"/>
  <c r="P330" i="2"/>
  <c r="O330" i="2"/>
  <c r="K330" i="2"/>
  <c r="J330" i="2"/>
  <c r="H330" i="2"/>
  <c r="D330" i="2"/>
  <c r="B330" i="2"/>
  <c r="A330" i="2"/>
  <c r="V329" i="2"/>
  <c r="U329" i="2"/>
  <c r="S329" i="2"/>
  <c r="P329" i="2"/>
  <c r="O329" i="2"/>
  <c r="K329" i="2"/>
  <c r="J329" i="2"/>
  <c r="H329" i="2"/>
  <c r="E329" i="2"/>
  <c r="D329" i="2"/>
  <c r="B329" i="2"/>
  <c r="A329" i="2"/>
  <c r="U327" i="2"/>
  <c r="S327" i="2"/>
  <c r="T327" i="2" s="1"/>
  <c r="P327" i="2"/>
  <c r="O327" i="2"/>
  <c r="K327" i="2"/>
  <c r="V327" i="2" s="1"/>
  <c r="J327" i="2"/>
  <c r="H327" i="2"/>
  <c r="E327" i="2"/>
  <c r="D327" i="2"/>
  <c r="B327" i="2"/>
  <c r="A327" i="2"/>
  <c r="V326" i="2"/>
  <c r="U326" i="2"/>
  <c r="T326" i="2"/>
  <c r="S326" i="2"/>
  <c r="P326" i="2"/>
  <c r="O326" i="2"/>
  <c r="K326" i="2"/>
  <c r="H326" i="2"/>
  <c r="E326" i="2"/>
  <c r="D326" i="2"/>
  <c r="B326" i="2"/>
  <c r="A326" i="2"/>
  <c r="S325" i="2"/>
  <c r="P325" i="2"/>
  <c r="O325" i="2"/>
  <c r="J325" i="2"/>
  <c r="K325" i="2" s="1"/>
  <c r="H325" i="2"/>
  <c r="E325" i="2"/>
  <c r="D325" i="2"/>
  <c r="B325" i="2"/>
  <c r="A325" i="2"/>
  <c r="S324" i="2"/>
  <c r="P324" i="2"/>
  <c r="O324" i="2"/>
  <c r="K324" i="2"/>
  <c r="J324" i="2"/>
  <c r="H324" i="2"/>
  <c r="E324" i="2"/>
  <c r="D324" i="2"/>
  <c r="B324" i="2"/>
  <c r="A324" i="2"/>
  <c r="S323" i="2"/>
  <c r="P323" i="2"/>
  <c r="O323" i="2"/>
  <c r="K323" i="2"/>
  <c r="V323" i="2" s="1"/>
  <c r="J323" i="2"/>
  <c r="H323" i="2"/>
  <c r="T323" i="2" s="1"/>
  <c r="E323" i="2"/>
  <c r="D323" i="2"/>
  <c r="B323" i="2"/>
  <c r="A323" i="2"/>
  <c r="S322" i="2"/>
  <c r="P322" i="2"/>
  <c r="O322" i="2"/>
  <c r="J322" i="2"/>
  <c r="K322" i="2" s="1"/>
  <c r="H322" i="2"/>
  <c r="D322" i="2"/>
  <c r="B322" i="2"/>
  <c r="A322" i="2"/>
  <c r="U321" i="2"/>
  <c r="S321" i="2"/>
  <c r="P321" i="2"/>
  <c r="O321" i="2"/>
  <c r="J321" i="2"/>
  <c r="K321" i="2" s="1"/>
  <c r="V321" i="2" s="1"/>
  <c r="H321" i="2"/>
  <c r="D321" i="2"/>
  <c r="B321" i="2"/>
  <c r="A321" i="2"/>
  <c r="S319" i="2"/>
  <c r="P319" i="2"/>
  <c r="O319" i="2"/>
  <c r="J319" i="2"/>
  <c r="K319" i="2" s="1"/>
  <c r="T319" i="2" s="1"/>
  <c r="H319" i="2"/>
  <c r="E319" i="2"/>
  <c r="D319" i="2"/>
  <c r="B319" i="2"/>
  <c r="A319" i="2"/>
  <c r="V318" i="2"/>
  <c r="U318" i="2"/>
  <c r="T318" i="2"/>
  <c r="S318" i="2"/>
  <c r="P318" i="2"/>
  <c r="O318" i="2"/>
  <c r="K318" i="2"/>
  <c r="J318" i="2"/>
  <c r="H318" i="2"/>
  <c r="E318" i="2"/>
  <c r="D318" i="2"/>
  <c r="B318" i="2"/>
  <c r="A318" i="2"/>
  <c r="V317" i="2"/>
  <c r="U317" i="2"/>
  <c r="S317" i="2"/>
  <c r="T317" i="2" s="1"/>
  <c r="P317" i="2"/>
  <c r="O317" i="2"/>
  <c r="K317" i="2"/>
  <c r="J317" i="2"/>
  <c r="H317" i="2"/>
  <c r="E317" i="2"/>
  <c r="D317" i="2"/>
  <c r="B317" i="2"/>
  <c r="A317" i="2"/>
  <c r="V316" i="2"/>
  <c r="U316" i="2"/>
  <c r="T316" i="2"/>
  <c r="S316" i="2"/>
  <c r="P316" i="2"/>
  <c r="O316" i="2"/>
  <c r="K316" i="2"/>
  <c r="J316" i="2"/>
  <c r="H316" i="2"/>
  <c r="D316" i="2"/>
  <c r="B316" i="2"/>
  <c r="A316" i="2"/>
  <c r="V314" i="2"/>
  <c r="U314" i="2"/>
  <c r="T314" i="2"/>
  <c r="S314" i="2"/>
  <c r="P314" i="2"/>
  <c r="O314" i="2"/>
  <c r="J314" i="2"/>
  <c r="K314" i="2" s="1"/>
  <c r="H314" i="2"/>
  <c r="E314" i="2"/>
  <c r="D314" i="2"/>
  <c r="B314" i="2"/>
  <c r="A314" i="2"/>
  <c r="S313" i="2"/>
  <c r="P313" i="2"/>
  <c r="O313" i="2"/>
  <c r="J313" i="2"/>
  <c r="K313" i="2" s="1"/>
  <c r="H313" i="2"/>
  <c r="E313" i="2"/>
  <c r="D313" i="2"/>
  <c r="B313" i="2"/>
  <c r="A313" i="2"/>
  <c r="S312" i="2"/>
  <c r="P312" i="2"/>
  <c r="O312" i="2"/>
  <c r="K312" i="2"/>
  <c r="J312" i="2"/>
  <c r="H312" i="2"/>
  <c r="E312" i="2"/>
  <c r="D312" i="2"/>
  <c r="B312" i="2"/>
  <c r="A312" i="2"/>
  <c r="S311" i="2"/>
  <c r="P311" i="2"/>
  <c r="O311" i="2"/>
  <c r="J311" i="2"/>
  <c r="K311" i="2" s="1"/>
  <c r="H311" i="2"/>
  <c r="T311" i="2" s="1"/>
  <c r="E311" i="2"/>
  <c r="D311" i="2"/>
  <c r="B311" i="2"/>
  <c r="A311" i="2"/>
  <c r="S310" i="2"/>
  <c r="P310" i="2"/>
  <c r="O310" i="2"/>
  <c r="K310" i="2"/>
  <c r="V310" i="2" s="1"/>
  <c r="J310" i="2"/>
  <c r="H310" i="2"/>
  <c r="T310" i="2" s="1"/>
  <c r="D310" i="2"/>
  <c r="B310" i="2"/>
  <c r="A310" i="2"/>
  <c r="U308" i="2"/>
  <c r="T308" i="2"/>
  <c r="S308" i="2"/>
  <c r="P308" i="2"/>
  <c r="O308" i="2"/>
  <c r="K308" i="2"/>
  <c r="V308" i="2" s="1"/>
  <c r="H308" i="2"/>
  <c r="E308" i="2"/>
  <c r="D308" i="2"/>
  <c r="B308" i="2"/>
  <c r="A308" i="2"/>
  <c r="U307" i="2"/>
  <c r="S307" i="2"/>
  <c r="T307" i="2" s="1"/>
  <c r="P307" i="2"/>
  <c r="O307" i="2"/>
  <c r="K307" i="2"/>
  <c r="V307" i="2" s="1"/>
  <c r="J307" i="2"/>
  <c r="H307" i="2"/>
  <c r="E307" i="2"/>
  <c r="D307" i="2"/>
  <c r="B307" i="2"/>
  <c r="A307" i="2"/>
  <c r="S305" i="2"/>
  <c r="P305" i="2"/>
  <c r="O305" i="2"/>
  <c r="J305" i="2"/>
  <c r="K305" i="2" s="1"/>
  <c r="H305" i="2"/>
  <c r="E305" i="2"/>
  <c r="D305" i="2"/>
  <c r="B305" i="2"/>
  <c r="A305" i="2"/>
  <c r="S303" i="2"/>
  <c r="P303" i="2"/>
  <c r="O303" i="2"/>
  <c r="J303" i="2"/>
  <c r="K303" i="2" s="1"/>
  <c r="H303" i="2"/>
  <c r="E303" i="2"/>
  <c r="D303" i="2"/>
  <c r="B303" i="2"/>
  <c r="A303" i="2"/>
  <c r="U302" i="2"/>
  <c r="S302" i="2"/>
  <c r="P302" i="2"/>
  <c r="O302" i="2"/>
  <c r="J302" i="2"/>
  <c r="K302" i="2" s="1"/>
  <c r="V302" i="2" s="1"/>
  <c r="H302" i="2"/>
  <c r="T302" i="2" s="1"/>
  <c r="E302" i="2"/>
  <c r="D302" i="2"/>
  <c r="B302" i="2"/>
  <c r="A302" i="2"/>
  <c r="S301" i="2"/>
  <c r="P301" i="2"/>
  <c r="O301" i="2"/>
  <c r="J301" i="2"/>
  <c r="K301" i="2" s="1"/>
  <c r="H301" i="2"/>
  <c r="D301" i="2"/>
  <c r="B301" i="2"/>
  <c r="A301" i="2"/>
  <c r="S300" i="2"/>
  <c r="P300" i="2"/>
  <c r="O300" i="2"/>
  <c r="K300" i="2"/>
  <c r="V300" i="2" s="1"/>
  <c r="J300" i="2"/>
  <c r="H300" i="2"/>
  <c r="E300" i="2"/>
  <c r="D300" i="2"/>
  <c r="B300" i="2"/>
  <c r="A300" i="2"/>
  <c r="S299" i="2"/>
  <c r="P299" i="2"/>
  <c r="O299" i="2"/>
  <c r="J299" i="2"/>
  <c r="K299" i="2" s="1"/>
  <c r="T299" i="2" s="1"/>
  <c r="H299" i="2"/>
  <c r="E299" i="2"/>
  <c r="D299" i="2"/>
  <c r="B299" i="2"/>
  <c r="A299" i="2"/>
  <c r="V298" i="2"/>
  <c r="U298" i="2"/>
  <c r="T298" i="2"/>
  <c r="S298" i="2"/>
  <c r="P298" i="2"/>
  <c r="O298" i="2"/>
  <c r="K298" i="2"/>
  <c r="J298" i="2"/>
  <c r="H298" i="2"/>
  <c r="E298" i="2"/>
  <c r="D298" i="2"/>
  <c r="B298" i="2"/>
  <c r="A298" i="2"/>
  <c r="V297" i="2"/>
  <c r="U297" i="2"/>
  <c r="S297" i="2"/>
  <c r="T297" i="2" s="1"/>
  <c r="P297" i="2"/>
  <c r="O297" i="2"/>
  <c r="K297" i="2"/>
  <c r="J297" i="2"/>
  <c r="H297" i="2"/>
  <c r="E297" i="2"/>
  <c r="D297" i="2"/>
  <c r="B297" i="2"/>
  <c r="A297" i="2"/>
  <c r="S296" i="2"/>
  <c r="P296" i="2"/>
  <c r="O296" i="2"/>
  <c r="J296" i="2"/>
  <c r="K296" i="2" s="1"/>
  <c r="H296" i="2"/>
  <c r="T296" i="2" s="1"/>
  <c r="E296" i="2"/>
  <c r="D296" i="2"/>
  <c r="B296" i="2"/>
  <c r="A296" i="2"/>
  <c r="S295" i="2"/>
  <c r="P295" i="2"/>
  <c r="O295" i="2"/>
  <c r="K295" i="2"/>
  <c r="J295" i="2"/>
  <c r="H295" i="2"/>
  <c r="D295" i="2"/>
  <c r="B295" i="2"/>
  <c r="A295" i="2"/>
  <c r="U294" i="2"/>
  <c r="S294" i="2"/>
  <c r="P294" i="2"/>
  <c r="O294" i="2"/>
  <c r="J294" i="2"/>
  <c r="K294" i="2" s="1"/>
  <c r="V294" i="2" s="1"/>
  <c r="H294" i="2"/>
  <c r="E294" i="2"/>
  <c r="D294" i="2"/>
  <c r="B294" i="2"/>
  <c r="A294" i="2"/>
  <c r="U293" i="2"/>
  <c r="S293" i="2"/>
  <c r="P293" i="2"/>
  <c r="O293" i="2"/>
  <c r="K293" i="2"/>
  <c r="V293" i="2" s="1"/>
  <c r="J293" i="2"/>
  <c r="H293" i="2"/>
  <c r="E293" i="2"/>
  <c r="D293" i="2"/>
  <c r="B293" i="2"/>
  <c r="A293" i="2"/>
  <c r="U291" i="2"/>
  <c r="S291" i="2"/>
  <c r="T291" i="2" s="1"/>
  <c r="P291" i="2"/>
  <c r="O291" i="2"/>
  <c r="K291" i="2"/>
  <c r="V291" i="2" s="1"/>
  <c r="H291" i="2"/>
  <c r="E291" i="2"/>
  <c r="D291" i="2"/>
  <c r="B291" i="2"/>
  <c r="A291" i="2"/>
  <c r="V289" i="2"/>
  <c r="U289" i="2"/>
  <c r="T289" i="2"/>
  <c r="S289" i="2"/>
  <c r="P289" i="2"/>
  <c r="O289" i="2"/>
  <c r="K289" i="2"/>
  <c r="J289" i="2"/>
  <c r="H289" i="2"/>
  <c r="D289" i="2"/>
  <c r="B289" i="2"/>
  <c r="A289" i="2"/>
  <c r="S288" i="2"/>
  <c r="P288" i="2"/>
  <c r="O288" i="2"/>
  <c r="J288" i="2"/>
  <c r="K288" i="2" s="1"/>
  <c r="H288" i="2"/>
  <c r="E288" i="2"/>
  <c r="D288" i="2"/>
  <c r="B288" i="2"/>
  <c r="A288" i="2"/>
  <c r="U287" i="2"/>
  <c r="S287" i="2"/>
  <c r="P287" i="2"/>
  <c r="O287" i="2"/>
  <c r="J287" i="2"/>
  <c r="K287" i="2" s="1"/>
  <c r="H287" i="2"/>
  <c r="E287" i="2"/>
  <c r="D287" i="2"/>
  <c r="B287" i="2"/>
  <c r="A287" i="2"/>
  <c r="V286" i="2"/>
  <c r="U286" i="2"/>
  <c r="S286" i="2"/>
  <c r="P286" i="2"/>
  <c r="O286" i="2"/>
  <c r="K286" i="2"/>
  <c r="H286" i="2"/>
  <c r="T286" i="2" s="1"/>
  <c r="E286" i="2"/>
  <c r="D286" i="2"/>
  <c r="B286" i="2"/>
  <c r="A286" i="2"/>
  <c r="U285" i="2"/>
  <c r="S285" i="2"/>
  <c r="P285" i="2"/>
  <c r="O285" i="2"/>
  <c r="K285" i="2"/>
  <c r="V285" i="2" s="1"/>
  <c r="J285" i="2"/>
  <c r="H285" i="2"/>
  <c r="E285" i="2"/>
  <c r="D285" i="2"/>
  <c r="B285" i="2"/>
  <c r="A285" i="2"/>
  <c r="S284" i="2"/>
  <c r="P284" i="2"/>
  <c r="O284" i="2"/>
  <c r="K284" i="2"/>
  <c r="V284" i="2" s="1"/>
  <c r="H284" i="2"/>
  <c r="E284" i="2"/>
  <c r="D284" i="2"/>
  <c r="B284" i="2"/>
  <c r="A284" i="2"/>
  <c r="S283" i="2"/>
  <c r="P283" i="2"/>
  <c r="O283" i="2"/>
  <c r="K283" i="2"/>
  <c r="V283" i="2" s="1"/>
  <c r="J283" i="2"/>
  <c r="H283" i="2"/>
  <c r="E283" i="2"/>
  <c r="D283" i="2"/>
  <c r="B283" i="2"/>
  <c r="A283" i="2"/>
  <c r="U282" i="2"/>
  <c r="S282" i="2"/>
  <c r="T282" i="2" s="1"/>
  <c r="P282" i="2"/>
  <c r="O282" i="2"/>
  <c r="K282" i="2"/>
  <c r="V282" i="2" s="1"/>
  <c r="J282" i="2"/>
  <c r="H282" i="2"/>
  <c r="D282" i="2"/>
  <c r="B282" i="2"/>
  <c r="A282" i="2"/>
  <c r="V281" i="2"/>
  <c r="U281" i="2"/>
  <c r="T281" i="2"/>
  <c r="S281" i="2"/>
  <c r="P281" i="2"/>
  <c r="O281" i="2"/>
  <c r="K281" i="2"/>
  <c r="J281" i="2"/>
  <c r="H281" i="2"/>
  <c r="E281" i="2"/>
  <c r="D281" i="2"/>
  <c r="B281" i="2"/>
  <c r="A281" i="2"/>
  <c r="V280" i="2"/>
  <c r="U280" i="2"/>
  <c r="S280" i="2"/>
  <c r="T280" i="2" s="1"/>
  <c r="P280" i="2"/>
  <c r="O280" i="2"/>
  <c r="K280" i="2"/>
  <c r="J280" i="2"/>
  <c r="H280" i="2"/>
  <c r="D280" i="2"/>
  <c r="B280" i="2"/>
  <c r="A280" i="2"/>
  <c r="S279" i="2"/>
  <c r="P279" i="2"/>
  <c r="O279" i="2"/>
  <c r="J279" i="2"/>
  <c r="K279" i="2" s="1"/>
  <c r="H279" i="2"/>
  <c r="D279" i="2"/>
  <c r="B279" i="2"/>
  <c r="A279" i="2"/>
  <c r="V278" i="2"/>
  <c r="U278" i="2"/>
  <c r="T278" i="2"/>
  <c r="S278" i="2"/>
  <c r="P278" i="2"/>
  <c r="O278" i="2"/>
  <c r="K278" i="2"/>
  <c r="H278" i="2"/>
  <c r="E278" i="2"/>
  <c r="D278" i="2"/>
  <c r="B278" i="2"/>
  <c r="A278" i="2"/>
  <c r="U277" i="2"/>
  <c r="S277" i="2"/>
  <c r="P277" i="2"/>
  <c r="O277" i="2"/>
  <c r="J277" i="2"/>
  <c r="K277" i="2" s="1"/>
  <c r="V277" i="2" s="1"/>
  <c r="H277" i="2"/>
  <c r="T277" i="2" s="1"/>
  <c r="E277" i="2"/>
  <c r="D277" i="2"/>
  <c r="B277" i="2"/>
  <c r="A277" i="2"/>
  <c r="U276" i="2"/>
  <c r="S276" i="2"/>
  <c r="P276" i="2"/>
  <c r="O276" i="2"/>
  <c r="J276" i="2"/>
  <c r="K276" i="2" s="1"/>
  <c r="V276" i="2" s="1"/>
  <c r="H276" i="2"/>
  <c r="D276" i="2"/>
  <c r="B276" i="2"/>
  <c r="A276" i="2"/>
  <c r="U275" i="2"/>
  <c r="S275" i="2"/>
  <c r="P275" i="2"/>
  <c r="O275" i="2"/>
  <c r="K275" i="2"/>
  <c r="V275" i="2" s="1"/>
  <c r="J275" i="2"/>
  <c r="H275" i="2"/>
  <c r="E275" i="2"/>
  <c r="D275" i="2"/>
  <c r="B275" i="2"/>
  <c r="A275" i="2"/>
  <c r="U274" i="2"/>
  <c r="T274" i="2"/>
  <c r="S274" i="2"/>
  <c r="P274" i="2"/>
  <c r="O274" i="2"/>
  <c r="J274" i="2"/>
  <c r="K274" i="2" s="1"/>
  <c r="V274" i="2" s="1"/>
  <c r="H274" i="2"/>
  <c r="E274" i="2"/>
  <c r="D274" i="2"/>
  <c r="B274" i="2"/>
  <c r="A274" i="2"/>
  <c r="V272" i="2"/>
  <c r="U272" i="2"/>
  <c r="T272" i="2"/>
  <c r="S272" i="2"/>
  <c r="P272" i="2"/>
  <c r="O272" i="2"/>
  <c r="K272" i="2"/>
  <c r="J272" i="2"/>
  <c r="H272" i="2"/>
  <c r="D272" i="2"/>
  <c r="B272" i="2"/>
  <c r="A272" i="2"/>
  <c r="U271" i="2"/>
  <c r="S271" i="2"/>
  <c r="P271" i="2"/>
  <c r="O271" i="2"/>
  <c r="J271" i="2"/>
  <c r="K271" i="2" s="1"/>
  <c r="H271" i="2"/>
  <c r="E271" i="2"/>
  <c r="D271" i="2"/>
  <c r="B271" i="2"/>
  <c r="A271" i="2"/>
  <c r="U270" i="2"/>
  <c r="S270" i="2"/>
  <c r="P270" i="2"/>
  <c r="O270" i="2"/>
  <c r="J270" i="2"/>
  <c r="K270" i="2" s="1"/>
  <c r="H270" i="2"/>
  <c r="D270" i="2"/>
  <c r="B270" i="2"/>
  <c r="A270" i="2"/>
  <c r="S269" i="2"/>
  <c r="P269" i="2"/>
  <c r="O269" i="2"/>
  <c r="J269" i="2"/>
  <c r="K269" i="2" s="1"/>
  <c r="H269" i="2"/>
  <c r="T269" i="2" s="1"/>
  <c r="E269" i="2"/>
  <c r="D269" i="2"/>
  <c r="B269" i="2"/>
  <c r="A269" i="2"/>
  <c r="S268" i="2"/>
  <c r="P268" i="2"/>
  <c r="O268" i="2"/>
  <c r="K268" i="2"/>
  <c r="J268" i="2"/>
  <c r="H268" i="2"/>
  <c r="T268" i="2" s="1"/>
  <c r="E268" i="2"/>
  <c r="D268" i="2"/>
  <c r="B268" i="2"/>
  <c r="A268" i="2"/>
  <c r="S267" i="2"/>
  <c r="P267" i="2"/>
  <c r="O267" i="2"/>
  <c r="K267" i="2"/>
  <c r="J267" i="2"/>
  <c r="H267" i="2"/>
  <c r="E267" i="2"/>
  <c r="D267" i="2"/>
  <c r="B267" i="2"/>
  <c r="A267" i="2"/>
  <c r="U266" i="2"/>
  <c r="S266" i="2"/>
  <c r="P266" i="2"/>
  <c r="T266" i="2" s="1"/>
  <c r="O266" i="2"/>
  <c r="J266" i="2"/>
  <c r="K266" i="2" s="1"/>
  <c r="V266" i="2" s="1"/>
  <c r="H266" i="2"/>
  <c r="E266" i="2"/>
  <c r="D266" i="2"/>
  <c r="B266" i="2"/>
  <c r="A266" i="2"/>
  <c r="V265" i="2"/>
  <c r="U265" i="2"/>
  <c r="T265" i="2"/>
  <c r="S265" i="2"/>
  <c r="P265" i="2"/>
  <c r="O265" i="2"/>
  <c r="K265" i="2"/>
  <c r="J265" i="2"/>
  <c r="H265" i="2"/>
  <c r="E265" i="2"/>
  <c r="D265" i="2"/>
  <c r="B265" i="2"/>
  <c r="A265" i="2"/>
  <c r="V264" i="2"/>
  <c r="U264" i="2"/>
  <c r="S264" i="2"/>
  <c r="T264" i="2" s="1"/>
  <c r="P264" i="2"/>
  <c r="O264" i="2"/>
  <c r="K264" i="2"/>
  <c r="J264" i="2"/>
  <c r="H264" i="2"/>
  <c r="E264" i="2"/>
  <c r="D264" i="2"/>
  <c r="B264" i="2"/>
  <c r="A264" i="2"/>
  <c r="U263" i="2"/>
  <c r="S263" i="2"/>
  <c r="P263" i="2"/>
  <c r="O263" i="2"/>
  <c r="J263" i="2"/>
  <c r="K263" i="2" s="1"/>
  <c r="V263" i="2" s="1"/>
  <c r="H263" i="2"/>
  <c r="D263" i="2"/>
  <c r="B263" i="2"/>
  <c r="A263" i="2"/>
  <c r="V262" i="2"/>
  <c r="S262" i="2"/>
  <c r="P262" i="2"/>
  <c r="O262" i="2"/>
  <c r="J262" i="2"/>
  <c r="K262" i="2" s="1"/>
  <c r="U262" i="2" s="1"/>
  <c r="H262" i="2"/>
  <c r="T262" i="2" s="1"/>
  <c r="E262" i="2"/>
  <c r="D262" i="2"/>
  <c r="B262" i="2"/>
  <c r="A262" i="2"/>
  <c r="U261" i="2"/>
  <c r="S261" i="2"/>
  <c r="P261" i="2"/>
  <c r="O261" i="2"/>
  <c r="K261" i="2"/>
  <c r="V261" i="2" s="1"/>
  <c r="J261" i="2"/>
  <c r="H261" i="2"/>
  <c r="T261" i="2" s="1"/>
  <c r="E261" i="2"/>
  <c r="D261" i="2"/>
  <c r="B261" i="2"/>
  <c r="A261" i="2"/>
  <c r="S260" i="2"/>
  <c r="P260" i="2"/>
  <c r="O260" i="2"/>
  <c r="K260" i="2"/>
  <c r="V260" i="2" s="1"/>
  <c r="J260" i="2"/>
  <c r="H260" i="2"/>
  <c r="D260" i="2"/>
  <c r="B260" i="2"/>
  <c r="A260" i="2"/>
  <c r="U259" i="2"/>
  <c r="S259" i="2"/>
  <c r="P259" i="2"/>
  <c r="T259" i="2" s="1"/>
  <c r="O259" i="2"/>
  <c r="J259" i="2"/>
  <c r="K259" i="2" s="1"/>
  <c r="V259" i="2" s="1"/>
  <c r="H259" i="2"/>
  <c r="E259" i="2"/>
  <c r="D259" i="2"/>
  <c r="B259" i="2"/>
  <c r="A259" i="2"/>
  <c r="V258" i="2"/>
  <c r="U258" i="2"/>
  <c r="T258" i="2"/>
  <c r="S258" i="2"/>
  <c r="P258" i="2"/>
  <c r="O258" i="2"/>
  <c r="K258" i="2"/>
  <c r="J258" i="2"/>
  <c r="H258" i="2"/>
  <c r="E258" i="2"/>
  <c r="D258" i="2"/>
  <c r="B258" i="2"/>
  <c r="A258" i="2"/>
  <c r="V257" i="2"/>
  <c r="U257" i="2"/>
  <c r="S257" i="2"/>
  <c r="T257" i="2" s="1"/>
  <c r="P257" i="2"/>
  <c r="O257" i="2"/>
  <c r="K257" i="2"/>
  <c r="J257" i="2"/>
  <c r="H257" i="2"/>
  <c r="E257" i="2"/>
  <c r="D257" i="2"/>
  <c r="B257" i="2"/>
  <c r="A257" i="2"/>
  <c r="U255" i="2"/>
  <c r="S255" i="2"/>
  <c r="P255" i="2"/>
  <c r="O255" i="2"/>
  <c r="J255" i="2"/>
  <c r="K255" i="2" s="1"/>
  <c r="V255" i="2" s="1"/>
  <c r="H255" i="2"/>
  <c r="T255" i="2" s="1"/>
  <c r="E255" i="2"/>
  <c r="D255" i="2"/>
  <c r="B255" i="2"/>
  <c r="A255" i="2"/>
  <c r="S254" i="2"/>
  <c r="P254" i="2"/>
  <c r="O254" i="2"/>
  <c r="K254" i="2"/>
  <c r="H254" i="2"/>
  <c r="E254" i="2"/>
  <c r="D254" i="2"/>
  <c r="B254" i="2"/>
  <c r="A254" i="2"/>
  <c r="U253" i="2"/>
  <c r="S253" i="2"/>
  <c r="P253" i="2"/>
  <c r="O253" i="2"/>
  <c r="J253" i="2"/>
  <c r="K253" i="2" s="1"/>
  <c r="V253" i="2" s="1"/>
  <c r="H253" i="2"/>
  <c r="E253" i="2"/>
  <c r="D253" i="2"/>
  <c r="B253" i="2"/>
  <c r="A253" i="2"/>
  <c r="U252" i="2"/>
  <c r="S252" i="2"/>
  <c r="P252" i="2"/>
  <c r="O252" i="2"/>
  <c r="K252" i="2"/>
  <c r="V252" i="2" s="1"/>
  <c r="J252" i="2"/>
  <c r="H252" i="2"/>
  <c r="T252" i="2" s="1"/>
  <c r="E252" i="2"/>
  <c r="D252" i="2"/>
  <c r="B252" i="2"/>
  <c r="A252" i="2"/>
  <c r="U250" i="2"/>
  <c r="S250" i="2"/>
  <c r="P250" i="2"/>
  <c r="T250" i="2" s="1"/>
  <c r="O250" i="2"/>
  <c r="K250" i="2"/>
  <c r="V250" i="2" s="1"/>
  <c r="J250" i="2"/>
  <c r="H250" i="2"/>
  <c r="E250" i="2"/>
  <c r="D250" i="2"/>
  <c r="B250" i="2"/>
  <c r="A250" i="2"/>
  <c r="V248" i="2"/>
  <c r="U248" i="2"/>
  <c r="S248" i="2"/>
  <c r="P248" i="2"/>
  <c r="T248" i="2" s="1"/>
  <c r="O248" i="2"/>
  <c r="J248" i="2"/>
  <c r="K248" i="2" s="1"/>
  <c r="H248" i="2"/>
  <c r="E248" i="2"/>
  <c r="D248" i="2"/>
  <c r="B248" i="2"/>
  <c r="A248" i="2"/>
  <c r="V247" i="2"/>
  <c r="T247" i="2"/>
  <c r="S247" i="2"/>
  <c r="P247" i="2"/>
  <c r="O247" i="2"/>
  <c r="J247" i="2"/>
  <c r="K247" i="2" s="1"/>
  <c r="U247" i="2" s="1"/>
  <c r="H247" i="2"/>
  <c r="E247" i="2"/>
  <c r="D247" i="2"/>
  <c r="B247" i="2"/>
  <c r="A247" i="2"/>
  <c r="V246" i="2"/>
  <c r="S246" i="2"/>
  <c r="P246" i="2"/>
  <c r="O246" i="2"/>
  <c r="J246" i="2"/>
  <c r="K246" i="2" s="1"/>
  <c r="U246" i="2" s="1"/>
  <c r="H246" i="2"/>
  <c r="E246" i="2"/>
  <c r="D246" i="2"/>
  <c r="B246" i="2"/>
  <c r="A246" i="2"/>
  <c r="S245" i="2"/>
  <c r="P245" i="2"/>
  <c r="O245" i="2"/>
  <c r="J245" i="2"/>
  <c r="K245" i="2" s="1"/>
  <c r="H245" i="2"/>
  <c r="E245" i="2"/>
  <c r="D245" i="2"/>
  <c r="B245" i="2"/>
  <c r="A245" i="2"/>
  <c r="S244" i="2"/>
  <c r="P244" i="2"/>
  <c r="O244" i="2"/>
  <c r="K244" i="2"/>
  <c r="J244" i="2"/>
  <c r="H244" i="2"/>
  <c r="D244" i="2"/>
  <c r="B244" i="2"/>
  <c r="A244" i="2"/>
  <c r="S243" i="2"/>
  <c r="P243" i="2"/>
  <c r="T243" i="2" s="1"/>
  <c r="O243" i="2"/>
  <c r="J243" i="2"/>
  <c r="K243" i="2" s="1"/>
  <c r="H243" i="2"/>
  <c r="E243" i="2"/>
  <c r="D243" i="2"/>
  <c r="B243" i="2"/>
  <c r="A243" i="2"/>
  <c r="V242" i="2"/>
  <c r="U242" i="2"/>
  <c r="S242" i="2"/>
  <c r="T242" i="2" s="1"/>
  <c r="P242" i="2"/>
  <c r="O242" i="2"/>
  <c r="K242" i="2"/>
  <c r="J242" i="2"/>
  <c r="H242" i="2"/>
  <c r="E242" i="2"/>
  <c r="D242" i="2"/>
  <c r="B242" i="2"/>
  <c r="A242" i="2"/>
  <c r="V241" i="2"/>
  <c r="U241" i="2"/>
  <c r="S241" i="2"/>
  <c r="T241" i="2" s="1"/>
  <c r="P241" i="2"/>
  <c r="O241" i="2"/>
  <c r="K241" i="2"/>
  <c r="J241" i="2"/>
  <c r="H241" i="2"/>
  <c r="E241" i="2"/>
  <c r="D241" i="2"/>
  <c r="B241" i="2"/>
  <c r="A241" i="2"/>
  <c r="S240" i="2"/>
  <c r="P240" i="2"/>
  <c r="O240" i="2"/>
  <c r="J240" i="2"/>
  <c r="K240" i="2" s="1"/>
  <c r="V240" i="2" s="1"/>
  <c r="H240" i="2"/>
  <c r="T240" i="2" s="1"/>
  <c r="E240" i="2"/>
  <c r="D240" i="2"/>
  <c r="B240" i="2"/>
  <c r="A240" i="2"/>
  <c r="S239" i="2"/>
  <c r="P239" i="2"/>
  <c r="O239" i="2"/>
  <c r="K239" i="2"/>
  <c r="J239" i="2"/>
  <c r="H239" i="2"/>
  <c r="E239" i="2"/>
  <c r="D239" i="2"/>
  <c r="B239" i="2"/>
  <c r="A239" i="2"/>
  <c r="S238" i="2"/>
  <c r="P238" i="2"/>
  <c r="O238" i="2"/>
  <c r="J238" i="2"/>
  <c r="K238" i="2" s="1"/>
  <c r="H238" i="2"/>
  <c r="E238" i="2"/>
  <c r="D238" i="2"/>
  <c r="B238" i="2"/>
  <c r="A238" i="2"/>
  <c r="S237" i="2"/>
  <c r="P237" i="2"/>
  <c r="T237" i="2" s="1"/>
  <c r="O237" i="2"/>
  <c r="J237" i="2"/>
  <c r="K237" i="2" s="1"/>
  <c r="H237" i="2"/>
  <c r="E237" i="2"/>
  <c r="D237" i="2"/>
  <c r="B237" i="2"/>
  <c r="A237" i="2"/>
  <c r="V236" i="2"/>
  <c r="U236" i="2"/>
  <c r="S236" i="2"/>
  <c r="T236" i="2" s="1"/>
  <c r="P236" i="2"/>
  <c r="O236" i="2"/>
  <c r="K236" i="2"/>
  <c r="J236" i="2"/>
  <c r="H236" i="2"/>
  <c r="E236" i="2"/>
  <c r="D236" i="2"/>
  <c r="B236" i="2"/>
  <c r="A236" i="2"/>
  <c r="V235" i="2"/>
  <c r="U235" i="2"/>
  <c r="S235" i="2"/>
  <c r="T235" i="2" s="1"/>
  <c r="P235" i="2"/>
  <c r="O235" i="2"/>
  <c r="K235" i="2"/>
  <c r="J235" i="2"/>
  <c r="H235" i="2"/>
  <c r="E235" i="2"/>
  <c r="D235" i="2"/>
  <c r="B235" i="2"/>
  <c r="A235" i="2"/>
  <c r="U234" i="2"/>
  <c r="S234" i="2"/>
  <c r="P234" i="2"/>
  <c r="O234" i="2"/>
  <c r="J234" i="2"/>
  <c r="K234" i="2" s="1"/>
  <c r="V234" i="2" s="1"/>
  <c r="H234" i="2"/>
  <c r="E234" i="2"/>
  <c r="D234" i="2"/>
  <c r="B234" i="2"/>
  <c r="A234" i="2"/>
  <c r="S233" i="2"/>
  <c r="P233" i="2"/>
  <c r="O233" i="2"/>
  <c r="J233" i="2"/>
  <c r="K233" i="2" s="1"/>
  <c r="H233" i="2"/>
  <c r="D233" i="2"/>
  <c r="B233" i="2"/>
  <c r="A233" i="2"/>
  <c r="S232" i="2"/>
  <c r="P232" i="2"/>
  <c r="O232" i="2"/>
  <c r="K232" i="2"/>
  <c r="J232" i="2"/>
  <c r="H232" i="2"/>
  <c r="T232" i="2" s="1"/>
  <c r="E232" i="2"/>
  <c r="D232" i="2"/>
  <c r="B232" i="2"/>
  <c r="A232" i="2"/>
  <c r="S230" i="2"/>
  <c r="P230" i="2"/>
  <c r="O230" i="2"/>
  <c r="K230" i="2"/>
  <c r="J230" i="2"/>
  <c r="H230" i="2"/>
  <c r="D230" i="2"/>
  <c r="B230" i="2"/>
  <c r="A230" i="2"/>
  <c r="S229" i="2"/>
  <c r="P229" i="2"/>
  <c r="O229" i="2"/>
  <c r="J229" i="2"/>
  <c r="K229" i="2" s="1"/>
  <c r="H229" i="2"/>
  <c r="E229" i="2"/>
  <c r="D229" i="2"/>
  <c r="B229" i="2"/>
  <c r="A229" i="2"/>
  <c r="V228" i="2"/>
  <c r="U228" i="2"/>
  <c r="T228" i="2"/>
  <c r="S228" i="2"/>
  <c r="P228" i="2"/>
  <c r="O228" i="2"/>
  <c r="K228" i="2"/>
  <c r="J228" i="2"/>
  <c r="H228" i="2"/>
  <c r="E228" i="2"/>
  <c r="D228" i="2"/>
  <c r="B228" i="2"/>
  <c r="A228" i="2"/>
  <c r="V227" i="2"/>
  <c r="U227" i="2"/>
  <c r="S227" i="2"/>
  <c r="T227" i="2" s="1"/>
  <c r="P227" i="2"/>
  <c r="O227" i="2"/>
  <c r="K227" i="2"/>
  <c r="J227" i="2"/>
  <c r="H227" i="2"/>
  <c r="D227" i="2"/>
  <c r="B227" i="2"/>
  <c r="A227" i="2"/>
  <c r="V226" i="2"/>
  <c r="U226" i="2"/>
  <c r="T226" i="2"/>
  <c r="S226" i="2"/>
  <c r="P226" i="2"/>
  <c r="O226" i="2"/>
  <c r="K226" i="2"/>
  <c r="H226" i="2"/>
  <c r="E226" i="2"/>
  <c r="D226" i="2"/>
  <c r="B226" i="2"/>
  <c r="A226" i="2"/>
  <c r="S225" i="2"/>
  <c r="P225" i="2"/>
  <c r="O225" i="2"/>
  <c r="J225" i="2"/>
  <c r="K225" i="2" s="1"/>
  <c r="V225" i="2" s="1"/>
  <c r="H225" i="2"/>
  <c r="E225" i="2"/>
  <c r="D225" i="2"/>
  <c r="B225" i="2"/>
  <c r="A225" i="2"/>
  <c r="S224" i="2"/>
  <c r="P224" i="2"/>
  <c r="O224" i="2"/>
  <c r="J224" i="2"/>
  <c r="K224" i="2" s="1"/>
  <c r="H224" i="2"/>
  <c r="D224" i="2"/>
  <c r="B224" i="2"/>
  <c r="A224" i="2"/>
  <c r="S223" i="2"/>
  <c r="P223" i="2"/>
  <c r="O223" i="2"/>
  <c r="K223" i="2"/>
  <c r="J223" i="2"/>
  <c r="H223" i="2"/>
  <c r="E223" i="2"/>
  <c r="D223" i="2"/>
  <c r="B223" i="2"/>
  <c r="A223" i="2"/>
  <c r="S221" i="2"/>
  <c r="P221" i="2"/>
  <c r="O221" i="2"/>
  <c r="J221" i="2"/>
  <c r="K221" i="2" s="1"/>
  <c r="H221" i="2"/>
  <c r="E221" i="2"/>
  <c r="D221" i="2"/>
  <c r="B221" i="2"/>
  <c r="A221" i="2"/>
  <c r="U220" i="2"/>
  <c r="S220" i="2"/>
  <c r="P220" i="2"/>
  <c r="T220" i="2" s="1"/>
  <c r="O220" i="2"/>
  <c r="K220" i="2"/>
  <c r="V220" i="2" s="1"/>
  <c r="J220" i="2"/>
  <c r="H220" i="2"/>
  <c r="E220" i="2"/>
  <c r="D220" i="2"/>
  <c r="B220" i="2"/>
  <c r="A220" i="2"/>
  <c r="U219" i="2"/>
  <c r="S219" i="2"/>
  <c r="T219" i="2" s="1"/>
  <c r="P219" i="2"/>
  <c r="O219" i="2"/>
  <c r="J219" i="2"/>
  <c r="K219" i="2" s="1"/>
  <c r="V219" i="2" s="1"/>
  <c r="H219" i="2"/>
  <c r="E219" i="2"/>
  <c r="D219" i="2"/>
  <c r="B219" i="2"/>
  <c r="A219" i="2"/>
  <c r="S218" i="2"/>
  <c r="P218" i="2"/>
  <c r="O218" i="2"/>
  <c r="J218" i="2"/>
  <c r="K218" i="2" s="1"/>
  <c r="V218" i="2" s="1"/>
  <c r="H218" i="2"/>
  <c r="D218" i="2"/>
  <c r="B218" i="2"/>
  <c r="A218" i="2"/>
  <c r="V217" i="2"/>
  <c r="U217" i="2"/>
  <c r="S217" i="2"/>
  <c r="P217" i="2"/>
  <c r="O217" i="2"/>
  <c r="J217" i="2"/>
  <c r="K217" i="2" s="1"/>
  <c r="H217" i="2"/>
  <c r="T217" i="2" s="1"/>
  <c r="E217" i="2"/>
  <c r="D217" i="2"/>
  <c r="B217" i="2"/>
  <c r="A217" i="2"/>
  <c r="S215" i="2"/>
  <c r="P215" i="2"/>
  <c r="O215" i="2"/>
  <c r="K215" i="2"/>
  <c r="J215" i="2"/>
  <c r="H215" i="2"/>
  <c r="E215" i="2"/>
  <c r="D215" i="2"/>
  <c r="B215" i="2"/>
  <c r="A215" i="2"/>
  <c r="S214" i="2"/>
  <c r="P214" i="2"/>
  <c r="O214" i="2"/>
  <c r="J214" i="2"/>
  <c r="K214" i="2" s="1"/>
  <c r="H214" i="2"/>
  <c r="D214" i="2"/>
  <c r="B214" i="2"/>
  <c r="A214" i="2"/>
  <c r="S212" i="2"/>
  <c r="P212" i="2"/>
  <c r="O212" i="2"/>
  <c r="K212" i="2"/>
  <c r="J212" i="2"/>
  <c r="H212" i="2"/>
  <c r="D212" i="2"/>
  <c r="B212" i="2"/>
  <c r="A212" i="2"/>
  <c r="S211" i="2"/>
  <c r="P211" i="2"/>
  <c r="O211" i="2"/>
  <c r="K211" i="2"/>
  <c r="J211" i="2"/>
  <c r="H211" i="2"/>
  <c r="T211" i="2" s="1"/>
  <c r="E211" i="2"/>
  <c r="D211" i="2"/>
  <c r="B211" i="2"/>
  <c r="A211" i="2"/>
  <c r="V210" i="2"/>
  <c r="S210" i="2"/>
  <c r="P210" i="2"/>
  <c r="T210" i="2" s="1"/>
  <c r="O210" i="2"/>
  <c r="K210" i="2"/>
  <c r="U210" i="2" s="1"/>
  <c r="J210" i="2"/>
  <c r="H210" i="2"/>
  <c r="E210" i="2"/>
  <c r="D210" i="2"/>
  <c r="B210" i="2"/>
  <c r="A210" i="2"/>
  <c r="V208" i="2"/>
  <c r="U208" i="2"/>
  <c r="S208" i="2"/>
  <c r="T208" i="2" s="1"/>
  <c r="P208" i="2"/>
  <c r="O208" i="2"/>
  <c r="K208" i="2"/>
  <c r="J208" i="2"/>
  <c r="H208" i="2"/>
  <c r="E208" i="2"/>
  <c r="D208" i="2"/>
  <c r="B208" i="2"/>
  <c r="A208" i="2"/>
  <c r="U207" i="2"/>
  <c r="T207" i="2"/>
  <c r="S207" i="2"/>
  <c r="P207" i="2"/>
  <c r="O207" i="2"/>
  <c r="J207" i="2"/>
  <c r="K207" i="2" s="1"/>
  <c r="V207" i="2" s="1"/>
  <c r="H207" i="2"/>
  <c r="E207" i="2"/>
  <c r="D207" i="2"/>
  <c r="B207" i="2"/>
  <c r="A207" i="2"/>
  <c r="S206" i="2"/>
  <c r="P206" i="2"/>
  <c r="O206" i="2"/>
  <c r="J206" i="2"/>
  <c r="K206" i="2" s="1"/>
  <c r="H206" i="2"/>
  <c r="E206" i="2"/>
  <c r="D206" i="2"/>
  <c r="B206" i="2"/>
  <c r="A206" i="2"/>
  <c r="S205" i="2"/>
  <c r="P205" i="2"/>
  <c r="O205" i="2"/>
  <c r="K205" i="2"/>
  <c r="J205" i="2"/>
  <c r="H205" i="2"/>
  <c r="E205" i="2"/>
  <c r="D205" i="2"/>
  <c r="B205" i="2"/>
  <c r="A205" i="2"/>
  <c r="S204" i="2"/>
  <c r="P204" i="2"/>
  <c r="O204" i="2"/>
  <c r="K204" i="2"/>
  <c r="J204" i="2"/>
  <c r="H204" i="2"/>
  <c r="T204" i="2" s="1"/>
  <c r="E204" i="2"/>
  <c r="D204" i="2"/>
  <c r="B204" i="2"/>
  <c r="A204" i="2"/>
  <c r="V203" i="2"/>
  <c r="U203" i="2"/>
  <c r="S203" i="2"/>
  <c r="T203" i="2" s="1"/>
  <c r="P203" i="2"/>
  <c r="O203" i="2"/>
  <c r="K203" i="2"/>
  <c r="J203" i="2"/>
  <c r="H203" i="2"/>
  <c r="D203" i="2"/>
  <c r="B203" i="2"/>
  <c r="A203" i="2"/>
  <c r="V201" i="2"/>
  <c r="U201" i="2"/>
  <c r="S201" i="2"/>
  <c r="T201" i="2" s="1"/>
  <c r="P201" i="2"/>
  <c r="O201" i="2"/>
  <c r="K201" i="2"/>
  <c r="J201" i="2"/>
  <c r="H201" i="2"/>
  <c r="E201" i="2"/>
  <c r="D201" i="2"/>
  <c r="B201" i="2"/>
  <c r="A201" i="2"/>
  <c r="U200" i="2"/>
  <c r="T200" i="2"/>
  <c r="S200" i="2"/>
  <c r="P200" i="2"/>
  <c r="O200" i="2"/>
  <c r="J200" i="2"/>
  <c r="K200" i="2" s="1"/>
  <c r="V200" i="2" s="1"/>
  <c r="H200" i="2"/>
  <c r="D200" i="2"/>
  <c r="B200" i="2"/>
  <c r="A200" i="2"/>
  <c r="U199" i="2"/>
  <c r="T199" i="2"/>
  <c r="S199" i="2"/>
  <c r="P199" i="2"/>
  <c r="O199" i="2"/>
  <c r="J199" i="2"/>
  <c r="K199" i="2" s="1"/>
  <c r="V199" i="2" s="1"/>
  <c r="H199" i="2"/>
  <c r="E199" i="2"/>
  <c r="D199" i="2"/>
  <c r="B199" i="2"/>
  <c r="A199" i="2"/>
  <c r="S198" i="2"/>
  <c r="P198" i="2"/>
  <c r="O198" i="2"/>
  <c r="J198" i="2"/>
  <c r="K198" i="2" s="1"/>
  <c r="H198" i="2"/>
  <c r="E198" i="2"/>
  <c r="D198" i="2"/>
  <c r="B198" i="2"/>
  <c r="A198" i="2"/>
  <c r="S197" i="2"/>
  <c r="P197" i="2"/>
  <c r="O197" i="2"/>
  <c r="J197" i="2"/>
  <c r="K197" i="2" s="1"/>
  <c r="H197" i="2"/>
  <c r="D197" i="2"/>
  <c r="B197" i="2"/>
  <c r="A197" i="2"/>
  <c r="S196" i="2"/>
  <c r="P196" i="2"/>
  <c r="O196" i="2"/>
  <c r="K196" i="2"/>
  <c r="J196" i="2"/>
  <c r="H196" i="2"/>
  <c r="E196" i="2"/>
  <c r="D196" i="2"/>
  <c r="B196" i="2"/>
  <c r="A196" i="2"/>
  <c r="U195" i="2"/>
  <c r="S195" i="2"/>
  <c r="P195" i="2"/>
  <c r="T195" i="2" s="1"/>
  <c r="O195" i="2"/>
  <c r="K195" i="2"/>
  <c r="V195" i="2" s="1"/>
  <c r="H195" i="2"/>
  <c r="D195" i="2"/>
  <c r="B195" i="2"/>
  <c r="A195" i="2"/>
  <c r="U194" i="2"/>
  <c r="S194" i="2"/>
  <c r="P194" i="2"/>
  <c r="T194" i="2" s="1"/>
  <c r="O194" i="2"/>
  <c r="K194" i="2"/>
  <c r="V194" i="2" s="1"/>
  <c r="J194" i="2"/>
  <c r="H194" i="2"/>
  <c r="D194" i="2"/>
  <c r="B194" i="2"/>
  <c r="A194" i="2"/>
  <c r="V193" i="2"/>
  <c r="U193" i="2"/>
  <c r="S193" i="2"/>
  <c r="P193" i="2"/>
  <c r="T193" i="2" s="1"/>
  <c r="O193" i="2"/>
  <c r="K193" i="2"/>
  <c r="J193" i="2"/>
  <c r="H193" i="2"/>
  <c r="D193" i="2"/>
  <c r="B193" i="2"/>
  <c r="A193" i="2"/>
  <c r="V192" i="2"/>
  <c r="U192" i="2"/>
  <c r="S192" i="2"/>
  <c r="P192" i="2"/>
  <c r="T192" i="2" s="1"/>
  <c r="O192" i="2"/>
  <c r="K192" i="2"/>
  <c r="J192" i="2"/>
  <c r="H192" i="2"/>
  <c r="E192" i="2"/>
  <c r="D192" i="2"/>
  <c r="B192" i="2"/>
  <c r="A192" i="2"/>
  <c r="V190" i="2"/>
  <c r="U190" i="2"/>
  <c r="S190" i="2"/>
  <c r="T190" i="2" s="1"/>
  <c r="P190" i="2"/>
  <c r="O190" i="2"/>
  <c r="J190" i="2"/>
  <c r="K190" i="2" s="1"/>
  <c r="H190" i="2"/>
  <c r="E190" i="2"/>
  <c r="D190" i="2"/>
  <c r="B190" i="2"/>
  <c r="A190" i="2"/>
  <c r="V189" i="2"/>
  <c r="U189" i="2"/>
  <c r="T189" i="2"/>
  <c r="S189" i="2"/>
  <c r="P189" i="2"/>
  <c r="O189" i="2"/>
  <c r="J189" i="2"/>
  <c r="K189" i="2" s="1"/>
  <c r="H189" i="2"/>
  <c r="D189" i="2"/>
  <c r="B189" i="2"/>
  <c r="A189" i="2"/>
  <c r="S188" i="2"/>
  <c r="P188" i="2"/>
  <c r="O188" i="2"/>
  <c r="J188" i="2"/>
  <c r="K188" i="2" s="1"/>
  <c r="H188" i="2"/>
  <c r="E188" i="2"/>
  <c r="D188" i="2"/>
  <c r="B188" i="2"/>
  <c r="A188" i="2"/>
  <c r="S187" i="2"/>
  <c r="P187" i="2"/>
  <c r="O187" i="2"/>
  <c r="J187" i="2"/>
  <c r="K187" i="2" s="1"/>
  <c r="H187" i="2"/>
  <c r="D187" i="2"/>
  <c r="B187" i="2"/>
  <c r="A187" i="2"/>
  <c r="S186" i="2"/>
  <c r="P186" i="2"/>
  <c r="O186" i="2"/>
  <c r="K186" i="2"/>
  <c r="J186" i="2"/>
  <c r="H186" i="2"/>
  <c r="D186" i="2"/>
  <c r="B186" i="2"/>
  <c r="A186" i="2"/>
  <c r="S185" i="2"/>
  <c r="P185" i="2"/>
  <c r="T185" i="2" s="1"/>
  <c r="O185" i="2"/>
  <c r="K185" i="2"/>
  <c r="J185" i="2"/>
  <c r="H185" i="2"/>
  <c r="E185" i="2"/>
  <c r="D185" i="2"/>
  <c r="B185" i="2"/>
  <c r="A185" i="2"/>
  <c r="S184" i="2"/>
  <c r="P184" i="2"/>
  <c r="O184" i="2"/>
  <c r="J184" i="2"/>
  <c r="K184" i="2" s="1"/>
  <c r="H184" i="2"/>
  <c r="T184" i="2" s="1"/>
  <c r="E184" i="2"/>
  <c r="D184" i="2"/>
  <c r="B184" i="2"/>
  <c r="A184" i="2"/>
  <c r="V183" i="2"/>
  <c r="U183" i="2"/>
  <c r="T183" i="2"/>
  <c r="S183" i="2"/>
  <c r="P183" i="2"/>
  <c r="O183" i="2"/>
  <c r="K183" i="2"/>
  <c r="J183" i="2"/>
  <c r="H183" i="2"/>
  <c r="D183" i="2"/>
  <c r="B183" i="2"/>
  <c r="A183" i="2"/>
  <c r="V182" i="2"/>
  <c r="U182" i="2"/>
  <c r="T182" i="2"/>
  <c r="S182" i="2"/>
  <c r="P182" i="2"/>
  <c r="O182" i="2"/>
  <c r="J182" i="2"/>
  <c r="K182" i="2" s="1"/>
  <c r="H182" i="2"/>
  <c r="E182" i="2"/>
  <c r="D182" i="2"/>
  <c r="B182" i="2"/>
  <c r="A182" i="2"/>
  <c r="U181" i="2"/>
  <c r="S181" i="2"/>
  <c r="P181" i="2"/>
  <c r="O181" i="2"/>
  <c r="J181" i="2"/>
  <c r="K181" i="2" s="1"/>
  <c r="T181" i="2" s="1"/>
  <c r="H181" i="2"/>
  <c r="E181" i="2"/>
  <c r="D181" i="2"/>
  <c r="B181" i="2"/>
  <c r="A181" i="2"/>
  <c r="V179" i="2"/>
  <c r="S179" i="2"/>
  <c r="P179" i="2"/>
  <c r="O179" i="2"/>
  <c r="K179" i="2"/>
  <c r="U179" i="2" s="1"/>
  <c r="J179" i="2"/>
  <c r="H179" i="2"/>
  <c r="E179" i="2"/>
  <c r="D179" i="2"/>
  <c r="B179" i="2"/>
  <c r="A179" i="2"/>
  <c r="S177" i="2"/>
  <c r="P177" i="2"/>
  <c r="O177" i="2"/>
  <c r="J177" i="2"/>
  <c r="K177" i="2" s="1"/>
  <c r="H177" i="2"/>
  <c r="E177" i="2"/>
  <c r="D177" i="2"/>
  <c r="B177" i="2"/>
  <c r="A177" i="2"/>
  <c r="U176" i="2"/>
  <c r="S176" i="2"/>
  <c r="P176" i="2"/>
  <c r="O176" i="2"/>
  <c r="K176" i="2"/>
  <c r="V176" i="2" s="1"/>
  <c r="J176" i="2"/>
  <c r="H176" i="2"/>
  <c r="E176" i="2"/>
  <c r="D176" i="2"/>
  <c r="B176" i="2"/>
  <c r="A176" i="2"/>
  <c r="U174" i="2"/>
  <c r="S174" i="2"/>
  <c r="P174" i="2"/>
  <c r="T174" i="2" s="1"/>
  <c r="O174" i="2"/>
  <c r="J174" i="2"/>
  <c r="K174" i="2" s="1"/>
  <c r="V174" i="2" s="1"/>
  <c r="H174" i="2"/>
  <c r="E174" i="2"/>
  <c r="D174" i="2"/>
  <c r="B174" i="2"/>
  <c r="A174" i="2"/>
  <c r="T173" i="2"/>
  <c r="S173" i="2"/>
  <c r="P173" i="2"/>
  <c r="O173" i="2"/>
  <c r="J173" i="2"/>
  <c r="K173" i="2" s="1"/>
  <c r="V173" i="2" s="1"/>
  <c r="H173" i="2"/>
  <c r="D173" i="2"/>
  <c r="B173" i="2"/>
  <c r="A173" i="2"/>
  <c r="U172" i="2"/>
  <c r="T172" i="2"/>
  <c r="S172" i="2"/>
  <c r="P172" i="2"/>
  <c r="O172" i="2"/>
  <c r="K172" i="2"/>
  <c r="V172" i="2" s="1"/>
  <c r="J172" i="2"/>
  <c r="H172" i="2"/>
  <c r="E172" i="2"/>
  <c r="D172" i="2"/>
  <c r="B172" i="2"/>
  <c r="A172" i="2"/>
  <c r="S171" i="2"/>
  <c r="P171" i="2"/>
  <c r="O171" i="2"/>
  <c r="J171" i="2"/>
  <c r="K171" i="2" s="1"/>
  <c r="H171" i="2"/>
  <c r="D171" i="2"/>
  <c r="B171" i="2"/>
  <c r="A171" i="2"/>
  <c r="U170" i="2"/>
  <c r="S170" i="2"/>
  <c r="P170" i="2"/>
  <c r="O170" i="2"/>
  <c r="J170" i="2"/>
  <c r="K170" i="2" s="1"/>
  <c r="V170" i="2" s="1"/>
  <c r="H170" i="2"/>
  <c r="E170" i="2"/>
  <c r="D170" i="2"/>
  <c r="B170" i="2"/>
  <c r="A170" i="2"/>
  <c r="S169" i="2"/>
  <c r="P169" i="2"/>
  <c r="O169" i="2"/>
  <c r="J169" i="2"/>
  <c r="K169" i="2" s="1"/>
  <c r="H169" i="2"/>
  <c r="D169" i="2"/>
  <c r="B169" i="2"/>
  <c r="A169" i="2"/>
  <c r="U168" i="2"/>
  <c r="S168" i="2"/>
  <c r="P168" i="2"/>
  <c r="O168" i="2"/>
  <c r="K168" i="2"/>
  <c r="V168" i="2" s="1"/>
  <c r="H168" i="2"/>
  <c r="E168" i="2"/>
  <c r="D168" i="2"/>
  <c r="B168" i="2"/>
  <c r="A168" i="2"/>
  <c r="S167" i="2"/>
  <c r="P167" i="2"/>
  <c r="O167" i="2"/>
  <c r="K167" i="2"/>
  <c r="V167" i="2" s="1"/>
  <c r="J167" i="2"/>
  <c r="H167" i="2"/>
  <c r="D167" i="2"/>
  <c r="B167" i="2"/>
  <c r="A167" i="2"/>
  <c r="U166" i="2"/>
  <c r="S166" i="2"/>
  <c r="P166" i="2"/>
  <c r="T166" i="2" s="1"/>
  <c r="O166" i="2"/>
  <c r="K166" i="2"/>
  <c r="V166" i="2" s="1"/>
  <c r="J166" i="2"/>
  <c r="H166" i="2"/>
  <c r="E166" i="2"/>
  <c r="D166" i="2"/>
  <c r="B166" i="2"/>
  <c r="A166" i="2"/>
  <c r="V165" i="2"/>
  <c r="U165" i="2"/>
  <c r="S165" i="2"/>
  <c r="P165" i="2"/>
  <c r="O165" i="2"/>
  <c r="K165" i="2"/>
  <c r="J165" i="2"/>
  <c r="H165" i="2"/>
  <c r="T165" i="2" s="1"/>
  <c r="E165" i="2"/>
  <c r="D165" i="2"/>
  <c r="B165" i="2"/>
  <c r="A165" i="2"/>
  <c r="S164" i="2"/>
  <c r="P164" i="2"/>
  <c r="O164" i="2"/>
  <c r="J164" i="2"/>
  <c r="K164" i="2" s="1"/>
  <c r="H164" i="2"/>
  <c r="E164" i="2"/>
  <c r="D164" i="2"/>
  <c r="B164" i="2"/>
  <c r="A164" i="2"/>
  <c r="V163" i="2"/>
  <c r="U163" i="2"/>
  <c r="S163" i="2"/>
  <c r="P163" i="2"/>
  <c r="O163" i="2"/>
  <c r="K163" i="2"/>
  <c r="J163" i="2"/>
  <c r="H163" i="2"/>
  <c r="T163" i="2" s="1"/>
  <c r="E163" i="2"/>
  <c r="D163" i="2"/>
  <c r="B163" i="2"/>
  <c r="A163" i="2"/>
  <c r="U162" i="2"/>
  <c r="S162" i="2"/>
  <c r="P162" i="2"/>
  <c r="O162" i="2"/>
  <c r="K162" i="2"/>
  <c r="V162" i="2" s="1"/>
  <c r="J162" i="2"/>
  <c r="H162" i="2"/>
  <c r="T162" i="2" s="1"/>
  <c r="E162" i="2"/>
  <c r="D162" i="2"/>
  <c r="B162" i="2"/>
  <c r="A162" i="2"/>
  <c r="U161" i="2"/>
  <c r="S161" i="2"/>
  <c r="P161" i="2"/>
  <c r="O161" i="2"/>
  <c r="J161" i="2"/>
  <c r="K161" i="2" s="1"/>
  <c r="V161" i="2" s="1"/>
  <c r="H161" i="2"/>
  <c r="T161" i="2" s="1"/>
  <c r="E161" i="2"/>
  <c r="D161" i="2"/>
  <c r="B161" i="2"/>
  <c r="A161" i="2"/>
  <c r="S160" i="2"/>
  <c r="P160" i="2"/>
  <c r="O160" i="2"/>
  <c r="K160" i="2"/>
  <c r="V160" i="2" s="1"/>
  <c r="J160" i="2"/>
  <c r="H160" i="2"/>
  <c r="E160" i="2"/>
  <c r="D160" i="2"/>
  <c r="B160" i="2"/>
  <c r="A160" i="2"/>
  <c r="U159" i="2"/>
  <c r="S159" i="2"/>
  <c r="P159" i="2"/>
  <c r="T159" i="2" s="1"/>
  <c r="O159" i="2"/>
  <c r="K159" i="2"/>
  <c r="V159" i="2" s="1"/>
  <c r="J159" i="2"/>
  <c r="H159" i="2"/>
  <c r="E159" i="2"/>
  <c r="D159" i="2"/>
  <c r="B159" i="2"/>
  <c r="A159" i="2"/>
  <c r="S158" i="2"/>
  <c r="P158" i="2"/>
  <c r="O158" i="2"/>
  <c r="J158" i="2"/>
  <c r="K158" i="2" s="1"/>
  <c r="H158" i="2"/>
  <c r="T158" i="2" s="1"/>
  <c r="E158" i="2"/>
  <c r="D158" i="2"/>
  <c r="B158" i="2"/>
  <c r="A158" i="2"/>
  <c r="U157" i="2"/>
  <c r="S157" i="2"/>
  <c r="P157" i="2"/>
  <c r="O157" i="2"/>
  <c r="K157" i="2"/>
  <c r="T157" i="2" s="1"/>
  <c r="J157" i="2"/>
  <c r="H157" i="2"/>
  <c r="E157" i="2"/>
  <c r="D157" i="2"/>
  <c r="B157" i="2"/>
  <c r="A157" i="2"/>
  <c r="U156" i="2"/>
  <c r="S156" i="2"/>
  <c r="P156" i="2"/>
  <c r="O156" i="2"/>
  <c r="J156" i="2"/>
  <c r="K156" i="2" s="1"/>
  <c r="V156" i="2" s="1"/>
  <c r="H156" i="2"/>
  <c r="E156" i="2"/>
  <c r="D156" i="2"/>
  <c r="B156" i="2"/>
  <c r="A156" i="2"/>
  <c r="T155" i="2"/>
  <c r="S155" i="2"/>
  <c r="P155" i="2"/>
  <c r="O155" i="2"/>
  <c r="K155" i="2"/>
  <c r="V155" i="2" s="1"/>
  <c r="J155" i="2"/>
  <c r="H155" i="2"/>
  <c r="E155" i="2"/>
  <c r="D155" i="2"/>
  <c r="B155" i="2"/>
  <c r="A155" i="2"/>
  <c r="S154" i="2"/>
  <c r="P154" i="2"/>
  <c r="O154" i="2"/>
  <c r="J154" i="2"/>
  <c r="K154" i="2" s="1"/>
  <c r="H154" i="2"/>
  <c r="E154" i="2"/>
  <c r="D154" i="2"/>
  <c r="B154" i="2"/>
  <c r="A154" i="2"/>
  <c r="U153" i="2"/>
  <c r="S153" i="2"/>
  <c r="P153" i="2"/>
  <c r="O153" i="2"/>
  <c r="K153" i="2"/>
  <c r="V153" i="2" s="1"/>
  <c r="J153" i="2"/>
  <c r="H153" i="2"/>
  <c r="D153" i="2"/>
  <c r="B153" i="2"/>
  <c r="A153" i="2"/>
  <c r="U152" i="2"/>
  <c r="S152" i="2"/>
  <c r="P152" i="2"/>
  <c r="T152" i="2" s="1"/>
  <c r="O152" i="2"/>
  <c r="J152" i="2"/>
  <c r="K152" i="2" s="1"/>
  <c r="V152" i="2" s="1"/>
  <c r="H152" i="2"/>
  <c r="E152" i="2"/>
  <c r="D152" i="2"/>
  <c r="B152" i="2"/>
  <c r="A152" i="2"/>
  <c r="U151" i="2"/>
  <c r="S151" i="2"/>
  <c r="P151" i="2"/>
  <c r="O151" i="2"/>
  <c r="J151" i="2"/>
  <c r="K151" i="2" s="1"/>
  <c r="V151" i="2" s="1"/>
  <c r="H151" i="2"/>
  <c r="D151" i="2"/>
  <c r="B151" i="2"/>
  <c r="A151" i="2"/>
  <c r="U150" i="2"/>
  <c r="S150" i="2"/>
  <c r="P150" i="2"/>
  <c r="O150" i="2"/>
  <c r="J150" i="2"/>
  <c r="K150" i="2" s="1"/>
  <c r="V150" i="2" s="1"/>
  <c r="H150" i="2"/>
  <c r="T150" i="2" s="1"/>
  <c r="E150" i="2"/>
  <c r="D150" i="2"/>
  <c r="B150" i="2"/>
  <c r="A150" i="2"/>
  <c r="U148" i="2"/>
  <c r="S148" i="2"/>
  <c r="P148" i="2"/>
  <c r="O148" i="2"/>
  <c r="K148" i="2"/>
  <c r="T148" i="2" s="1"/>
  <c r="J148" i="2"/>
  <c r="H148" i="2"/>
  <c r="E148" i="2"/>
  <c r="D148" i="2"/>
  <c r="B148" i="2"/>
  <c r="A148" i="2"/>
  <c r="U147" i="2"/>
  <c r="S147" i="2"/>
  <c r="P147" i="2"/>
  <c r="O147" i="2"/>
  <c r="J147" i="2"/>
  <c r="K147" i="2" s="1"/>
  <c r="V147" i="2" s="1"/>
  <c r="H147" i="2"/>
  <c r="D147" i="2"/>
  <c r="B147" i="2"/>
  <c r="A147" i="2"/>
  <c r="S146" i="2"/>
  <c r="T146" i="2" s="1"/>
  <c r="P146" i="2"/>
  <c r="O146" i="2"/>
  <c r="K146" i="2"/>
  <c r="V146" i="2" s="1"/>
  <c r="J146" i="2"/>
  <c r="H146" i="2"/>
  <c r="E146" i="2"/>
  <c r="D146" i="2"/>
  <c r="B146" i="2"/>
  <c r="A146" i="2"/>
  <c r="U145" i="2"/>
  <c r="S145" i="2"/>
  <c r="P145" i="2"/>
  <c r="O145" i="2"/>
  <c r="J145" i="2"/>
  <c r="K145" i="2" s="1"/>
  <c r="V145" i="2" s="1"/>
  <c r="H145" i="2"/>
  <c r="D145" i="2"/>
  <c r="B145" i="2"/>
  <c r="A145" i="2"/>
  <c r="V144" i="2"/>
  <c r="S144" i="2"/>
  <c r="P144" i="2"/>
  <c r="O144" i="2"/>
  <c r="K144" i="2"/>
  <c r="U144" i="2" s="1"/>
  <c r="J144" i="2"/>
  <c r="H144" i="2"/>
  <c r="T144" i="2" s="1"/>
  <c r="D144" i="2"/>
  <c r="B144" i="2"/>
  <c r="A144" i="2"/>
  <c r="S143" i="2"/>
  <c r="P143" i="2"/>
  <c r="O143" i="2"/>
  <c r="J143" i="2"/>
  <c r="K143" i="2" s="1"/>
  <c r="V143" i="2" s="1"/>
  <c r="H143" i="2"/>
  <c r="E143" i="2"/>
  <c r="D143" i="2"/>
  <c r="B143" i="2"/>
  <c r="A143" i="2"/>
  <c r="U142" i="2"/>
  <c r="S142" i="2"/>
  <c r="P142" i="2"/>
  <c r="O142" i="2"/>
  <c r="K142" i="2"/>
  <c r="V142" i="2" s="1"/>
  <c r="J142" i="2"/>
  <c r="H142" i="2"/>
  <c r="E142" i="2"/>
  <c r="D142" i="2"/>
  <c r="B142" i="2"/>
  <c r="A142" i="2"/>
  <c r="V140" i="2"/>
  <c r="U140" i="2"/>
  <c r="S140" i="2"/>
  <c r="P140" i="2"/>
  <c r="O140" i="2"/>
  <c r="K140" i="2"/>
  <c r="J140" i="2"/>
  <c r="H140" i="2"/>
  <c r="D140" i="2"/>
  <c r="B140" i="2"/>
  <c r="A140" i="2"/>
  <c r="V139" i="2"/>
  <c r="S139" i="2"/>
  <c r="P139" i="2"/>
  <c r="O139" i="2"/>
  <c r="K139" i="2"/>
  <c r="U139" i="2" s="1"/>
  <c r="J139" i="2"/>
  <c r="H139" i="2"/>
  <c r="T139" i="2" s="1"/>
  <c r="E139" i="2"/>
  <c r="D139" i="2"/>
  <c r="B139" i="2"/>
  <c r="A139" i="2"/>
  <c r="U137" i="2"/>
  <c r="S137" i="2"/>
  <c r="P137" i="2"/>
  <c r="O137" i="2"/>
  <c r="J137" i="2"/>
  <c r="K137" i="2" s="1"/>
  <c r="H137" i="2"/>
  <c r="E137" i="2"/>
  <c r="D137" i="2"/>
  <c r="B137" i="2"/>
  <c r="A137" i="2"/>
  <c r="V136" i="2"/>
  <c r="U136" i="2"/>
  <c r="S136" i="2"/>
  <c r="P136" i="2"/>
  <c r="O136" i="2"/>
  <c r="K136" i="2"/>
  <c r="J136" i="2"/>
  <c r="H136" i="2"/>
  <c r="T136" i="2" s="1"/>
  <c r="E136" i="2"/>
  <c r="D136" i="2"/>
  <c r="B136" i="2"/>
  <c r="A136" i="2"/>
  <c r="V135" i="2"/>
  <c r="S135" i="2"/>
  <c r="P135" i="2"/>
  <c r="O135" i="2"/>
  <c r="K135" i="2"/>
  <c r="U135" i="2" s="1"/>
  <c r="J135" i="2"/>
  <c r="H135" i="2"/>
  <c r="T135" i="2" s="1"/>
  <c r="D135" i="2"/>
  <c r="B135" i="2"/>
  <c r="A135" i="2"/>
  <c r="S134" i="2"/>
  <c r="P134" i="2"/>
  <c r="O134" i="2"/>
  <c r="J134" i="2"/>
  <c r="K134" i="2" s="1"/>
  <c r="V134" i="2" s="1"/>
  <c r="H134" i="2"/>
  <c r="T134" i="2" s="1"/>
  <c r="E134" i="2"/>
  <c r="D134" i="2"/>
  <c r="B134" i="2"/>
  <c r="A134" i="2"/>
  <c r="T132" i="2"/>
  <c r="S132" i="2"/>
  <c r="P132" i="2"/>
  <c r="O132" i="2"/>
  <c r="K132" i="2"/>
  <c r="V132" i="2" s="1"/>
  <c r="J132" i="2"/>
  <c r="H132" i="2"/>
  <c r="E132" i="2"/>
  <c r="D132" i="2"/>
  <c r="B132" i="2"/>
  <c r="A132" i="2"/>
  <c r="S131" i="2"/>
  <c r="P131" i="2"/>
  <c r="O131" i="2"/>
  <c r="J131" i="2"/>
  <c r="K131" i="2" s="1"/>
  <c r="H131" i="2"/>
  <c r="E131" i="2"/>
  <c r="D131" i="2"/>
  <c r="B131" i="2"/>
  <c r="A131" i="2"/>
  <c r="S130" i="2"/>
  <c r="P130" i="2"/>
  <c r="O130" i="2"/>
  <c r="J130" i="2"/>
  <c r="K130" i="2" s="1"/>
  <c r="H130" i="2"/>
  <c r="E130" i="2"/>
  <c r="D130" i="2"/>
  <c r="B130" i="2"/>
  <c r="A130" i="2"/>
  <c r="U129" i="2"/>
  <c r="S129" i="2"/>
  <c r="P129" i="2"/>
  <c r="T129" i="2" s="1"/>
  <c r="O129" i="2"/>
  <c r="K129" i="2"/>
  <c r="V129" i="2" s="1"/>
  <c r="J129" i="2"/>
  <c r="H129" i="2"/>
  <c r="E129" i="2"/>
  <c r="D129" i="2"/>
  <c r="B129" i="2"/>
  <c r="A129" i="2"/>
  <c r="S128" i="2"/>
  <c r="P128" i="2"/>
  <c r="O128" i="2"/>
  <c r="J128" i="2"/>
  <c r="K128" i="2" s="1"/>
  <c r="H128" i="2"/>
  <c r="E128" i="2"/>
  <c r="D128" i="2"/>
  <c r="B128" i="2"/>
  <c r="A128" i="2"/>
  <c r="U127" i="2"/>
  <c r="S127" i="2"/>
  <c r="P127" i="2"/>
  <c r="O127" i="2"/>
  <c r="J127" i="2"/>
  <c r="K127" i="2" s="1"/>
  <c r="T127" i="2" s="1"/>
  <c r="H127" i="2"/>
  <c r="E127" i="2"/>
  <c r="D127" i="2"/>
  <c r="B127" i="2"/>
  <c r="A127" i="2"/>
  <c r="V126" i="2"/>
  <c r="U126" i="2"/>
  <c r="S126" i="2"/>
  <c r="P126" i="2"/>
  <c r="O126" i="2"/>
  <c r="K126" i="2"/>
  <c r="J126" i="2"/>
  <c r="H126" i="2"/>
  <c r="T126" i="2" s="1"/>
  <c r="D126" i="2"/>
  <c r="B126" i="2"/>
  <c r="A126" i="2"/>
  <c r="S124" i="2"/>
  <c r="P124" i="2"/>
  <c r="O124" i="2"/>
  <c r="J124" i="2"/>
  <c r="K124" i="2" s="1"/>
  <c r="H124" i="2"/>
  <c r="E124" i="2"/>
  <c r="D124" i="2"/>
  <c r="B124" i="2"/>
  <c r="A124" i="2"/>
  <c r="S123" i="2"/>
  <c r="P123" i="2"/>
  <c r="O123" i="2"/>
  <c r="K123" i="2"/>
  <c r="U123" i="2" s="1"/>
  <c r="J123" i="2"/>
  <c r="H123" i="2"/>
  <c r="T123" i="2" s="1"/>
  <c r="E123" i="2"/>
  <c r="D123" i="2"/>
  <c r="B123" i="2"/>
  <c r="A123" i="2"/>
  <c r="S122" i="2"/>
  <c r="P122" i="2"/>
  <c r="O122" i="2"/>
  <c r="J122" i="2"/>
  <c r="K122" i="2" s="1"/>
  <c r="H122" i="2"/>
  <c r="T122" i="2" s="1"/>
  <c r="D122" i="2"/>
  <c r="B122" i="2"/>
  <c r="A122" i="2"/>
  <c r="V121" i="2"/>
  <c r="S121" i="2"/>
  <c r="P121" i="2"/>
  <c r="O121" i="2"/>
  <c r="K121" i="2"/>
  <c r="U121" i="2" s="1"/>
  <c r="H121" i="2"/>
  <c r="T121" i="2" s="1"/>
  <c r="E121" i="2"/>
  <c r="D121" i="2"/>
  <c r="B121" i="2"/>
  <c r="A121" i="2"/>
  <c r="S120" i="2"/>
  <c r="P120" i="2"/>
  <c r="O120" i="2"/>
  <c r="K120" i="2"/>
  <c r="V120" i="2" s="1"/>
  <c r="J120" i="2"/>
  <c r="H120" i="2"/>
  <c r="E120" i="2"/>
  <c r="D120" i="2"/>
  <c r="B120" i="2"/>
  <c r="A120" i="2"/>
  <c r="U119" i="2"/>
  <c r="S119" i="2"/>
  <c r="P119" i="2"/>
  <c r="T119" i="2" s="1"/>
  <c r="O119" i="2"/>
  <c r="K119" i="2"/>
  <c r="V119" i="2" s="1"/>
  <c r="J119" i="2"/>
  <c r="H119" i="2"/>
  <c r="E119" i="2"/>
  <c r="D119" i="2"/>
  <c r="B119" i="2"/>
  <c r="A119" i="2"/>
  <c r="U117" i="2"/>
  <c r="S117" i="2"/>
  <c r="P117" i="2"/>
  <c r="O117" i="2"/>
  <c r="J117" i="2"/>
  <c r="K117" i="2" s="1"/>
  <c r="V117" i="2" s="1"/>
  <c r="H117" i="2"/>
  <c r="E117" i="2"/>
  <c r="D117" i="2"/>
  <c r="B117" i="2"/>
  <c r="A117" i="2"/>
  <c r="U116" i="2"/>
  <c r="S116" i="2"/>
  <c r="P116" i="2"/>
  <c r="O116" i="2"/>
  <c r="K116" i="2"/>
  <c r="T116" i="2" s="1"/>
  <c r="H116" i="2"/>
  <c r="D116" i="2"/>
  <c r="B116" i="2"/>
  <c r="A116" i="2"/>
  <c r="U114" i="2"/>
  <c r="S114" i="2"/>
  <c r="P114" i="2"/>
  <c r="O114" i="2"/>
  <c r="K114" i="2"/>
  <c r="T114" i="2" s="1"/>
  <c r="J114" i="2"/>
  <c r="H114" i="2"/>
  <c r="E114" i="2"/>
  <c r="D114" i="2"/>
  <c r="B114" i="2"/>
  <c r="A114" i="2"/>
  <c r="V113" i="2"/>
  <c r="S113" i="2"/>
  <c r="P113" i="2"/>
  <c r="O113" i="2"/>
  <c r="K113" i="2"/>
  <c r="U113" i="2" s="1"/>
  <c r="J113" i="2"/>
  <c r="H113" i="2"/>
  <c r="T113" i="2" s="1"/>
  <c r="E113" i="2"/>
  <c r="D113" i="2"/>
  <c r="B113" i="2"/>
  <c r="A113" i="2"/>
  <c r="S112" i="2"/>
  <c r="P112" i="2"/>
  <c r="O112" i="2"/>
  <c r="K112" i="2"/>
  <c r="V112" i="2" s="1"/>
  <c r="J112" i="2"/>
  <c r="H112" i="2"/>
  <c r="T112" i="2" s="1"/>
  <c r="D112" i="2"/>
  <c r="B112" i="2"/>
  <c r="A112" i="2"/>
  <c r="S111" i="2"/>
  <c r="P111" i="2"/>
  <c r="O111" i="2"/>
  <c r="J111" i="2"/>
  <c r="K111" i="2" s="1"/>
  <c r="H111" i="2"/>
  <c r="E111" i="2"/>
  <c r="D111" i="2"/>
  <c r="B111" i="2"/>
  <c r="A111" i="2"/>
  <c r="S110" i="2"/>
  <c r="P110" i="2"/>
  <c r="O110" i="2"/>
  <c r="J110" i="2"/>
  <c r="K110" i="2" s="1"/>
  <c r="H110" i="2"/>
  <c r="E110" i="2"/>
  <c r="D110" i="2"/>
  <c r="B110" i="2"/>
  <c r="A110" i="2"/>
  <c r="U108" i="2"/>
  <c r="S108" i="2"/>
  <c r="P108" i="2"/>
  <c r="T108" i="2" s="1"/>
  <c r="O108" i="2"/>
  <c r="J108" i="2"/>
  <c r="K108" i="2" s="1"/>
  <c r="V108" i="2" s="1"/>
  <c r="H108" i="2"/>
  <c r="E108" i="2"/>
  <c r="D108" i="2"/>
  <c r="B108" i="2"/>
  <c r="A108" i="2"/>
  <c r="V107" i="2"/>
  <c r="U107" i="2"/>
  <c r="S107" i="2"/>
  <c r="T107" i="2" s="1"/>
  <c r="P107" i="2"/>
  <c r="O107" i="2"/>
  <c r="K107" i="2"/>
  <c r="J107" i="2"/>
  <c r="H107" i="2"/>
  <c r="E107" i="2"/>
  <c r="D107" i="2"/>
  <c r="B107" i="2"/>
  <c r="A107" i="2"/>
  <c r="S106" i="2"/>
  <c r="P106" i="2"/>
  <c r="O106" i="2"/>
  <c r="J106" i="2"/>
  <c r="K106" i="2" s="1"/>
  <c r="H106" i="2"/>
  <c r="D106" i="2"/>
  <c r="B106" i="2"/>
  <c r="A106" i="2"/>
  <c r="V103" i="2"/>
  <c r="U103" i="2"/>
  <c r="T103" i="2"/>
  <c r="S103" i="2"/>
  <c r="P103" i="2"/>
  <c r="O103" i="2"/>
  <c r="K103" i="2"/>
  <c r="H103" i="2"/>
  <c r="E103" i="2"/>
  <c r="D103" i="2"/>
  <c r="B103" i="2"/>
  <c r="A103" i="2"/>
  <c r="S102" i="2"/>
  <c r="P102" i="2"/>
  <c r="O102" i="2"/>
  <c r="J102" i="2"/>
  <c r="K102" i="2" s="1"/>
  <c r="H102" i="2"/>
  <c r="E102" i="2"/>
  <c r="D102" i="2"/>
  <c r="B102" i="2"/>
  <c r="A102" i="2"/>
  <c r="V101" i="2"/>
  <c r="U101" i="2"/>
  <c r="S101" i="2"/>
  <c r="P101" i="2"/>
  <c r="O101" i="2"/>
  <c r="K101" i="2"/>
  <c r="J101" i="2"/>
  <c r="H101" i="2"/>
  <c r="T101" i="2" s="1"/>
  <c r="E101" i="2"/>
  <c r="D101" i="2"/>
  <c r="B101" i="2"/>
  <c r="A101" i="2"/>
  <c r="S100" i="2"/>
  <c r="T100" i="2" s="1"/>
  <c r="P100" i="2"/>
  <c r="O100" i="2"/>
  <c r="K100" i="2"/>
  <c r="V100" i="2" s="1"/>
  <c r="J100" i="2"/>
  <c r="H100" i="2"/>
  <c r="D100" i="2"/>
  <c r="B100" i="2"/>
  <c r="A100" i="2"/>
  <c r="U98" i="2"/>
  <c r="T98" i="2"/>
  <c r="S98" i="2"/>
  <c r="P98" i="2"/>
  <c r="O98" i="2"/>
  <c r="K98" i="2"/>
  <c r="V98" i="2" s="1"/>
  <c r="J98" i="2"/>
  <c r="H98" i="2"/>
  <c r="E98" i="2"/>
  <c r="D98" i="2"/>
  <c r="B98" i="2"/>
  <c r="A98" i="2"/>
  <c r="S96" i="2"/>
  <c r="P96" i="2"/>
  <c r="O96" i="2"/>
  <c r="J96" i="2"/>
  <c r="K96" i="2" s="1"/>
  <c r="H96" i="2"/>
  <c r="E96" i="2"/>
  <c r="D96" i="2"/>
  <c r="B96" i="2"/>
  <c r="A96" i="2"/>
  <c r="U95" i="2"/>
  <c r="S95" i="2"/>
  <c r="P95" i="2"/>
  <c r="T95" i="2" s="1"/>
  <c r="O95" i="2"/>
  <c r="K95" i="2"/>
  <c r="V95" i="2" s="1"/>
  <c r="J95" i="2"/>
  <c r="H95" i="2"/>
  <c r="E95" i="2"/>
  <c r="D95" i="2"/>
  <c r="B95" i="2"/>
  <c r="A95" i="2"/>
  <c r="V94" i="2"/>
  <c r="S94" i="2"/>
  <c r="P94" i="2"/>
  <c r="O94" i="2"/>
  <c r="K94" i="2"/>
  <c r="U94" i="2" s="1"/>
  <c r="J94" i="2"/>
  <c r="H94" i="2"/>
  <c r="T94" i="2" s="1"/>
  <c r="E94" i="2"/>
  <c r="D94" i="2"/>
  <c r="B94" i="2"/>
  <c r="A94" i="2"/>
  <c r="S93" i="2"/>
  <c r="P93" i="2"/>
  <c r="O93" i="2"/>
  <c r="J93" i="2"/>
  <c r="K93" i="2" s="1"/>
  <c r="H93" i="2"/>
  <c r="E93" i="2"/>
  <c r="D93" i="2"/>
  <c r="B93" i="2"/>
  <c r="A93" i="2"/>
  <c r="V92" i="2"/>
  <c r="U92" i="2"/>
  <c r="S92" i="2"/>
  <c r="P92" i="2"/>
  <c r="O92" i="2"/>
  <c r="K92" i="2"/>
  <c r="J92" i="2"/>
  <c r="H92" i="2"/>
  <c r="T92" i="2" s="1"/>
  <c r="E92" i="2"/>
  <c r="D92" i="2"/>
  <c r="B92" i="2"/>
  <c r="A92" i="2"/>
  <c r="V91" i="2"/>
  <c r="U91" i="2"/>
  <c r="S91" i="2"/>
  <c r="P91" i="2"/>
  <c r="O91" i="2"/>
  <c r="K91" i="2"/>
  <c r="J91" i="2"/>
  <c r="H91" i="2"/>
  <c r="T91" i="2" s="1"/>
  <c r="E91" i="2"/>
  <c r="D91" i="2"/>
  <c r="B91" i="2"/>
  <c r="A91" i="2"/>
  <c r="U90" i="2"/>
  <c r="T90" i="2"/>
  <c r="S90" i="2"/>
  <c r="P90" i="2"/>
  <c r="O90" i="2"/>
  <c r="K90" i="2"/>
  <c r="V90" i="2" s="1"/>
  <c r="H90" i="2"/>
  <c r="E90" i="2"/>
  <c r="D90" i="2"/>
  <c r="B90" i="2"/>
  <c r="A90" i="2"/>
  <c r="S89" i="2"/>
  <c r="P89" i="2"/>
  <c r="O89" i="2"/>
  <c r="J89" i="2"/>
  <c r="K89" i="2" s="1"/>
  <c r="H89" i="2"/>
  <c r="T89" i="2" s="1"/>
  <c r="E89" i="2"/>
  <c r="D89" i="2"/>
  <c r="B89" i="2"/>
  <c r="A89" i="2"/>
  <c r="S88" i="2"/>
  <c r="P88" i="2"/>
  <c r="O88" i="2"/>
  <c r="J88" i="2"/>
  <c r="K88" i="2" s="1"/>
  <c r="H88" i="2"/>
  <c r="E88" i="2"/>
  <c r="D88" i="2"/>
  <c r="B88" i="2"/>
  <c r="A88" i="2"/>
  <c r="S87" i="2"/>
  <c r="P87" i="2"/>
  <c r="O87" i="2"/>
  <c r="K87" i="2"/>
  <c r="V87" i="2" s="1"/>
  <c r="J87" i="2"/>
  <c r="H87" i="2"/>
  <c r="E87" i="2"/>
  <c r="D87" i="2"/>
  <c r="B87" i="2"/>
  <c r="A87" i="2"/>
  <c r="V86" i="2"/>
  <c r="U86" i="2"/>
  <c r="S86" i="2"/>
  <c r="P86" i="2"/>
  <c r="O86" i="2"/>
  <c r="K86" i="2"/>
  <c r="J86" i="2"/>
  <c r="H86" i="2"/>
  <c r="T86" i="2" s="1"/>
  <c r="E86" i="2"/>
  <c r="D86" i="2"/>
  <c r="B86" i="2"/>
  <c r="A86" i="2"/>
  <c r="S85" i="2"/>
  <c r="P85" i="2"/>
  <c r="O85" i="2"/>
  <c r="J85" i="2"/>
  <c r="K85" i="2" s="1"/>
  <c r="H85" i="2"/>
  <c r="E85" i="2"/>
  <c r="D85" i="2"/>
  <c r="B85" i="2"/>
  <c r="A85" i="2"/>
  <c r="V84" i="2"/>
  <c r="U84" i="2"/>
  <c r="S84" i="2"/>
  <c r="P84" i="2"/>
  <c r="T84" i="2" s="1"/>
  <c r="O84" i="2"/>
  <c r="J84" i="2"/>
  <c r="K84" i="2" s="1"/>
  <c r="H84" i="2"/>
  <c r="E84" i="2"/>
  <c r="D84" i="2"/>
  <c r="B84" i="2"/>
  <c r="A84" i="2"/>
  <c r="S83" i="2"/>
  <c r="P83" i="2"/>
  <c r="O83" i="2"/>
  <c r="J83" i="2"/>
  <c r="K83" i="2" s="1"/>
  <c r="H83" i="2"/>
  <c r="T83" i="2" s="1"/>
  <c r="E83" i="2"/>
  <c r="D83" i="2"/>
  <c r="B83" i="2"/>
  <c r="A83" i="2"/>
  <c r="S82" i="2"/>
  <c r="P82" i="2"/>
  <c r="O82" i="2"/>
  <c r="K82" i="2"/>
  <c r="V82" i="2" s="1"/>
  <c r="J82" i="2"/>
  <c r="H82" i="2"/>
  <c r="D82" i="2"/>
  <c r="B82" i="2"/>
  <c r="A82" i="2"/>
  <c r="S81" i="2"/>
  <c r="T81" i="2" s="1"/>
  <c r="P81" i="2"/>
  <c r="O81" i="2"/>
  <c r="K81" i="2"/>
  <c r="U81" i="2" s="1"/>
  <c r="J81" i="2"/>
  <c r="H81" i="2"/>
  <c r="E81" i="2"/>
  <c r="D81" i="2"/>
  <c r="B81" i="2"/>
  <c r="A81" i="2"/>
  <c r="S80" i="2"/>
  <c r="P80" i="2"/>
  <c r="O80" i="2"/>
  <c r="J80" i="2"/>
  <c r="K80" i="2" s="1"/>
  <c r="H80" i="2"/>
  <c r="T80" i="2" s="1"/>
  <c r="D80" i="2"/>
  <c r="B80" i="2"/>
  <c r="A80" i="2"/>
  <c r="S79" i="2"/>
  <c r="P79" i="2"/>
  <c r="O79" i="2"/>
  <c r="J79" i="2"/>
  <c r="K79" i="2" s="1"/>
  <c r="H79" i="2"/>
  <c r="T79" i="2" s="1"/>
  <c r="D79" i="2"/>
  <c r="B79" i="2"/>
  <c r="A79" i="2"/>
  <c r="U78" i="2"/>
  <c r="S78" i="2"/>
  <c r="P78" i="2"/>
  <c r="O78" i="2"/>
  <c r="K78" i="2"/>
  <c r="V78" i="2" s="1"/>
  <c r="J78" i="2"/>
  <c r="H78" i="2"/>
  <c r="E78" i="2"/>
  <c r="D78" i="2"/>
  <c r="B78" i="2"/>
  <c r="A78" i="2"/>
  <c r="S76" i="2"/>
  <c r="P76" i="2"/>
  <c r="T76" i="2" s="1"/>
  <c r="O76" i="2"/>
  <c r="K76" i="2"/>
  <c r="V76" i="2" s="1"/>
  <c r="J76" i="2"/>
  <c r="H76" i="2"/>
  <c r="E76" i="2"/>
  <c r="D76" i="2"/>
  <c r="B76" i="2"/>
  <c r="A76" i="2"/>
  <c r="S74" i="2"/>
  <c r="P74" i="2"/>
  <c r="O74" i="2"/>
  <c r="J74" i="2"/>
  <c r="K74" i="2" s="1"/>
  <c r="H74" i="2"/>
  <c r="E74" i="2"/>
  <c r="D74" i="2"/>
  <c r="B74" i="2"/>
  <c r="A74" i="2"/>
  <c r="U73" i="2"/>
  <c r="S73" i="2"/>
  <c r="P73" i="2"/>
  <c r="O73" i="2"/>
  <c r="K73" i="2"/>
  <c r="T73" i="2" s="1"/>
  <c r="J73" i="2"/>
  <c r="H73" i="2"/>
  <c r="E73" i="2"/>
  <c r="D73" i="2"/>
  <c r="B73" i="2"/>
  <c r="A73" i="2"/>
  <c r="V72" i="2"/>
  <c r="S72" i="2"/>
  <c r="P72" i="2"/>
  <c r="O72" i="2"/>
  <c r="K72" i="2"/>
  <c r="U72" i="2" s="1"/>
  <c r="J72" i="2"/>
  <c r="H72" i="2"/>
  <c r="T72" i="2" s="1"/>
  <c r="E72" i="2"/>
  <c r="D72" i="2"/>
  <c r="B72" i="2"/>
  <c r="A72" i="2"/>
  <c r="U70" i="2"/>
  <c r="S70" i="2"/>
  <c r="T70" i="2" s="1"/>
  <c r="P70" i="2"/>
  <c r="O70" i="2"/>
  <c r="K70" i="2"/>
  <c r="V70" i="2" s="1"/>
  <c r="H70" i="2"/>
  <c r="E70" i="2"/>
  <c r="D70" i="2"/>
  <c r="B70" i="2"/>
  <c r="A70" i="2"/>
  <c r="S68" i="2"/>
  <c r="P68" i="2"/>
  <c r="O68" i="2"/>
  <c r="J68" i="2"/>
  <c r="K68" i="2" s="1"/>
  <c r="H68" i="2"/>
  <c r="E68" i="2"/>
  <c r="D68" i="2"/>
  <c r="B68" i="2"/>
  <c r="A68" i="2"/>
  <c r="S67" i="2"/>
  <c r="P67" i="2"/>
  <c r="T67" i="2" s="1"/>
  <c r="O67" i="2"/>
  <c r="J67" i="2"/>
  <c r="K67" i="2" s="1"/>
  <c r="H67" i="2"/>
  <c r="E67" i="2"/>
  <c r="D67" i="2"/>
  <c r="B67" i="2"/>
  <c r="A67" i="2"/>
  <c r="S65" i="2"/>
  <c r="P65" i="2"/>
  <c r="O65" i="2"/>
  <c r="J65" i="2"/>
  <c r="K65" i="2" s="1"/>
  <c r="V65" i="2" s="1"/>
  <c r="H65" i="2"/>
  <c r="T65" i="2" s="1"/>
  <c r="E65" i="2"/>
  <c r="D65" i="2"/>
  <c r="B65" i="2"/>
  <c r="A65" i="2"/>
  <c r="V64" i="2"/>
  <c r="S64" i="2"/>
  <c r="P64" i="2"/>
  <c r="O64" i="2"/>
  <c r="K64" i="2"/>
  <c r="U64" i="2" s="1"/>
  <c r="J64" i="2"/>
  <c r="H64" i="2"/>
  <c r="T64" i="2" s="1"/>
  <c r="E64" i="2"/>
  <c r="D64" i="2"/>
  <c r="B64" i="2"/>
  <c r="A64" i="2"/>
  <c r="S63" i="2"/>
  <c r="P63" i="2"/>
  <c r="O63" i="2"/>
  <c r="J63" i="2"/>
  <c r="K63" i="2" s="1"/>
  <c r="H63" i="2"/>
  <c r="D63" i="2"/>
  <c r="B63" i="2"/>
  <c r="A63" i="2"/>
  <c r="S61" i="2"/>
  <c r="P61" i="2"/>
  <c r="O61" i="2"/>
  <c r="J61" i="2"/>
  <c r="K61" i="2" s="1"/>
  <c r="H61" i="2"/>
  <c r="T61" i="2" s="1"/>
  <c r="E61" i="2"/>
  <c r="D61" i="2"/>
  <c r="B61" i="2"/>
  <c r="A61" i="2"/>
  <c r="U60" i="2"/>
  <c r="S60" i="2"/>
  <c r="P60" i="2"/>
  <c r="O60" i="2"/>
  <c r="K60" i="2"/>
  <c r="T60" i="2" s="1"/>
  <c r="J60" i="2"/>
  <c r="H60" i="2"/>
  <c r="E60" i="2"/>
  <c r="D60" i="2"/>
  <c r="B60" i="2"/>
  <c r="A60" i="2"/>
  <c r="S59" i="2"/>
  <c r="P59" i="2"/>
  <c r="O59" i="2"/>
  <c r="J59" i="2"/>
  <c r="K59" i="2" s="1"/>
  <c r="H59" i="2"/>
  <c r="T59" i="2" s="1"/>
  <c r="D59" i="2"/>
  <c r="B59" i="2"/>
  <c r="A59" i="2"/>
  <c r="V58" i="2"/>
  <c r="U58" i="2"/>
  <c r="S58" i="2"/>
  <c r="P58" i="2"/>
  <c r="O58" i="2"/>
  <c r="K58" i="2"/>
  <c r="H58" i="2"/>
  <c r="T58" i="2" s="1"/>
  <c r="E58" i="2"/>
  <c r="D58" i="2"/>
  <c r="B58" i="2"/>
  <c r="A58" i="2"/>
  <c r="V57" i="2"/>
  <c r="U57" i="2"/>
  <c r="S57" i="2"/>
  <c r="P57" i="2"/>
  <c r="O57" i="2"/>
  <c r="K57" i="2"/>
  <c r="J57" i="2"/>
  <c r="H57" i="2"/>
  <c r="T57" i="2" s="1"/>
  <c r="E57" i="2"/>
  <c r="D57" i="2"/>
  <c r="B57" i="2"/>
  <c r="A57" i="2"/>
  <c r="S56" i="2"/>
  <c r="P56" i="2"/>
  <c r="O56" i="2"/>
  <c r="J56" i="2"/>
  <c r="K56" i="2" s="1"/>
  <c r="H56" i="2"/>
  <c r="E56" i="2"/>
  <c r="D56" i="2"/>
  <c r="B56" i="2"/>
  <c r="A56" i="2"/>
  <c r="S55" i="2"/>
  <c r="P55" i="2"/>
  <c r="O55" i="2"/>
  <c r="J55" i="2"/>
  <c r="K55" i="2" s="1"/>
  <c r="H55" i="2"/>
  <c r="T55" i="2" s="1"/>
  <c r="E55" i="2"/>
  <c r="D55" i="2"/>
  <c r="B55" i="2"/>
  <c r="A55" i="2"/>
  <c r="S54" i="2"/>
  <c r="P54" i="2"/>
  <c r="O54" i="2"/>
  <c r="K54" i="2"/>
  <c r="U54" i="2" s="1"/>
  <c r="J54" i="2"/>
  <c r="H54" i="2"/>
  <c r="E54" i="2"/>
  <c r="D54" i="2"/>
  <c r="B54" i="2"/>
  <c r="A54" i="2"/>
  <c r="V53" i="2"/>
  <c r="U53" i="2"/>
  <c r="S53" i="2"/>
  <c r="P53" i="2"/>
  <c r="O53" i="2"/>
  <c r="K53" i="2"/>
  <c r="J53" i="2"/>
  <c r="H53" i="2"/>
  <c r="T53" i="2" s="1"/>
  <c r="E53" i="2"/>
  <c r="D53" i="2"/>
  <c r="B53" i="2"/>
  <c r="A53" i="2"/>
  <c r="S52" i="2"/>
  <c r="P52" i="2"/>
  <c r="O52" i="2"/>
  <c r="J52" i="2"/>
  <c r="K52" i="2" s="1"/>
  <c r="H52" i="2"/>
  <c r="D52" i="2"/>
  <c r="B52" i="2"/>
  <c r="A52" i="2"/>
  <c r="U51" i="2"/>
  <c r="S51" i="2"/>
  <c r="P51" i="2"/>
  <c r="O51" i="2"/>
  <c r="J51" i="2"/>
  <c r="K51" i="2" s="1"/>
  <c r="H51" i="2"/>
  <c r="E51" i="2"/>
  <c r="D51" i="2"/>
  <c r="B51" i="2"/>
  <c r="A51" i="2"/>
  <c r="V50" i="2"/>
  <c r="U50" i="2"/>
  <c r="S50" i="2"/>
  <c r="P50" i="2"/>
  <c r="T50" i="2" s="1"/>
  <c r="O50" i="2"/>
  <c r="J50" i="2"/>
  <c r="K50" i="2" s="1"/>
  <c r="H50" i="2"/>
  <c r="E50" i="2"/>
  <c r="D50" i="2"/>
  <c r="B50" i="2"/>
  <c r="A50" i="2"/>
  <c r="V49" i="2"/>
  <c r="U49" i="2"/>
  <c r="S49" i="2"/>
  <c r="P49" i="2"/>
  <c r="O49" i="2"/>
  <c r="K49" i="2"/>
  <c r="H49" i="2"/>
  <c r="T49" i="2" s="1"/>
  <c r="E49" i="2"/>
  <c r="D49" i="2"/>
  <c r="B49" i="2"/>
  <c r="A49" i="2"/>
  <c r="U48" i="2"/>
  <c r="S48" i="2"/>
  <c r="P48" i="2"/>
  <c r="O48" i="2"/>
  <c r="K48" i="2"/>
  <c r="V48" i="2" s="1"/>
  <c r="H48" i="2"/>
  <c r="T48" i="2" s="1"/>
  <c r="E48" i="2"/>
  <c r="D48" i="2"/>
  <c r="B48" i="2"/>
  <c r="A48" i="2"/>
  <c r="U47" i="2"/>
  <c r="S47" i="2"/>
  <c r="P47" i="2"/>
  <c r="O47" i="2"/>
  <c r="K47" i="2"/>
  <c r="V47" i="2" s="1"/>
  <c r="J47" i="2"/>
  <c r="H47" i="2"/>
  <c r="E47" i="2"/>
  <c r="D47" i="2"/>
  <c r="B47" i="2"/>
  <c r="A47" i="2"/>
  <c r="S46" i="2"/>
  <c r="P46" i="2"/>
  <c r="O46" i="2"/>
  <c r="J46" i="2"/>
  <c r="K46" i="2" s="1"/>
  <c r="H46" i="2"/>
  <c r="D46" i="2"/>
  <c r="B46" i="2"/>
  <c r="A46" i="2"/>
  <c r="S45" i="2"/>
  <c r="P45" i="2"/>
  <c r="O45" i="2"/>
  <c r="J45" i="2"/>
  <c r="K45" i="2" s="1"/>
  <c r="H45" i="2"/>
  <c r="T45" i="2" s="1"/>
  <c r="D45" i="2"/>
  <c r="B45" i="2"/>
  <c r="A45" i="2"/>
  <c r="S44" i="2"/>
  <c r="P44" i="2"/>
  <c r="O44" i="2"/>
  <c r="J44" i="2"/>
  <c r="K44" i="2" s="1"/>
  <c r="H44" i="2"/>
  <c r="T44" i="2" s="1"/>
  <c r="E44" i="2"/>
  <c r="D44" i="2"/>
  <c r="B44" i="2"/>
  <c r="A44" i="2"/>
  <c r="U43" i="2"/>
  <c r="S43" i="2"/>
  <c r="P43" i="2"/>
  <c r="T43" i="2" s="1"/>
  <c r="O43" i="2"/>
  <c r="K43" i="2"/>
  <c r="V43" i="2" s="1"/>
  <c r="J43" i="2"/>
  <c r="H43" i="2"/>
  <c r="E43" i="2"/>
  <c r="D43" i="2"/>
  <c r="B43" i="2"/>
  <c r="A43" i="2"/>
  <c r="V42" i="2"/>
  <c r="U42" i="2"/>
  <c r="S42" i="2"/>
  <c r="P42" i="2"/>
  <c r="T42" i="2" s="1"/>
  <c r="O42" i="2"/>
  <c r="J42" i="2"/>
  <c r="K42" i="2" s="1"/>
  <c r="H42" i="2"/>
  <c r="D42" i="2"/>
  <c r="B42" i="2"/>
  <c r="A42" i="2"/>
  <c r="S40" i="2"/>
  <c r="P40" i="2"/>
  <c r="O40" i="2"/>
  <c r="J40" i="2"/>
  <c r="K40" i="2" s="1"/>
  <c r="H40" i="2"/>
  <c r="E40" i="2"/>
  <c r="D40" i="2"/>
  <c r="B40" i="2"/>
  <c r="A40" i="2"/>
  <c r="U39" i="2"/>
  <c r="S39" i="2"/>
  <c r="P39" i="2"/>
  <c r="O39" i="2"/>
  <c r="K39" i="2"/>
  <c r="T39" i="2" s="1"/>
  <c r="J39" i="2"/>
  <c r="H39" i="2"/>
  <c r="E39" i="2"/>
  <c r="D39" i="2"/>
  <c r="B39" i="2"/>
  <c r="A39" i="2"/>
  <c r="V38" i="2"/>
  <c r="S38" i="2"/>
  <c r="P38" i="2"/>
  <c r="O38" i="2"/>
  <c r="K38" i="2"/>
  <c r="U38" i="2" s="1"/>
  <c r="J38" i="2"/>
  <c r="H38" i="2"/>
  <c r="T38" i="2" s="1"/>
  <c r="E38" i="2"/>
  <c r="D38" i="2"/>
  <c r="B38" i="2"/>
  <c r="A38" i="2"/>
  <c r="S37" i="2"/>
  <c r="P37" i="2"/>
  <c r="O37" i="2"/>
  <c r="K37" i="2"/>
  <c r="V37" i="2" s="1"/>
  <c r="J37" i="2"/>
  <c r="H37" i="2"/>
  <c r="T37" i="2" s="1"/>
  <c r="E37" i="2"/>
  <c r="D37" i="2"/>
  <c r="B37" i="2"/>
  <c r="A37" i="2"/>
  <c r="S36" i="2"/>
  <c r="P36" i="2"/>
  <c r="O36" i="2"/>
  <c r="J36" i="2"/>
  <c r="K36" i="2" s="1"/>
  <c r="H36" i="2"/>
  <c r="T36" i="2" s="1"/>
  <c r="E36" i="2"/>
  <c r="D36" i="2"/>
  <c r="B36" i="2"/>
  <c r="A36" i="2"/>
  <c r="V35" i="2"/>
  <c r="S35" i="2"/>
  <c r="P35" i="2"/>
  <c r="O35" i="2"/>
  <c r="K35" i="2"/>
  <c r="U35" i="2" s="1"/>
  <c r="J35" i="2"/>
  <c r="H35" i="2"/>
  <c r="T35" i="2" s="1"/>
  <c r="D35" i="2"/>
  <c r="B35" i="2"/>
  <c r="A35" i="2"/>
  <c r="S33" i="2"/>
  <c r="P33" i="2"/>
  <c r="O33" i="2"/>
  <c r="J33" i="2"/>
  <c r="K33" i="2" s="1"/>
  <c r="V33" i="2" s="1"/>
  <c r="H33" i="2"/>
  <c r="T33" i="2" s="1"/>
  <c r="D33" i="2"/>
  <c r="B33" i="2"/>
  <c r="A33" i="2"/>
  <c r="S32" i="2"/>
  <c r="P32" i="2"/>
  <c r="O32" i="2"/>
  <c r="K32" i="2"/>
  <c r="V32" i="2" s="1"/>
  <c r="J32" i="2"/>
  <c r="H32" i="2"/>
  <c r="E32" i="2"/>
  <c r="D32" i="2"/>
  <c r="B32" i="2"/>
  <c r="A32" i="2"/>
  <c r="V31" i="2"/>
  <c r="U31" i="2"/>
  <c r="S31" i="2"/>
  <c r="P31" i="2"/>
  <c r="O31" i="2"/>
  <c r="K31" i="2"/>
  <c r="J31" i="2"/>
  <c r="H31" i="2"/>
  <c r="T31" i="2" s="1"/>
  <c r="E31" i="2"/>
  <c r="D31" i="2"/>
  <c r="B31" i="2"/>
  <c r="A31" i="2"/>
  <c r="V30" i="2"/>
  <c r="S30" i="2"/>
  <c r="P30" i="2"/>
  <c r="T30" i="2" s="1"/>
  <c r="O30" i="2"/>
  <c r="K30" i="2"/>
  <c r="U30" i="2" s="1"/>
  <c r="H30" i="2"/>
  <c r="E30" i="2"/>
  <c r="D30" i="2"/>
  <c r="B30" i="2"/>
  <c r="A30" i="2"/>
  <c r="S29" i="2"/>
  <c r="P29" i="2"/>
  <c r="O29" i="2"/>
  <c r="J29" i="2"/>
  <c r="K29" i="2" s="1"/>
  <c r="H29" i="2"/>
  <c r="D29" i="2"/>
  <c r="B29" i="2"/>
  <c r="A29" i="2"/>
  <c r="S28" i="2"/>
  <c r="P28" i="2"/>
  <c r="O28" i="2"/>
  <c r="J28" i="2"/>
  <c r="K28" i="2" s="1"/>
  <c r="H28" i="2"/>
  <c r="E28" i="2"/>
  <c r="D28" i="2"/>
  <c r="B28" i="2"/>
  <c r="A28" i="2"/>
  <c r="V27" i="2"/>
  <c r="U27" i="2"/>
  <c r="S27" i="2"/>
  <c r="P27" i="2"/>
  <c r="O27" i="2"/>
  <c r="K27" i="2"/>
  <c r="J27" i="2"/>
  <c r="H27" i="2"/>
  <c r="T27" i="2" s="1"/>
  <c r="E27" i="2"/>
  <c r="D27" i="2"/>
  <c r="B27" i="2"/>
  <c r="A27" i="2"/>
  <c r="S26" i="2"/>
  <c r="P26" i="2"/>
  <c r="O26" i="2"/>
  <c r="K26" i="2"/>
  <c r="V26" i="2" s="1"/>
  <c r="J26" i="2"/>
  <c r="H26" i="2"/>
  <c r="T26" i="2" s="1"/>
  <c r="E26" i="2"/>
  <c r="D26" i="2"/>
  <c r="B26" i="2"/>
  <c r="A26" i="2"/>
  <c r="S24" i="2"/>
  <c r="P24" i="2"/>
  <c r="O24" i="2"/>
  <c r="J24" i="2"/>
  <c r="K24" i="2" s="1"/>
  <c r="H24" i="2"/>
  <c r="E24" i="2"/>
  <c r="D24" i="2"/>
  <c r="B24" i="2"/>
  <c r="A24" i="2"/>
  <c r="S22" i="2"/>
  <c r="P22" i="2"/>
  <c r="O22" i="2"/>
  <c r="K22" i="2"/>
  <c r="V22" i="2" s="1"/>
  <c r="J22" i="2"/>
  <c r="H22" i="2"/>
  <c r="D22" i="2"/>
  <c r="B22" i="2"/>
  <c r="A22" i="2"/>
  <c r="U21" i="2"/>
  <c r="S21" i="2"/>
  <c r="P21" i="2"/>
  <c r="T21" i="2" s="1"/>
  <c r="O21" i="2"/>
  <c r="K21" i="2"/>
  <c r="V21" i="2" s="1"/>
  <c r="J21" i="2"/>
  <c r="H21" i="2"/>
  <c r="D21" i="2"/>
  <c r="B21" i="2"/>
  <c r="A21" i="2"/>
  <c r="V20" i="2"/>
  <c r="U20" i="2"/>
  <c r="S20" i="2"/>
  <c r="P20" i="2"/>
  <c r="O20" i="2"/>
  <c r="K20" i="2"/>
  <c r="J20" i="2"/>
  <c r="H20" i="2"/>
  <c r="T20" i="2" s="1"/>
  <c r="E20" i="2"/>
  <c r="D20" i="2"/>
  <c r="B20" i="2"/>
  <c r="A20" i="2"/>
  <c r="S19" i="2"/>
  <c r="P19" i="2"/>
  <c r="O19" i="2"/>
  <c r="J19" i="2"/>
  <c r="K19" i="2" s="1"/>
  <c r="H19" i="2"/>
  <c r="E19" i="2"/>
  <c r="D19" i="2"/>
  <c r="B19" i="2"/>
  <c r="A19" i="2"/>
  <c r="V18" i="2"/>
  <c r="U18" i="2"/>
  <c r="S18" i="2"/>
  <c r="P18" i="2"/>
  <c r="O18" i="2"/>
  <c r="K18" i="2"/>
  <c r="J18" i="2"/>
  <c r="H18" i="2"/>
  <c r="T18" i="2" s="1"/>
  <c r="D18" i="2"/>
  <c r="B18" i="2"/>
  <c r="A18" i="2"/>
  <c r="U17" i="2"/>
  <c r="S17" i="2"/>
  <c r="P17" i="2"/>
  <c r="O17" i="2"/>
  <c r="J17" i="2"/>
  <c r="K17" i="2" s="1"/>
  <c r="V17" i="2" s="1"/>
  <c r="H17" i="2"/>
  <c r="T17" i="2" s="1"/>
  <c r="E17" i="2"/>
  <c r="D17" i="2"/>
  <c r="B17" i="2"/>
  <c r="A17" i="2"/>
  <c r="U16" i="2"/>
  <c r="S16" i="2"/>
  <c r="P16" i="2"/>
  <c r="O16" i="2"/>
  <c r="J16" i="2"/>
  <c r="K16" i="2" s="1"/>
  <c r="H16" i="2"/>
  <c r="D16" i="2"/>
  <c r="B16" i="2"/>
  <c r="A16" i="2"/>
  <c r="U15" i="2"/>
  <c r="S15" i="2"/>
  <c r="P15" i="2"/>
  <c r="O15" i="2"/>
  <c r="J15" i="2"/>
  <c r="K15" i="2" s="1"/>
  <c r="V15" i="2" s="1"/>
  <c r="H15" i="2"/>
  <c r="E15" i="2"/>
  <c r="D15" i="2"/>
  <c r="B15" i="2"/>
  <c r="A15" i="2"/>
  <c r="U14" i="2"/>
  <c r="S14" i="2"/>
  <c r="P14" i="2"/>
  <c r="O14" i="2"/>
  <c r="K14" i="2"/>
  <c r="V14" i="2" s="1"/>
  <c r="J14" i="2"/>
  <c r="H14" i="2"/>
  <c r="E14" i="2"/>
  <c r="D14" i="2"/>
  <c r="B14" i="2"/>
  <c r="A14" i="2"/>
  <c r="V13" i="2"/>
  <c r="U13" i="2"/>
  <c r="S13" i="2"/>
  <c r="P13" i="2"/>
  <c r="O13" i="2"/>
  <c r="K13" i="2"/>
  <c r="J13" i="2"/>
  <c r="H13" i="2"/>
  <c r="T13" i="2" s="1"/>
  <c r="E13" i="2"/>
  <c r="D13" i="2"/>
  <c r="B13" i="2"/>
  <c r="A13" i="2"/>
  <c r="S12" i="2"/>
  <c r="P12" i="2"/>
  <c r="O12" i="2"/>
  <c r="J12" i="2"/>
  <c r="K12" i="2" s="1"/>
  <c r="H12" i="2"/>
  <c r="E12" i="2"/>
  <c r="D12" i="2"/>
  <c r="B12" i="2"/>
  <c r="A12" i="2"/>
  <c r="V11" i="2"/>
  <c r="U11" i="2"/>
  <c r="S11" i="2"/>
  <c r="P11" i="2"/>
  <c r="T11" i="2" s="1"/>
  <c r="O11" i="2"/>
  <c r="K11" i="2"/>
  <c r="H11" i="2"/>
  <c r="D11" i="2"/>
  <c r="B11" i="2"/>
  <c r="A11" i="2"/>
  <c r="V10" i="2"/>
  <c r="U10" i="2"/>
  <c r="S10" i="2"/>
  <c r="P10" i="2"/>
  <c r="O10" i="2"/>
  <c r="K10" i="2"/>
  <c r="J10" i="2"/>
  <c r="H10" i="2"/>
  <c r="T10" i="2" s="1"/>
  <c r="E10" i="2"/>
  <c r="D10" i="2"/>
  <c r="B10" i="2"/>
  <c r="A10" i="2"/>
  <c r="S9" i="2"/>
  <c r="P9" i="2"/>
  <c r="O9" i="2"/>
  <c r="K9" i="2"/>
  <c r="V9" i="2" s="1"/>
  <c r="J9" i="2"/>
  <c r="H9" i="2"/>
  <c r="T9" i="2" s="1"/>
  <c r="E9" i="2"/>
  <c r="D9" i="2"/>
  <c r="B9" i="2"/>
  <c r="A9" i="2"/>
  <c r="U8" i="2"/>
  <c r="S8" i="2"/>
  <c r="P8" i="2"/>
  <c r="O8" i="2"/>
  <c r="J8" i="2"/>
  <c r="K8" i="2" s="1"/>
  <c r="V8" i="2" s="1"/>
  <c r="H8" i="2"/>
  <c r="T8" i="2" s="1"/>
  <c r="E8" i="2"/>
  <c r="D8" i="2"/>
  <c r="B8" i="2"/>
  <c r="A8" i="2"/>
  <c r="S7" i="2"/>
  <c r="P7" i="2"/>
  <c r="O7" i="2"/>
  <c r="K7" i="2"/>
  <c r="V7" i="2" s="1"/>
  <c r="J7" i="2"/>
  <c r="H7" i="2"/>
  <c r="E7" i="2"/>
  <c r="D7" i="2"/>
  <c r="B7" i="2"/>
  <c r="A7" i="2"/>
  <c r="V6" i="2"/>
  <c r="U6" i="2"/>
  <c r="S6" i="2"/>
  <c r="P6" i="2"/>
  <c r="T6" i="2" s="1"/>
  <c r="O6" i="2"/>
  <c r="K6" i="2"/>
  <c r="J6" i="2"/>
  <c r="H6" i="2"/>
  <c r="E6" i="2"/>
  <c r="D6" i="2"/>
  <c r="B6" i="2"/>
  <c r="A6" i="2"/>
  <c r="S5" i="2"/>
  <c r="P5" i="2"/>
  <c r="O5" i="2"/>
  <c r="J5" i="2"/>
  <c r="K5" i="2" s="1"/>
  <c r="H5" i="2"/>
  <c r="E5" i="2"/>
  <c r="D5" i="2"/>
  <c r="B5" i="2"/>
  <c r="U4" i="2"/>
  <c r="S4" i="2"/>
  <c r="P4" i="2"/>
  <c r="O4" i="2"/>
  <c r="K4" i="2"/>
  <c r="T4" i="2" s="1"/>
  <c r="H4" i="2"/>
  <c r="E4" i="2"/>
  <c r="D4" i="2"/>
  <c r="B4" i="2"/>
  <c r="A4" i="2"/>
  <c r="V3" i="2"/>
  <c r="U3" i="2"/>
  <c r="S3" i="2"/>
  <c r="P3" i="2"/>
  <c r="O3" i="2"/>
  <c r="K3" i="2"/>
  <c r="J3" i="2"/>
  <c r="H3" i="2"/>
  <c r="T3" i="2" s="1"/>
  <c r="E3" i="2"/>
  <c r="D3" i="2"/>
  <c r="B3" i="2"/>
  <c r="A3" i="2"/>
  <c r="S2" i="2"/>
  <c r="P2" i="2"/>
  <c r="O2" i="2"/>
  <c r="K2" i="2"/>
  <c r="V2" i="2" s="1"/>
  <c r="J2" i="2"/>
  <c r="H2" i="2"/>
  <c r="T2" i="2" s="1"/>
  <c r="D2" i="2"/>
  <c r="B2" i="2"/>
  <c r="A2" i="2"/>
  <c r="V46" i="2" l="1"/>
  <c r="U46" i="2"/>
  <c r="T46" i="2"/>
  <c r="V59" i="2"/>
  <c r="U59" i="2"/>
  <c r="V80" i="2"/>
  <c r="U80" i="2"/>
  <c r="T85" i="2"/>
  <c r="V85" i="2"/>
  <c r="U85" i="2"/>
  <c r="T93" i="2"/>
  <c r="V93" i="2"/>
  <c r="U93" i="2"/>
  <c r="T124" i="2"/>
  <c r="V131" i="2"/>
  <c r="U131" i="2"/>
  <c r="V184" i="2"/>
  <c r="U184" i="2"/>
  <c r="T188" i="2"/>
  <c r="V188" i="2"/>
  <c r="U188" i="2"/>
  <c r="T40" i="2"/>
  <c r="T52" i="2"/>
  <c r="V52" i="2"/>
  <c r="U52" i="2"/>
  <c r="V102" i="2"/>
  <c r="T102" i="2"/>
  <c r="U102" i="2"/>
  <c r="V111" i="2"/>
  <c r="U111" i="2"/>
  <c r="T111" i="2"/>
  <c r="T117" i="2"/>
  <c r="V124" i="2"/>
  <c r="U124" i="2"/>
  <c r="V245" i="2"/>
  <c r="U245" i="2"/>
  <c r="T5" i="2"/>
  <c r="V5" i="2"/>
  <c r="U5" i="2"/>
  <c r="T28" i="2"/>
  <c r="V28" i="2"/>
  <c r="U28" i="2"/>
  <c r="V40" i="2"/>
  <c r="U40" i="2"/>
  <c r="T130" i="2"/>
  <c r="T171" i="2"/>
  <c r="V224" i="2"/>
  <c r="U224" i="2"/>
  <c r="T12" i="2"/>
  <c r="V12" i="2"/>
  <c r="U12" i="2"/>
  <c r="T19" i="2"/>
  <c r="V19" i="2"/>
  <c r="U19" i="2"/>
  <c r="V130" i="2"/>
  <c r="U130" i="2"/>
  <c r="T137" i="2"/>
  <c r="V137" i="2"/>
  <c r="V171" i="2"/>
  <c r="U171" i="2"/>
  <c r="U187" i="2"/>
  <c r="V187" i="2"/>
  <c r="V238" i="2"/>
  <c r="U238" i="2"/>
  <c r="V74" i="2"/>
  <c r="U74" i="2"/>
  <c r="V45" i="2"/>
  <c r="U45" i="2"/>
  <c r="T51" i="2"/>
  <c r="V51" i="2"/>
  <c r="V63" i="2"/>
  <c r="U63" i="2"/>
  <c r="V79" i="2"/>
  <c r="U79" i="2"/>
  <c r="V83" i="2"/>
  <c r="U83" i="2"/>
  <c r="V89" i="2"/>
  <c r="U89" i="2"/>
  <c r="V110" i="2"/>
  <c r="U110" i="2"/>
  <c r="T151" i="2"/>
  <c r="V158" i="2"/>
  <c r="U158" i="2"/>
  <c r="V154" i="2"/>
  <c r="U154" i="2"/>
  <c r="V233" i="2"/>
  <c r="U233" i="2"/>
  <c r="V56" i="2"/>
  <c r="U56" i="2"/>
  <c r="T56" i="2"/>
  <c r="T24" i="2"/>
  <c r="V68" i="2"/>
  <c r="U68" i="2"/>
  <c r="T68" i="2"/>
  <c r="T96" i="2"/>
  <c r="T110" i="2"/>
  <c r="V122" i="2"/>
  <c r="U122" i="2"/>
  <c r="T145" i="2"/>
  <c r="T156" i="2"/>
  <c r="V177" i="2"/>
  <c r="U177" i="2"/>
  <c r="V24" i="2"/>
  <c r="U24" i="2"/>
  <c r="V88" i="2"/>
  <c r="U88" i="2"/>
  <c r="V96" i="2"/>
  <c r="U96" i="2"/>
  <c r="V128" i="2"/>
  <c r="U128" i="2"/>
  <c r="T164" i="2"/>
  <c r="V164" i="2"/>
  <c r="U164" i="2"/>
  <c r="U198" i="2"/>
  <c r="V198" i="2"/>
  <c r="V16" i="2"/>
  <c r="T16" i="2"/>
  <c r="V44" i="2"/>
  <c r="U44" i="2"/>
  <c r="V55" i="2"/>
  <c r="U55" i="2"/>
  <c r="U61" i="2"/>
  <c r="V61" i="2"/>
  <c r="U206" i="2"/>
  <c r="V206" i="2"/>
  <c r="V221" i="2"/>
  <c r="U221" i="2"/>
  <c r="V229" i="2"/>
  <c r="U229" i="2"/>
  <c r="T29" i="2"/>
  <c r="V36" i="2"/>
  <c r="U36" i="2"/>
  <c r="V67" i="2"/>
  <c r="U67" i="2"/>
  <c r="V106" i="2"/>
  <c r="U106" i="2"/>
  <c r="V169" i="2"/>
  <c r="U169" i="2"/>
  <c r="V214" i="2"/>
  <c r="U214" i="2"/>
  <c r="T15" i="2"/>
  <c r="V29" i="2"/>
  <c r="U29" i="2"/>
  <c r="T74" i="2"/>
  <c r="T128" i="2"/>
  <c r="T147" i="2"/>
  <c r="T154" i="2"/>
  <c r="V197" i="2"/>
  <c r="U197" i="2"/>
  <c r="T229" i="2"/>
  <c r="V4" i="2"/>
  <c r="V39" i="2"/>
  <c r="V60" i="2"/>
  <c r="V73" i="2"/>
  <c r="V114" i="2"/>
  <c r="V116" i="2"/>
  <c r="V127" i="2"/>
  <c r="V148" i="2"/>
  <c r="V157" i="2"/>
  <c r="V181" i="2"/>
  <c r="V243" i="2"/>
  <c r="U243" i="2"/>
  <c r="T279" i="2"/>
  <c r="V279" i="2"/>
  <c r="U279" i="2"/>
  <c r="U296" i="2"/>
  <c r="V296" i="2"/>
  <c r="V312" i="2"/>
  <c r="U312" i="2"/>
  <c r="V324" i="2"/>
  <c r="U324" i="2"/>
  <c r="V334" i="2"/>
  <c r="U334" i="2"/>
  <c r="V446" i="2"/>
  <c r="U446" i="2"/>
  <c r="V495" i="2"/>
  <c r="U495" i="2"/>
  <c r="U508" i="2"/>
  <c r="V508" i="2"/>
  <c r="T47" i="2"/>
  <c r="T82" i="2"/>
  <c r="T223" i="2"/>
  <c r="T239" i="2"/>
  <c r="U269" i="2"/>
  <c r="V269" i="2"/>
  <c r="T285" i="2"/>
  <c r="T287" i="2"/>
  <c r="V287" i="2"/>
  <c r="T295" i="2"/>
  <c r="T303" i="2"/>
  <c r="V303" i="2"/>
  <c r="U303" i="2"/>
  <c r="V390" i="2"/>
  <c r="U390" i="2"/>
  <c r="U412" i="2"/>
  <c r="V412" i="2"/>
  <c r="V436" i="2"/>
  <c r="U436" i="2"/>
  <c r="T436" i="2"/>
  <c r="V449" i="2"/>
  <c r="U449" i="2"/>
  <c r="V458" i="2"/>
  <c r="U458" i="2"/>
  <c r="V484" i="2"/>
  <c r="U484" i="2"/>
  <c r="V513" i="2"/>
  <c r="U513" i="2"/>
  <c r="T513" i="2"/>
  <c r="V523" i="2"/>
  <c r="U523" i="2"/>
  <c r="T523" i="2"/>
  <c r="V607" i="2"/>
  <c r="U607" i="2"/>
  <c r="T142" i="2"/>
  <c r="T221" i="2"/>
  <c r="T238" i="2"/>
  <c r="T253" i="2"/>
  <c r="T254" i="2"/>
  <c r="T276" i="2"/>
  <c r="V311" i="2"/>
  <c r="U311" i="2"/>
  <c r="T338" i="2"/>
  <c r="T349" i="2"/>
  <c r="V349" i="2"/>
  <c r="U349" i="2"/>
  <c r="T372" i="2"/>
  <c r="T389" i="2"/>
  <c r="V471" i="2"/>
  <c r="U471" i="2"/>
  <c r="T507" i="2"/>
  <c r="T131" i="2"/>
  <c r="T7" i="2"/>
  <c r="T14" i="2"/>
  <c r="T22" i="2"/>
  <c r="T32" i="2"/>
  <c r="T54" i="2"/>
  <c r="U65" i="2"/>
  <c r="U76" i="2"/>
  <c r="T78" i="2"/>
  <c r="T87" i="2"/>
  <c r="T120" i="2"/>
  <c r="T143" i="2"/>
  <c r="T153" i="2"/>
  <c r="T160" i="2"/>
  <c r="T167" i="2"/>
  <c r="T168" i="2"/>
  <c r="V223" i="2"/>
  <c r="U223" i="2"/>
  <c r="U225" i="2"/>
  <c r="V239" i="2"/>
  <c r="U239" i="2"/>
  <c r="V254" i="2"/>
  <c r="U254" i="2"/>
  <c r="V295" i="2"/>
  <c r="U295" i="2"/>
  <c r="V322" i="2"/>
  <c r="U322" i="2"/>
  <c r="U338" i="2"/>
  <c r="V338" i="2"/>
  <c r="U353" i="2"/>
  <c r="V389" i="2"/>
  <c r="U389" i="2"/>
  <c r="T410" i="2"/>
  <c r="T463" i="2"/>
  <c r="V463" i="2"/>
  <c r="U463" i="2"/>
  <c r="V601" i="2"/>
  <c r="U601" i="2"/>
  <c r="U7" i="2"/>
  <c r="U22" i="2"/>
  <c r="U32" i="2"/>
  <c r="U33" i="2"/>
  <c r="V54" i="2"/>
  <c r="U87" i="2"/>
  <c r="U120" i="2"/>
  <c r="U143" i="2"/>
  <c r="U160" i="2"/>
  <c r="U167" i="2"/>
  <c r="T179" i="2"/>
  <c r="T215" i="2"/>
  <c r="T234" i="2"/>
  <c r="V237" i="2"/>
  <c r="U237" i="2"/>
  <c r="T267" i="2"/>
  <c r="V268" i="2"/>
  <c r="U268" i="2"/>
  <c r="T275" i="2"/>
  <c r="T284" i="2"/>
  <c r="T294" i="2"/>
  <c r="T301" i="2"/>
  <c r="T332" i="2"/>
  <c r="T346" i="2"/>
  <c r="V400" i="2"/>
  <c r="U400" i="2"/>
  <c r="T421" i="2"/>
  <c r="T434" i="2"/>
  <c r="T448" i="2"/>
  <c r="T455" i="2"/>
  <c r="V477" i="2"/>
  <c r="T477" i="2"/>
  <c r="T483" i="2"/>
  <c r="U500" i="2"/>
  <c r="T500" i="2"/>
  <c r="V500" i="2"/>
  <c r="T506" i="2"/>
  <c r="U512" i="2"/>
  <c r="V512" i="2"/>
  <c r="U522" i="2"/>
  <c r="V522" i="2"/>
  <c r="T224" i="2"/>
  <c r="V288" i="2"/>
  <c r="U288" i="2"/>
  <c r="T288" i="2"/>
  <c r="T177" i="2"/>
  <c r="T187" i="2"/>
  <c r="T198" i="2"/>
  <c r="T214" i="2"/>
  <c r="T233" i="2"/>
  <c r="U240" i="2"/>
  <c r="T246" i="2"/>
  <c r="T263" i="2"/>
  <c r="T293" i="2"/>
  <c r="V301" i="2"/>
  <c r="U301" i="2"/>
  <c r="T337" i="2"/>
  <c r="T388" i="2"/>
  <c r="V434" i="2"/>
  <c r="U434" i="2"/>
  <c r="V443" i="2"/>
  <c r="U443" i="2"/>
  <c r="U448" i="2"/>
  <c r="V448" i="2"/>
  <c r="V470" i="2"/>
  <c r="U470" i="2"/>
  <c r="T470" i="2"/>
  <c r="T482" i="2"/>
  <c r="U483" i="2"/>
  <c r="V483" i="2"/>
  <c r="T488" i="2"/>
  <c r="V488" i="2"/>
  <c r="U488" i="2"/>
  <c r="V531" i="2"/>
  <c r="U531" i="2"/>
  <c r="T63" i="2"/>
  <c r="T106" i="2"/>
  <c r="T197" i="2"/>
  <c r="T206" i="2"/>
  <c r="V215" i="2"/>
  <c r="U215" i="2"/>
  <c r="T245" i="2"/>
  <c r="V267" i="2"/>
  <c r="U267" i="2"/>
  <c r="T283" i="2"/>
  <c r="U337" i="2"/>
  <c r="V337" i="2"/>
  <c r="T356" i="2"/>
  <c r="T362" i="2"/>
  <c r="T469" i="2"/>
  <c r="T474" i="2"/>
  <c r="T499" i="2"/>
  <c r="V506" i="2"/>
  <c r="U506" i="2"/>
  <c r="U82" i="2"/>
  <c r="U132" i="2"/>
  <c r="T140" i="2"/>
  <c r="U155" i="2"/>
  <c r="U173" i="2"/>
  <c r="T186" i="2"/>
  <c r="T205" i="2"/>
  <c r="T212" i="2"/>
  <c r="T218" i="2"/>
  <c r="T300" i="2"/>
  <c r="T322" i="2"/>
  <c r="U474" i="2"/>
  <c r="V474" i="2"/>
  <c r="V499" i="2"/>
  <c r="U499" i="2"/>
  <c r="T505" i="2"/>
  <c r="U2" i="2"/>
  <c r="U9" i="2"/>
  <c r="U26" i="2"/>
  <c r="U37" i="2"/>
  <c r="V81" i="2"/>
  <c r="U100" i="2"/>
  <c r="U112" i="2"/>
  <c r="V123" i="2"/>
  <c r="U134" i="2"/>
  <c r="U146" i="2"/>
  <c r="T196" i="2"/>
  <c r="U218" i="2"/>
  <c r="T230" i="2"/>
  <c r="T244" i="2"/>
  <c r="V271" i="2"/>
  <c r="T271" i="2"/>
  <c r="T313" i="2"/>
  <c r="T325" i="2"/>
  <c r="T336" i="2"/>
  <c r="V344" i="2"/>
  <c r="U344" i="2"/>
  <c r="U368" i="2"/>
  <c r="V368" i="2"/>
  <c r="T413" i="2"/>
  <c r="T426" i="2"/>
  <c r="T447" i="2"/>
  <c r="T451" i="2"/>
  <c r="T459" i="2"/>
  <c r="T481" i="2"/>
  <c r="U487" i="2"/>
  <c r="V487" i="2"/>
  <c r="V505" i="2"/>
  <c r="U505" i="2"/>
  <c r="V186" i="2"/>
  <c r="U186" i="2"/>
  <c r="V204" i="2"/>
  <c r="U204" i="2"/>
  <c r="V205" i="2"/>
  <c r="U205" i="2"/>
  <c r="V212" i="2"/>
  <c r="U212" i="2"/>
  <c r="V232" i="2"/>
  <c r="U232" i="2"/>
  <c r="T260" i="2"/>
  <c r="V313" i="2"/>
  <c r="U313" i="2"/>
  <c r="U319" i="2"/>
  <c r="V319" i="2"/>
  <c r="V325" i="2"/>
  <c r="U325" i="2"/>
  <c r="T343" i="2"/>
  <c r="T366" i="2"/>
  <c r="T392" i="2"/>
  <c r="V413" i="2"/>
  <c r="U413" i="2"/>
  <c r="V447" i="2"/>
  <c r="U447" i="2"/>
  <c r="U451" i="2"/>
  <c r="V451" i="2"/>
  <c r="V459" i="2"/>
  <c r="U459" i="2"/>
  <c r="T468" i="2"/>
  <c r="T473" i="2"/>
  <c r="V481" i="2"/>
  <c r="U481" i="2"/>
  <c r="T509" i="2"/>
  <c r="V509" i="2"/>
  <c r="U509" i="2"/>
  <c r="T88" i="2"/>
  <c r="T169" i="2"/>
  <c r="T170" i="2"/>
  <c r="T176" i="2"/>
  <c r="V185" i="2"/>
  <c r="U185" i="2"/>
  <c r="V196" i="2"/>
  <c r="U196" i="2"/>
  <c r="V211" i="2"/>
  <c r="U211" i="2"/>
  <c r="T225" i="2"/>
  <c r="V230" i="2"/>
  <c r="U230" i="2"/>
  <c r="V244" i="2"/>
  <c r="U244" i="2"/>
  <c r="T270" i="2"/>
  <c r="V270" i="2"/>
  <c r="V299" i="2"/>
  <c r="U299" i="2"/>
  <c r="V305" i="2"/>
  <c r="U305" i="2"/>
  <c r="T305" i="2"/>
  <c r="T324" i="2"/>
  <c r="V366" i="2"/>
  <c r="U366" i="2"/>
  <c r="V392" i="2"/>
  <c r="U392" i="2"/>
  <c r="T446" i="2"/>
  <c r="V468" i="2"/>
  <c r="U468" i="2"/>
  <c r="V504" i="2"/>
  <c r="U504" i="2"/>
  <c r="T495" i="2"/>
  <c r="V534" i="2"/>
  <c r="U534" i="2"/>
  <c r="T548" i="2"/>
  <c r="T574" i="2"/>
  <c r="U611" i="2"/>
  <c r="T611" i="2"/>
  <c r="T681" i="2"/>
  <c r="T716" i="2"/>
  <c r="V737" i="2"/>
  <c r="U737" i="2"/>
  <c r="V805" i="2"/>
  <c r="U805" i="2"/>
  <c r="T344" i="2"/>
  <c r="T458" i="2"/>
  <c r="V574" i="2"/>
  <c r="U574" i="2"/>
  <c r="T582" i="2"/>
  <c r="T596" i="2"/>
  <c r="T604" i="2"/>
  <c r="V620" i="2"/>
  <c r="U620" i="2"/>
  <c r="V633" i="2"/>
  <c r="U633" i="2"/>
  <c r="T633" i="2"/>
  <c r="V675" i="2"/>
  <c r="T675" i="2"/>
  <c r="V681" i="2"/>
  <c r="U681" i="2"/>
  <c r="V728" i="2"/>
  <c r="U728" i="2"/>
  <c r="T312" i="2"/>
  <c r="T390" i="2"/>
  <c r="T425" i="2"/>
  <c r="T542" i="2"/>
  <c r="U554" i="2"/>
  <c r="T554" i="2"/>
  <c r="T563" i="2"/>
  <c r="V595" i="2"/>
  <c r="U595" i="2"/>
  <c r="V603" i="2"/>
  <c r="U603" i="2"/>
  <c r="T607" i="2"/>
  <c r="T618" i="2"/>
  <c r="V626" i="2"/>
  <c r="U626" i="2"/>
  <c r="T630" i="2"/>
  <c r="T660" i="2"/>
  <c r="U703" i="2"/>
  <c r="T703" i="2"/>
  <c r="V716" i="2"/>
  <c r="U716" i="2"/>
  <c r="T727" i="2"/>
  <c r="V868" i="2"/>
  <c r="U868" i="2"/>
  <c r="T531" i="2"/>
  <c r="V542" i="2"/>
  <c r="U542" i="2"/>
  <c r="T547" i="2"/>
  <c r="T601" i="2"/>
  <c r="U604" i="2"/>
  <c r="V618" i="2"/>
  <c r="U618" i="2"/>
  <c r="V630" i="2"/>
  <c r="U630" i="2"/>
  <c r="V646" i="2"/>
  <c r="U646" i="2"/>
  <c r="U695" i="2"/>
  <c r="T695" i="2"/>
  <c r="V720" i="2"/>
  <c r="U720" i="2"/>
  <c r="V727" i="2"/>
  <c r="U727" i="2"/>
  <c r="V755" i="2"/>
  <c r="U755" i="2"/>
  <c r="U354" i="2"/>
  <c r="T368" i="2"/>
  <c r="U384" i="2"/>
  <c r="U386" i="2"/>
  <c r="U398" i="2"/>
  <c r="U408" i="2"/>
  <c r="T550" i="2"/>
  <c r="T572" i="2"/>
  <c r="V573" i="2"/>
  <c r="U573" i="2"/>
  <c r="V581" i="2"/>
  <c r="U581" i="2"/>
  <c r="T588" i="2"/>
  <c r="V592" i="2"/>
  <c r="U592" i="2"/>
  <c r="T595" i="2"/>
  <c r="T603" i="2"/>
  <c r="V625" i="2"/>
  <c r="U625" i="2"/>
  <c r="T637" i="2"/>
  <c r="V638" i="2"/>
  <c r="U638" i="2"/>
  <c r="T669" i="2"/>
  <c r="T679" i="2"/>
  <c r="V680" i="2"/>
  <c r="U680" i="2"/>
  <c r="T709" i="2"/>
  <c r="T726" i="2"/>
  <c r="V734" i="2"/>
  <c r="U734" i="2"/>
  <c r="T736" i="2"/>
  <c r="V788" i="2"/>
  <c r="U788" i="2"/>
  <c r="T788" i="2"/>
  <c r="T955" i="2"/>
  <c r="V955" i="2"/>
  <c r="U955" i="2"/>
  <c r="V975" i="2"/>
  <c r="U975" i="2"/>
  <c r="U260" i="2"/>
  <c r="U283" i="2"/>
  <c r="U310" i="2"/>
  <c r="U332" i="2"/>
  <c r="U333" i="2"/>
  <c r="U342" i="2"/>
  <c r="U455" i="2"/>
  <c r="U480" i="2"/>
  <c r="U493" i="2"/>
  <c r="T516" i="2"/>
  <c r="T529" i="2"/>
  <c r="U532" i="2"/>
  <c r="T539" i="2"/>
  <c r="V540" i="2"/>
  <c r="U540" i="2"/>
  <c r="V554" i="2"/>
  <c r="V587" i="2"/>
  <c r="U587" i="2"/>
  <c r="V617" i="2"/>
  <c r="U617" i="2"/>
  <c r="V670" i="2"/>
  <c r="U670" i="2"/>
  <c r="U686" i="2"/>
  <c r="T686" i="2"/>
  <c r="V703" i="2"/>
  <c r="T720" i="2"/>
  <c r="V726" i="2"/>
  <c r="U726" i="2"/>
  <c r="V739" i="2"/>
  <c r="U739" i="2"/>
  <c r="V754" i="2"/>
  <c r="U754" i="2"/>
  <c r="V821" i="2"/>
  <c r="U821" i="2"/>
  <c r="V926" i="2"/>
  <c r="U926" i="2"/>
  <c r="V940" i="2"/>
  <c r="U940" i="2"/>
  <c r="U284" i="2"/>
  <c r="U300" i="2"/>
  <c r="U323" i="2"/>
  <c r="T329" i="2"/>
  <c r="U356" i="2"/>
  <c r="U357" i="2"/>
  <c r="U362" i="2"/>
  <c r="U388" i="2"/>
  <c r="U409" i="2"/>
  <c r="U410" i="2"/>
  <c r="U422" i="2"/>
  <c r="U445" i="2"/>
  <c r="U469" i="2"/>
  <c r="T512" i="2"/>
  <c r="T522" i="2"/>
  <c r="T525" i="2"/>
  <c r="T549" i="2"/>
  <c r="T559" i="2"/>
  <c r="U563" i="2"/>
  <c r="U588" i="2"/>
  <c r="T598" i="2"/>
  <c r="T615" i="2"/>
  <c r="U643" i="2"/>
  <c r="T643" i="2"/>
  <c r="V695" i="2"/>
  <c r="T700" i="2"/>
  <c r="T706" i="2"/>
  <c r="U358" i="2"/>
  <c r="U365" i="2"/>
  <c r="T406" i="2"/>
  <c r="U497" i="2"/>
  <c r="V539" i="2"/>
  <c r="U539" i="2"/>
  <c r="V559" i="2"/>
  <c r="U559" i="2"/>
  <c r="T605" i="2"/>
  <c r="V658" i="2"/>
  <c r="U658" i="2"/>
  <c r="T678" i="2"/>
  <c r="T691" i="2"/>
  <c r="V700" i="2"/>
  <c r="U700" i="2"/>
  <c r="V718" i="2"/>
  <c r="U718" i="2"/>
  <c r="V769" i="2"/>
  <c r="U769" i="2"/>
  <c r="T514" i="2"/>
  <c r="T535" i="2"/>
  <c r="T558" i="2"/>
  <c r="T567" i="2"/>
  <c r="U570" i="2"/>
  <c r="T570" i="2"/>
  <c r="T583" i="2"/>
  <c r="T590" i="2"/>
  <c r="V605" i="2"/>
  <c r="U605" i="2"/>
  <c r="V650" i="2"/>
  <c r="U650" i="2"/>
  <c r="T650" i="2"/>
  <c r="U666" i="2"/>
  <c r="T666" i="2"/>
  <c r="V691" i="2"/>
  <c r="U691" i="2"/>
  <c r="U738" i="2"/>
  <c r="V738" i="2"/>
  <c r="T742" i="2"/>
  <c r="V753" i="2"/>
  <c r="U753" i="2"/>
  <c r="T753" i="2"/>
  <c r="U775" i="2"/>
  <c r="V775" i="2"/>
  <c r="V812" i="2"/>
  <c r="U812" i="2"/>
  <c r="T321" i="2"/>
  <c r="T353" i="2"/>
  <c r="T433" i="2"/>
  <c r="T466" i="2"/>
  <c r="V514" i="2"/>
  <c r="U514" i="2"/>
  <c r="V520" i="2"/>
  <c r="U520" i="2"/>
  <c r="V583" i="2"/>
  <c r="U583" i="2"/>
  <c r="V590" i="2"/>
  <c r="U590" i="2"/>
  <c r="V621" i="2"/>
  <c r="U621" i="2"/>
  <c r="T662" i="2"/>
  <c r="T698" i="2"/>
  <c r="T705" i="2"/>
  <c r="V711" i="2"/>
  <c r="U711" i="2"/>
  <c r="V717" i="2"/>
  <c r="U717" i="2"/>
  <c r="T761" i="2"/>
  <c r="V774" i="2"/>
  <c r="T774" i="2"/>
  <c r="T398" i="2"/>
  <c r="U536" i="2"/>
  <c r="T536" i="2"/>
  <c r="V642" i="2"/>
  <c r="U642" i="2"/>
  <c r="T642" i="2"/>
  <c r="T655" i="2"/>
  <c r="T661" i="2"/>
  <c r="T689" i="2"/>
  <c r="T737" i="2"/>
  <c r="V742" i="2"/>
  <c r="U742" i="2"/>
  <c r="T545" i="2"/>
  <c r="T610" i="2"/>
  <c r="T640" i="2"/>
  <c r="T648" i="2"/>
  <c r="T665" i="2"/>
  <c r="T702" i="2"/>
  <c r="T710" i="2"/>
  <c r="U719" i="2"/>
  <c r="V731" i="2"/>
  <c r="V745" i="2"/>
  <c r="T750" i="2"/>
  <c r="T752" i="2"/>
  <c r="T766" i="2"/>
  <c r="V777" i="2"/>
  <c r="U777" i="2"/>
  <c r="V799" i="2"/>
  <c r="U799" i="2"/>
  <c r="T799" i="2"/>
  <c r="V807" i="2"/>
  <c r="U807" i="2"/>
  <c r="U810" i="2"/>
  <c r="V896" i="2"/>
  <c r="U896" i="2"/>
  <c r="T933" i="2"/>
  <c r="T941" i="2"/>
  <c r="V942" i="2"/>
  <c r="U942" i="2"/>
  <c r="T951" i="2"/>
  <c r="T789" i="2"/>
  <c r="V790" i="2"/>
  <c r="U790" i="2"/>
  <c r="T790" i="2"/>
  <c r="V798" i="2"/>
  <c r="U798" i="2"/>
  <c r="T833" i="2"/>
  <c r="V834" i="2"/>
  <c r="U834" i="2"/>
  <c r="T834" i="2"/>
  <c r="T841" i="2"/>
  <c r="V869" i="2"/>
  <c r="U869" i="2"/>
  <c r="T895" i="2"/>
  <c r="V917" i="2"/>
  <c r="U917" i="2"/>
  <c r="U933" i="2"/>
  <c r="V933" i="2"/>
  <c r="V951" i="2"/>
  <c r="U951" i="2"/>
  <c r="V976" i="2"/>
  <c r="U976" i="2"/>
  <c r="V982" i="2"/>
  <c r="U982" i="2"/>
  <c r="V989" i="2"/>
  <c r="U989" i="2"/>
  <c r="V1081" i="2"/>
  <c r="U1081" i="2"/>
  <c r="T728" i="2"/>
  <c r="V762" i="2"/>
  <c r="U762" i="2"/>
  <c r="T775" i="2"/>
  <c r="V789" i="2"/>
  <c r="U789" i="2"/>
  <c r="T805" i="2"/>
  <c r="V823" i="2"/>
  <c r="U823" i="2"/>
  <c r="T823" i="2"/>
  <c r="V841" i="2"/>
  <c r="U841" i="2"/>
  <c r="V862" i="2"/>
  <c r="U862" i="2"/>
  <c r="V878" i="2"/>
  <c r="U878" i="2"/>
  <c r="T878" i="2"/>
  <c r="V895" i="2"/>
  <c r="U895" i="2"/>
  <c r="V913" i="2"/>
  <c r="U913" i="2"/>
  <c r="T786" i="2"/>
  <c r="V797" i="2"/>
  <c r="U797" i="2"/>
  <c r="T812" i="2"/>
  <c r="V813" i="2"/>
  <c r="U813" i="2"/>
  <c r="T813" i="2"/>
  <c r="T821" i="2"/>
  <c r="V844" i="2"/>
  <c r="U844" i="2"/>
  <c r="V853" i="2"/>
  <c r="T853" i="2"/>
  <c r="U860" i="2"/>
  <c r="V860" i="2"/>
  <c r="T926" i="2"/>
  <c r="T940" i="2"/>
  <c r="T957" i="2"/>
  <c r="T975" i="2"/>
  <c r="U538" i="2"/>
  <c r="U571" i="2"/>
  <c r="U589" i="2"/>
  <c r="U613" i="2"/>
  <c r="U636" i="2"/>
  <c r="U644" i="2"/>
  <c r="U667" i="2"/>
  <c r="U687" i="2"/>
  <c r="U696" i="2"/>
  <c r="U704" i="2"/>
  <c r="U714" i="2"/>
  <c r="U725" i="2"/>
  <c r="V763" i="2"/>
  <c r="T783" i="2"/>
  <c r="T818" i="2"/>
  <c r="T862" i="2"/>
  <c r="T894" i="2"/>
  <c r="V898" i="2"/>
  <c r="U898" i="2"/>
  <c r="T929" i="2"/>
  <c r="V961" i="2"/>
  <c r="U961" i="2"/>
  <c r="U967" i="2"/>
  <c r="V967" i="2"/>
  <c r="U652" i="2"/>
  <c r="U678" i="2"/>
  <c r="U705" i="2"/>
  <c r="T719" i="2"/>
  <c r="V743" i="2"/>
  <c r="U743" i="2"/>
  <c r="V760" i="2"/>
  <c r="T771" i="2"/>
  <c r="U776" i="2"/>
  <c r="T802" i="2"/>
  <c r="V811" i="2"/>
  <c r="U811" i="2"/>
  <c r="V820" i="2"/>
  <c r="U820" i="2"/>
  <c r="V836" i="2"/>
  <c r="T836" i="2"/>
  <c r="V843" i="2"/>
  <c r="U843" i="2"/>
  <c r="T857" i="2"/>
  <c r="V858" i="2"/>
  <c r="U858" i="2"/>
  <c r="T858" i="2"/>
  <c r="T883" i="2"/>
  <c r="V894" i="2"/>
  <c r="U894" i="2"/>
  <c r="T906" i="2"/>
  <c r="V929" i="2"/>
  <c r="U929" i="2"/>
  <c r="V947" i="2"/>
  <c r="U947" i="2"/>
  <c r="V954" i="2"/>
  <c r="U954" i="2"/>
  <c r="T966" i="2"/>
  <c r="U566" i="2"/>
  <c r="U572" i="2"/>
  <c r="U582" i="2"/>
  <c r="U598" i="2"/>
  <c r="U606" i="2"/>
  <c r="U637" i="2"/>
  <c r="U645" i="2"/>
  <c r="U679" i="2"/>
  <c r="U715" i="2"/>
  <c r="U740" i="2"/>
  <c r="U761" i="2"/>
  <c r="T770" i="2"/>
  <c r="V795" i="2"/>
  <c r="U795" i="2"/>
  <c r="T797" i="2"/>
  <c r="T810" i="2"/>
  <c r="T866" i="2"/>
  <c r="V876" i="2"/>
  <c r="U876" i="2"/>
  <c r="V915" i="2"/>
  <c r="U915" i="2"/>
  <c r="U1127" i="2"/>
  <c r="V1127" i="2"/>
  <c r="T1127" i="2"/>
  <c r="V1135" i="2"/>
  <c r="U1135" i="2"/>
  <c r="U628" i="2"/>
  <c r="U629" i="2"/>
  <c r="U741" i="2"/>
  <c r="T755" i="2"/>
  <c r="T769" i="2"/>
  <c r="V866" i="2"/>
  <c r="U866" i="2"/>
  <c r="V937" i="2"/>
  <c r="U937" i="2"/>
  <c r="V973" i="2"/>
  <c r="U973" i="2"/>
  <c r="T973" i="2"/>
  <c r="T977" i="2"/>
  <c r="T754" i="2"/>
  <c r="T765" i="2"/>
  <c r="T779" i="2"/>
  <c r="V781" i="2"/>
  <c r="U781" i="2"/>
  <c r="T781" i="2"/>
  <c r="T842" i="2"/>
  <c r="V847" i="2"/>
  <c r="U847" i="2"/>
  <c r="T847" i="2"/>
  <c r="V897" i="2"/>
  <c r="U897" i="2"/>
  <c r="T914" i="2"/>
  <c r="T918" i="2"/>
  <c r="U928" i="2"/>
  <c r="V928" i="2"/>
  <c r="U943" i="2"/>
  <c r="V943" i="2"/>
  <c r="V952" i="2"/>
  <c r="U952" i="2"/>
  <c r="V1101" i="2"/>
  <c r="U1101" i="2"/>
  <c r="V744" i="2"/>
  <c r="T764" i="2"/>
  <c r="V779" i="2"/>
  <c r="U779" i="2"/>
  <c r="V809" i="2"/>
  <c r="U809" i="2"/>
  <c r="V825" i="2"/>
  <c r="U825" i="2"/>
  <c r="T825" i="2"/>
  <c r="V835" i="2"/>
  <c r="U835" i="2"/>
  <c r="U842" i="2"/>
  <c r="V842" i="2"/>
  <c r="T896" i="2"/>
  <c r="U918" i="2"/>
  <c r="V918" i="2"/>
  <c r="U958" i="2"/>
  <c r="V958" i="2"/>
  <c r="T965" i="2"/>
  <c r="V972" i="2"/>
  <c r="T972" i="2"/>
  <c r="V977" i="2"/>
  <c r="U977" i="2"/>
  <c r="V990" i="2"/>
  <c r="U990" i="2"/>
  <c r="T738" i="2"/>
  <c r="T807" i="2"/>
  <c r="T814" i="2"/>
  <c r="V856" i="2"/>
  <c r="U856" i="2"/>
  <c r="T882" i="2"/>
  <c r="T904" i="2"/>
  <c r="T927" i="2"/>
  <c r="T937" i="2"/>
  <c r="V965" i="2"/>
  <c r="U965" i="2"/>
  <c r="V1021" i="2"/>
  <c r="U1021" i="2"/>
  <c r="T928" i="2"/>
  <c r="T968" i="2"/>
  <c r="T990" i="2"/>
  <c r="T1014" i="2"/>
  <c r="T1022" i="2"/>
  <c r="T1036" i="2"/>
  <c r="V1070" i="2"/>
  <c r="U1070" i="2"/>
  <c r="V1077" i="2"/>
  <c r="U1077" i="2"/>
  <c r="T1077" i="2"/>
  <c r="T967" i="2"/>
  <c r="T989" i="2"/>
  <c r="V1022" i="2"/>
  <c r="U1022" i="2"/>
  <c r="V1028" i="2"/>
  <c r="U1028" i="2"/>
  <c r="V1036" i="2"/>
  <c r="U1036" i="2"/>
  <c r="V1075" i="2"/>
  <c r="U1075" i="2"/>
  <c r="V1252" i="2"/>
  <c r="U1252" i="2"/>
  <c r="U850" i="2"/>
  <c r="U851" i="2"/>
  <c r="T868" i="2"/>
  <c r="T983" i="2"/>
  <c r="T1021" i="2"/>
  <c r="V1042" i="2"/>
  <c r="U1042" i="2"/>
  <c r="V1109" i="2"/>
  <c r="U1109" i="2"/>
  <c r="T835" i="2"/>
  <c r="V881" i="2"/>
  <c r="T897" i="2"/>
  <c r="T942" i="2"/>
  <c r="T976" i="2"/>
  <c r="T982" i="2"/>
  <c r="V1051" i="2"/>
  <c r="U1051" i="2"/>
  <c r="V1062" i="2"/>
  <c r="U1062" i="2"/>
  <c r="V1067" i="2"/>
  <c r="U1067" i="2"/>
  <c r="T1081" i="2"/>
  <c r="V1083" i="2"/>
  <c r="U1083" i="2"/>
  <c r="V1092" i="2"/>
  <c r="U1092" i="2"/>
  <c r="T1159" i="2"/>
  <c r="U831" i="2"/>
  <c r="U840" i="2"/>
  <c r="U854" i="2"/>
  <c r="U865" i="2"/>
  <c r="U874" i="2"/>
  <c r="U912" i="2"/>
  <c r="T921" i="2"/>
  <c r="U939" i="2"/>
  <c r="U964" i="2"/>
  <c r="V1008" i="2"/>
  <c r="U1008" i="2"/>
  <c r="V1026" i="2"/>
  <c r="U1026" i="2"/>
  <c r="T1027" i="2"/>
  <c r="T1028" i="2"/>
  <c r="V1035" i="2"/>
  <c r="U1035" i="2"/>
  <c r="V1057" i="2"/>
  <c r="U1057" i="2"/>
  <c r="T1083" i="2"/>
  <c r="T1092" i="2"/>
  <c r="T1098" i="2"/>
  <c r="V1113" i="2"/>
  <c r="U1113" i="2"/>
  <c r="T1122" i="2"/>
  <c r="T1157" i="2"/>
  <c r="U884" i="2"/>
  <c r="T936" i="2"/>
  <c r="T959" i="2"/>
  <c r="T1013" i="2"/>
  <c r="T1016" i="2"/>
  <c r="V1019" i="2"/>
  <c r="U1019" i="2"/>
  <c r="T1042" i="2"/>
  <c r="V1073" i="2"/>
  <c r="U1073" i="2"/>
  <c r="V1098" i="2"/>
  <c r="U1098" i="2"/>
  <c r="T1101" i="2"/>
  <c r="T1115" i="2"/>
  <c r="V1122" i="2"/>
  <c r="U1122" i="2"/>
  <c r="T958" i="2"/>
  <c r="V984" i="2"/>
  <c r="U987" i="2"/>
  <c r="V1006" i="2"/>
  <c r="U1006" i="2"/>
  <c r="V1034" i="2"/>
  <c r="U1034" i="2"/>
  <c r="T1044" i="2"/>
  <c r="V1045" i="2"/>
  <c r="U1045" i="2"/>
  <c r="T1051" i="2"/>
  <c r="T1056" i="2"/>
  <c r="T1062" i="2"/>
  <c r="T1079" i="2"/>
  <c r="V1080" i="2"/>
  <c r="U1080" i="2"/>
  <c r="T1086" i="2"/>
  <c r="V1106" i="2"/>
  <c r="U1106" i="2"/>
  <c r="T1112" i="2"/>
  <c r="T1147" i="2"/>
  <c r="T1156" i="2"/>
  <c r="U806" i="2"/>
  <c r="U845" i="2"/>
  <c r="T851" i="2"/>
  <c r="U867" i="2"/>
  <c r="U885" i="2"/>
  <c r="U916" i="2"/>
  <c r="V920" i="2"/>
  <c r="U920" i="2"/>
  <c r="V935" i="2"/>
  <c r="U935" i="2"/>
  <c r="U980" i="2"/>
  <c r="T1005" i="2"/>
  <c r="V1016" i="2"/>
  <c r="U1016" i="2"/>
  <c r="V1044" i="2"/>
  <c r="U1044" i="2"/>
  <c r="T1065" i="2"/>
  <c r="V1072" i="2"/>
  <c r="U1072" i="2"/>
  <c r="T1096" i="2"/>
  <c r="V1112" i="2"/>
  <c r="U1112" i="2"/>
  <c r="V1132" i="2"/>
  <c r="U1132" i="2"/>
  <c r="T1132" i="2"/>
  <c r="T1154" i="2"/>
  <c r="V1243" i="2"/>
  <c r="U1243" i="2"/>
  <c r="T998" i="2"/>
  <c r="T999" i="2"/>
  <c r="T1030" i="2"/>
  <c r="T1055" i="2"/>
  <c r="V1056" i="2"/>
  <c r="U1056" i="2"/>
  <c r="V1065" i="2"/>
  <c r="U1065" i="2"/>
  <c r="V1096" i="2"/>
  <c r="U1096" i="2"/>
  <c r="T1111" i="2"/>
  <c r="T1144" i="2"/>
  <c r="T1146" i="2"/>
  <c r="T950" i="2"/>
  <c r="T992" i="2"/>
  <c r="V1005" i="2"/>
  <c r="U1005" i="2"/>
  <c r="V1015" i="2"/>
  <c r="U1015" i="2"/>
  <c r="V1023" i="2"/>
  <c r="U1023" i="2"/>
  <c r="T1029" i="2"/>
  <c r="V1037" i="2"/>
  <c r="U1037" i="2"/>
  <c r="V1043" i="2"/>
  <c r="U1043" i="2"/>
  <c r="V1055" i="2"/>
  <c r="U1055" i="2"/>
  <c r="V1085" i="2"/>
  <c r="U1085" i="2"/>
  <c r="T1095" i="2"/>
  <c r="V1105" i="2"/>
  <c r="U1105" i="2"/>
  <c r="T1119" i="2"/>
  <c r="V1121" i="2"/>
  <c r="U1121" i="2"/>
  <c r="T843" i="2"/>
  <c r="T875" i="2"/>
  <c r="T913" i="2"/>
  <c r="V1030" i="2"/>
  <c r="U1030" i="2"/>
  <c r="T1033" i="2"/>
  <c r="T1103" i="2"/>
  <c r="T1130" i="2"/>
  <c r="V1241" i="2"/>
  <c r="U1241" i="2"/>
  <c r="V1246" i="2"/>
  <c r="U1246" i="2"/>
  <c r="T1256" i="2"/>
  <c r="T1210" i="2"/>
  <c r="V1232" i="2"/>
  <c r="U1232" i="2"/>
  <c r="V1235" i="2"/>
  <c r="U1235" i="2"/>
  <c r="V1245" i="2"/>
  <c r="U1245" i="2"/>
  <c r="T1282" i="2"/>
  <c r="T1373" i="2"/>
  <c r="T1205" i="2"/>
  <c r="T1227" i="2"/>
  <c r="T1276" i="2"/>
  <c r="T1277" i="2"/>
  <c r="T1377" i="2"/>
  <c r="T1186" i="2"/>
  <c r="T1208" i="2"/>
  <c r="T1252" i="2"/>
  <c r="V1253" i="2"/>
  <c r="U1253" i="2"/>
  <c r="T1262" i="2"/>
  <c r="T1270" i="2"/>
  <c r="T1352" i="2"/>
  <c r="T1362" i="2"/>
  <c r="U1053" i="2"/>
  <c r="U1118" i="2"/>
  <c r="T1224" i="2"/>
  <c r="V1251" i="2"/>
  <c r="U1251" i="2"/>
  <c r="V1262" i="2"/>
  <c r="T1274" i="2"/>
  <c r="T1340" i="2"/>
  <c r="U1095" i="2"/>
  <c r="U1103" i="2"/>
  <c r="U1111" i="2"/>
  <c r="U1130" i="2"/>
  <c r="T1190" i="2"/>
  <c r="U1231" i="2"/>
  <c r="T1240" i="2"/>
  <c r="U1244" i="2"/>
  <c r="T1258" i="2"/>
  <c r="V1259" i="2"/>
  <c r="U1259" i="2"/>
  <c r="T1261" i="2"/>
  <c r="T1265" i="2"/>
  <c r="T1268" i="2"/>
  <c r="T1317" i="2"/>
  <c r="T1357" i="2"/>
  <c r="T1361" i="2"/>
  <c r="U1119" i="2"/>
  <c r="T1135" i="2"/>
  <c r="T1230" i="2"/>
  <c r="V1240" i="2"/>
  <c r="U1240" i="2"/>
  <c r="T1243" i="2"/>
  <c r="V1258" i="2"/>
  <c r="U1258" i="2"/>
  <c r="U1261" i="2"/>
  <c r="T1328" i="2"/>
  <c r="T1347" i="2"/>
  <c r="T1355" i="2"/>
  <c r="T1365" i="2"/>
  <c r="U1131" i="2"/>
  <c r="T1166" i="2"/>
  <c r="T1223" i="2"/>
  <c r="V1239" i="2"/>
  <c r="U1239" i="2"/>
  <c r="T1250" i="2"/>
  <c r="V1257" i="2"/>
  <c r="U1257" i="2"/>
  <c r="T1264" i="2"/>
  <c r="V1265" i="2"/>
  <c r="U1265" i="2"/>
  <c r="T1168" i="2"/>
  <c r="T1170" i="2"/>
  <c r="T1176" i="2"/>
  <c r="T1196" i="2"/>
  <c r="V1264" i="2"/>
  <c r="U1264" i="2"/>
  <c r="T1197" i="2"/>
  <c r="T1234" i="2"/>
  <c r="T1235" i="2"/>
  <c r="T1238" i="2"/>
  <c r="T1246" i="2"/>
  <c r="V1247" i="2"/>
  <c r="U1247" i="2"/>
  <c r="V1263" i="2"/>
  <c r="U1263" i="2"/>
  <c r="T1320" i="2"/>
  <c r="T1416" i="2"/>
  <c r="T1426" i="2"/>
  <c r="T1441" i="2"/>
  <c r="T1393" i="2"/>
  <c r="T1405" i="2"/>
  <c r="T1415" i="2"/>
  <c r="T1420" i="2"/>
  <c r="T1421" i="2"/>
  <c r="T1440" i="2"/>
  <c r="T1414" i="2"/>
  <c r="T1460" i="2"/>
  <c r="T1402" i="2"/>
  <c r="T1428" i="2"/>
  <c r="T1396" i="2"/>
  <c r="T1389" i="2"/>
  <c r="T1417" i="2"/>
  <c r="T1427" i="2"/>
  <c r="T1468" i="2"/>
  <c r="T1453" i="2"/>
  <c r="T1463" i="2"/>
  <c r="T1471" i="2"/>
  <c r="T1484" i="2"/>
  <c r="T1452" i="2"/>
  <c r="T1451" i="2"/>
  <c r="T1461" i="2"/>
  <c r="T1469" i="2"/>
  <c r="T1450" i="2"/>
  <c r="T1483" i="2"/>
  <c r="T1448" i="2"/>
  <c r="T1457" i="2"/>
  <c r="T1480" i="2"/>
  <c r="T1466" i="2"/>
  <c r="T1456" i="2"/>
  <c r="T1455" i="2"/>
  <c r="T1464" i="2"/>
  <c r="T1472" i="2"/>
  <c r="T1454" i="2"/>
  <c r="T1490" i="2"/>
  <c r="T1475" i="2"/>
  <c r="T1487" i="2"/>
  <c r="T1499" i="2"/>
  <c r="T1511" i="2"/>
  <c r="T1520" i="2"/>
  <c r="T1527" i="2"/>
  <c r="T1533" i="2"/>
  <c r="T1544" i="2"/>
  <c r="T1486" i="2"/>
  <c r="T1498" i="2"/>
  <c r="T1510" i="2"/>
  <c r="T1473" i="2"/>
  <c r="T1485" i="2"/>
  <c r="T1497" i="2"/>
  <c r="T1509" i="2"/>
  <c r="T1519" i="2"/>
  <c r="T1496" i="2"/>
  <c r="T1508" i="2"/>
  <c r="T1532" i="2"/>
  <c r="T1557" i="2"/>
  <c r="T1518" i="2"/>
  <c r="T1458" i="2"/>
  <c r="T1470" i="2"/>
  <c r="T1482" i="2"/>
  <c r="T1494" i="2"/>
  <c r="T1506" i="2"/>
  <c r="T1542" i="2"/>
  <c r="T1493" i="2"/>
  <c r="T1505" i="2"/>
  <c r="T1517" i="2"/>
  <c r="T1530" i="2"/>
  <c r="T1503" i="2"/>
  <c r="T1515" i="2"/>
  <c r="T1502" i="2"/>
  <c r="T1514" i="2"/>
  <c r="T1477" i="2"/>
  <c r="T1489" i="2"/>
  <c r="T1501" i="2"/>
  <c r="T1513" i="2"/>
  <c r="T1521" i="2"/>
  <c r="T1528" i="2"/>
  <c r="T1476" i="2"/>
  <c r="T1488" i="2"/>
  <c r="T1500" i="2"/>
  <c r="T1512" i="2"/>
  <c r="T1539" i="2"/>
  <c r="T1563" i="2"/>
  <c r="T1569" i="2"/>
  <c r="T1575" i="2"/>
  <c r="T1581" i="2"/>
  <c r="T1587" i="2"/>
  <c r="T1593" i="2"/>
  <c r="T1550" i="2"/>
  <c r="T1556" i="2"/>
  <c r="T1562" i="2"/>
  <c r="T1568" i="2"/>
  <c r="T1574" i="2"/>
  <c r="T1580" i="2"/>
  <c r="T1598" i="2"/>
  <c r="T1603" i="2"/>
  <c r="T1555" i="2"/>
  <c r="T1548" i="2"/>
  <c r="T1554" i="2"/>
  <c r="T1560" i="2"/>
  <c r="T1566" i="2"/>
  <c r="T1572" i="2"/>
  <c r="T1578" i="2"/>
  <c r="T1584" i="2"/>
  <c r="T1590" i="2"/>
  <c r="T1596" i="2"/>
  <c r="T1602" i="2"/>
  <c r="T1606" i="2"/>
  <c r="T1553" i="2"/>
  <c r="T1559" i="2"/>
  <c r="T1565" i="2"/>
  <c r="T1571" i="2"/>
  <c r="T1577" i="2"/>
  <c r="T1583" i="2"/>
  <c r="T1589" i="2"/>
  <c r="T1595" i="2"/>
  <c r="T1601" i="2"/>
  <c r="T1605" i="2"/>
  <c r="T1552" i="2"/>
  <c r="T1558" i="2"/>
  <c r="T1564" i="2"/>
  <c r="T1570" i="2"/>
  <c r="T1576" i="2"/>
  <c r="T1582" i="2"/>
  <c r="T1588" i="2"/>
  <c r="T1594" i="2"/>
  <c r="T1600" i="2"/>
  <c r="F1606" i="2" l="1"/>
  <c r="F1605" i="2"/>
  <c r="F1604" i="2"/>
  <c r="F1603" i="2"/>
  <c r="F1543" i="2"/>
  <c r="F1600" i="2"/>
  <c r="F1594" i="2"/>
  <c r="F1588" i="2"/>
  <c r="F1582" i="2"/>
  <c r="F1576" i="2"/>
  <c r="F1570" i="2"/>
  <c r="F1564" i="2"/>
  <c r="F1558" i="2"/>
  <c r="F1552" i="2"/>
  <c r="F1544" i="2"/>
  <c r="F1545" i="2"/>
  <c r="F1533" i="2"/>
  <c r="F1601" i="2"/>
  <c r="F1595" i="2"/>
  <c r="F1589" i="2"/>
  <c r="F1583" i="2"/>
  <c r="F1577" i="2"/>
  <c r="F1571" i="2"/>
  <c r="F1565" i="2"/>
  <c r="F1559" i="2"/>
  <c r="F1553" i="2"/>
  <c r="F1546" i="2"/>
  <c r="F1534" i="2"/>
  <c r="F1522" i="2"/>
  <c r="F1521" i="2"/>
  <c r="F1520" i="2"/>
  <c r="F1519" i="2"/>
  <c r="F1518" i="2"/>
  <c r="F1547" i="2"/>
  <c r="F1535" i="2"/>
  <c r="F1523" i="2"/>
  <c r="F1602" i="2"/>
  <c r="F1596" i="2"/>
  <c r="F1590" i="2"/>
  <c r="F1584" i="2"/>
  <c r="F1578" i="2"/>
  <c r="F1572" i="2"/>
  <c r="F1566" i="2"/>
  <c r="F1560" i="2"/>
  <c r="F1554" i="2"/>
  <c r="F1548" i="2"/>
  <c r="F1536" i="2"/>
  <c r="F1524" i="2"/>
  <c r="F1597" i="2"/>
  <c r="F1591" i="2"/>
  <c r="F1585" i="2"/>
  <c r="F1579" i="2"/>
  <c r="F1573" i="2"/>
  <c r="F1567" i="2"/>
  <c r="F1561" i="2"/>
  <c r="F1555" i="2"/>
  <c r="F1549" i="2"/>
  <c r="F1538" i="2"/>
  <c r="F1539" i="2"/>
  <c r="F1527" i="2"/>
  <c r="F1598" i="2"/>
  <c r="F1599" i="2"/>
  <c r="F1593" i="2"/>
  <c r="F1587" i="2"/>
  <c r="F1581" i="2"/>
  <c r="F1575" i="2"/>
  <c r="F1569" i="2"/>
  <c r="F1511" i="2"/>
  <c r="F1499" i="2"/>
  <c r="F1487" i="2"/>
  <c r="F1475" i="2"/>
  <c r="F1580" i="2"/>
  <c r="F1563" i="2"/>
  <c r="F1512" i="2"/>
  <c r="F1500" i="2"/>
  <c r="F1488" i="2"/>
  <c r="F1476" i="2"/>
  <c r="F1528" i="2"/>
  <c r="F1513" i="2"/>
  <c r="F1501" i="2"/>
  <c r="F1568" i="2"/>
  <c r="F1550" i="2"/>
  <c r="F1540" i="2"/>
  <c r="F1514" i="2"/>
  <c r="F1502" i="2"/>
  <c r="F1529" i="2"/>
  <c r="F1515" i="2"/>
  <c r="F1551" i="2"/>
  <c r="F1541" i="2"/>
  <c r="F1516" i="2"/>
  <c r="F1504" i="2"/>
  <c r="F1492" i="2"/>
  <c r="F1586" i="2"/>
  <c r="F1530" i="2"/>
  <c r="F1517" i="2"/>
  <c r="F1505" i="2"/>
  <c r="F1493" i="2"/>
  <c r="F1481" i="2"/>
  <c r="F1469" i="2"/>
  <c r="F1457" i="2"/>
  <c r="F1556" i="2"/>
  <c r="F1542" i="2"/>
  <c r="F1574" i="2"/>
  <c r="F1537" i="2"/>
  <c r="F1531" i="2"/>
  <c r="F1507" i="2"/>
  <c r="F1495" i="2"/>
  <c r="F1557" i="2"/>
  <c r="F1532" i="2"/>
  <c r="F1525" i="2"/>
  <c r="F1508" i="2"/>
  <c r="F1496" i="2"/>
  <c r="F1484" i="2"/>
  <c r="F1472" i="2"/>
  <c r="F1526" i="2"/>
  <c r="F1509" i="2"/>
  <c r="F1497" i="2"/>
  <c r="F1485" i="2"/>
  <c r="F1592" i="2"/>
  <c r="F1562" i="2"/>
  <c r="F1510" i="2"/>
  <c r="F1498" i="2"/>
  <c r="F1486" i="2"/>
  <c r="F1474" i="2"/>
  <c r="F1489" i="2"/>
  <c r="F1477" i="2"/>
  <c r="F1471" i="2"/>
  <c r="F1463" i="2"/>
  <c r="F1453" i="2"/>
  <c r="F1442" i="2"/>
  <c r="F1430" i="2"/>
  <c r="F1418" i="2"/>
  <c r="F1406" i="2"/>
  <c r="F1490" i="2"/>
  <c r="F1478" i="2"/>
  <c r="F1454" i="2"/>
  <c r="F1443" i="2"/>
  <c r="F1431" i="2"/>
  <c r="F1419" i="2"/>
  <c r="F1407" i="2"/>
  <c r="F1395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464" i="2"/>
  <c r="F1455" i="2"/>
  <c r="F1444" i="2"/>
  <c r="F1432" i="2"/>
  <c r="F1420" i="2"/>
  <c r="F1408" i="2"/>
  <c r="F1491" i="2"/>
  <c r="F1479" i="2"/>
  <c r="F1465" i="2"/>
  <c r="F1456" i="2"/>
  <c r="F1445" i="2"/>
  <c r="F1433" i="2"/>
  <c r="F1421" i="2"/>
  <c r="F1409" i="2"/>
  <c r="F1397" i="2"/>
  <c r="F1385" i="2"/>
  <c r="F1506" i="2"/>
  <c r="F1473" i="2"/>
  <c r="F1466" i="2"/>
  <c r="F1446" i="2"/>
  <c r="F1434" i="2"/>
  <c r="F1422" i="2"/>
  <c r="F1410" i="2"/>
  <c r="F1398" i="2"/>
  <c r="F1386" i="2"/>
  <c r="F1480" i="2"/>
  <c r="F1447" i="2"/>
  <c r="F1435" i="2"/>
  <c r="F1423" i="2"/>
  <c r="F1411" i="2"/>
  <c r="F1399" i="2"/>
  <c r="F1387" i="2"/>
  <c r="F1482" i="2"/>
  <c r="F1468" i="2"/>
  <c r="F1460" i="2"/>
  <c r="F1449" i="2"/>
  <c r="F1438" i="2"/>
  <c r="F1426" i="2"/>
  <c r="F1414" i="2"/>
  <c r="F1402" i="2"/>
  <c r="F1390" i="2"/>
  <c r="F1503" i="2"/>
  <c r="F1483" i="2"/>
  <c r="F1450" i="2"/>
  <c r="F1439" i="2"/>
  <c r="F1427" i="2"/>
  <c r="F1415" i="2"/>
  <c r="F1461" i="2"/>
  <c r="F1451" i="2"/>
  <c r="F1494" i="2"/>
  <c r="F1470" i="2"/>
  <c r="F1462" i="2"/>
  <c r="F1452" i="2"/>
  <c r="F1441" i="2"/>
  <c r="F1401" i="2"/>
  <c r="F1388" i="2"/>
  <c r="F1216" i="2"/>
  <c r="F1205" i="2"/>
  <c r="F1196" i="2"/>
  <c r="F1186" i="2"/>
  <c r="F1176" i="2"/>
  <c r="F1154" i="2"/>
  <c r="F1417" i="2"/>
  <c r="F1412" i="2"/>
  <c r="F1389" i="2"/>
  <c r="F1281" i="2"/>
  <c r="F1275" i="2"/>
  <c r="F1269" i="2"/>
  <c r="F1263" i="2"/>
  <c r="F1257" i="2"/>
  <c r="F1251" i="2"/>
  <c r="F1245" i="2"/>
  <c r="F1239" i="2"/>
  <c r="F1232" i="2"/>
  <c r="F1225" i="2"/>
  <c r="F1458" i="2"/>
  <c r="F1448" i="2"/>
  <c r="F1396" i="2"/>
  <c r="F1214" i="2"/>
  <c r="F1203" i="2"/>
  <c r="F1194" i="2"/>
  <c r="F1185" i="2"/>
  <c r="F1174" i="2"/>
  <c r="F1153" i="2"/>
  <c r="F1144" i="2"/>
  <c r="F1428" i="2"/>
  <c r="F1413" i="2"/>
  <c r="F1280" i="2"/>
  <c r="F1274" i="2"/>
  <c r="F1268" i="2"/>
  <c r="F1262" i="2"/>
  <c r="F1256" i="2"/>
  <c r="F1250" i="2"/>
  <c r="F1244" i="2"/>
  <c r="F1238" i="2"/>
  <c r="F1231" i="2"/>
  <c r="F1224" i="2"/>
  <c r="F1459" i="2"/>
  <c r="F1384" i="2"/>
  <c r="F1213" i="2"/>
  <c r="F1202" i="2"/>
  <c r="F1193" i="2"/>
  <c r="F1183" i="2"/>
  <c r="F1429" i="2"/>
  <c r="F1424" i="2"/>
  <c r="F1403" i="2"/>
  <c r="F1391" i="2"/>
  <c r="F1279" i="2"/>
  <c r="F1273" i="2"/>
  <c r="F1267" i="2"/>
  <c r="F1261" i="2"/>
  <c r="F1255" i="2"/>
  <c r="F1249" i="2"/>
  <c r="F1243" i="2"/>
  <c r="F1237" i="2"/>
  <c r="F1230" i="2"/>
  <c r="F1223" i="2"/>
  <c r="F1171" i="2"/>
  <c r="F1440" i="2"/>
  <c r="F1425" i="2"/>
  <c r="F1404" i="2"/>
  <c r="F1392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78" i="2"/>
  <c r="F1272" i="2"/>
  <c r="F1266" i="2"/>
  <c r="F1260" i="2"/>
  <c r="F1254" i="2"/>
  <c r="F1248" i="2"/>
  <c r="F1219" i="2"/>
  <c r="F1210" i="2"/>
  <c r="F1436" i="2"/>
  <c r="F1405" i="2"/>
  <c r="F1393" i="2"/>
  <c r="F1467" i="2"/>
  <c r="F1400" i="2"/>
  <c r="F1437" i="2"/>
  <c r="F1416" i="2"/>
  <c r="F1394" i="2"/>
  <c r="F1282" i="2"/>
  <c r="F1276" i="2"/>
  <c r="F1270" i="2"/>
  <c r="F1264" i="2"/>
  <c r="F1179" i="2"/>
  <c r="F1119" i="2"/>
  <c r="F1086" i="2"/>
  <c r="F1065" i="2"/>
  <c r="F1064" i="2"/>
  <c r="F1055" i="2"/>
  <c r="F1044" i="2"/>
  <c r="F1035" i="2"/>
  <c r="F1029" i="2"/>
  <c r="F1014" i="2"/>
  <c r="F1246" i="2"/>
  <c r="F1235" i="2"/>
  <c r="F1234" i="2"/>
  <c r="F1200" i="2"/>
  <c r="F1199" i="2"/>
  <c r="F1130" i="2"/>
  <c r="F1118" i="2"/>
  <c r="F1111" i="2"/>
  <c r="F1103" i="2"/>
  <c r="F1095" i="2"/>
  <c r="F1079" i="2"/>
  <c r="F1073" i="2"/>
  <c r="F1053" i="2"/>
  <c r="F1021" i="2"/>
  <c r="F1005" i="2"/>
  <c r="F982" i="2"/>
  <c r="F975" i="2"/>
  <c r="F1236" i="2"/>
  <c r="F1197" i="2"/>
  <c r="F1177" i="2"/>
  <c r="F1172" i="2"/>
  <c r="F1142" i="2"/>
  <c r="F1140" i="2"/>
  <c r="F1085" i="2"/>
  <c r="F1072" i="2"/>
  <c r="F1062" i="2"/>
  <c r="F1043" i="2"/>
  <c r="F1042" i="2"/>
  <c r="F1034" i="2"/>
  <c r="F1028" i="2"/>
  <c r="F1013" i="2"/>
  <c r="F997" i="2"/>
  <c r="F988" i="2"/>
  <c r="F1247" i="2"/>
  <c r="F1170" i="2"/>
  <c r="F1168" i="2"/>
  <c r="F1151" i="2"/>
  <c r="F1129" i="2"/>
  <c r="F1117" i="2"/>
  <c r="F1110" i="2"/>
  <c r="F1102" i="2"/>
  <c r="F1094" i="2"/>
  <c r="F1084" i="2"/>
  <c r="F1078" i="2"/>
  <c r="F1071" i="2"/>
  <c r="F1052" i="2"/>
  <c r="F1041" i="2"/>
  <c r="F1020" i="2"/>
  <c r="F1004" i="2"/>
  <c r="F1166" i="2"/>
  <c r="F1139" i="2"/>
  <c r="F1127" i="2"/>
  <c r="F1061" i="2"/>
  <c r="F1033" i="2"/>
  <c r="F1027" i="2"/>
  <c r="F1011" i="2"/>
  <c r="F996" i="2"/>
  <c r="F987" i="2"/>
  <c r="F1165" i="2"/>
  <c r="F1150" i="2"/>
  <c r="F1135" i="2"/>
  <c r="F1115" i="2"/>
  <c r="F1109" i="2"/>
  <c r="F1101" i="2"/>
  <c r="F1092" i="2"/>
  <c r="F1083" i="2"/>
  <c r="F1077" i="2"/>
  <c r="F1070" i="2"/>
  <c r="F1051" i="2"/>
  <c r="F1040" i="2"/>
  <c r="F1026" i="2"/>
  <c r="F1019" i="2"/>
  <c r="F1002" i="2"/>
  <c r="F980" i="2"/>
  <c r="F973" i="2"/>
  <c r="F964" i="2"/>
  <c r="F947" i="2"/>
  <c r="F933" i="2"/>
  <c r="F925" i="2"/>
  <c r="F918" i="2"/>
  <c r="F1265" i="2"/>
  <c r="F1258" i="2"/>
  <c r="F1240" i="2"/>
  <c r="F1191" i="2"/>
  <c r="F1190" i="2"/>
  <c r="F1163" i="2"/>
  <c r="F1134" i="2"/>
  <c r="F1125" i="2"/>
  <c r="F1108" i="2"/>
  <c r="F1100" i="2"/>
  <c r="F1069" i="2"/>
  <c r="F1060" i="2"/>
  <c r="F1050" i="2"/>
  <c r="F1039" i="2"/>
  <c r="F1032" i="2"/>
  <c r="F1025" i="2"/>
  <c r="F1010" i="2"/>
  <c r="F995" i="2"/>
  <c r="F986" i="2"/>
  <c r="F972" i="2"/>
  <c r="F963" i="2"/>
  <c r="F954" i="2"/>
  <c r="F939" i="2"/>
  <c r="F894" i="2"/>
  <c r="F865" i="2"/>
  <c r="F857" i="2"/>
  <c r="F839" i="2"/>
  <c r="F1259" i="2"/>
  <c r="F1241" i="2"/>
  <c r="F1221" i="2"/>
  <c r="F1188" i="2"/>
  <c r="F1159" i="2"/>
  <c r="F1133" i="2"/>
  <c r="F1107" i="2"/>
  <c r="F1089" i="2"/>
  <c r="F1049" i="2"/>
  <c r="F1038" i="2"/>
  <c r="F1031" i="2"/>
  <c r="F1024" i="2"/>
  <c r="F1017" i="2"/>
  <c r="F1009" i="2"/>
  <c r="F1271" i="2"/>
  <c r="F1252" i="2"/>
  <c r="F1242" i="2"/>
  <c r="F1228" i="2"/>
  <c r="F1208" i="2"/>
  <c r="F1207" i="2"/>
  <c r="F1157" i="2"/>
  <c r="F1147" i="2"/>
  <c r="F1122" i="2"/>
  <c r="F1113" i="2"/>
  <c r="F1106" i="2"/>
  <c r="F1098" i="2"/>
  <c r="F1088" i="2"/>
  <c r="F1081" i="2"/>
  <c r="F1075" i="2"/>
  <c r="F1067" i="2"/>
  <c r="F1057" i="2"/>
  <c r="F1037" i="2"/>
  <c r="F1023" i="2"/>
  <c r="F1277" i="2"/>
  <c r="F1227" i="2"/>
  <c r="F1226" i="2"/>
  <c r="F1132" i="2"/>
  <c r="F1121" i="2"/>
  <c r="F1087" i="2"/>
  <c r="F1283" i="2"/>
  <c r="F1253" i="2"/>
  <c r="F1211" i="2"/>
  <c r="F1181" i="2"/>
  <c r="F1156" i="2"/>
  <c r="F1146" i="2"/>
  <c r="F1131" i="2"/>
  <c r="F1112" i="2"/>
  <c r="F1105" i="2"/>
  <c r="F1096" i="2"/>
  <c r="F1080" i="2"/>
  <c r="F1074" i="2"/>
  <c r="F1066" i="2"/>
  <c r="F1036" i="2"/>
  <c r="F1022" i="2"/>
  <c r="F1015" i="2"/>
  <c r="F1006" i="2"/>
  <c r="F1218" i="2"/>
  <c r="F1068" i="2"/>
  <c r="F990" i="2"/>
  <c r="F968" i="2"/>
  <c r="F966" i="2"/>
  <c r="F965" i="2"/>
  <c r="F952" i="2"/>
  <c r="F940" i="2"/>
  <c r="F929" i="2"/>
  <c r="F928" i="2"/>
  <c r="F927" i="2"/>
  <c r="F926" i="2"/>
  <c r="F915" i="2"/>
  <c r="F905" i="2"/>
  <c r="F904" i="2"/>
  <c r="F895" i="2"/>
  <c r="F884" i="2"/>
  <c r="F876" i="2"/>
  <c r="F856" i="2"/>
  <c r="F844" i="2"/>
  <c r="F833" i="2"/>
  <c r="F821" i="2"/>
  <c r="F812" i="2"/>
  <c r="F798" i="2"/>
  <c r="F789" i="2"/>
  <c r="F779" i="2"/>
  <c r="F951" i="2"/>
  <c r="F914" i="2"/>
  <c r="F913" i="2"/>
  <c r="F883" i="2"/>
  <c r="F875" i="2"/>
  <c r="F866" i="2"/>
  <c r="F854" i="2"/>
  <c r="F843" i="2"/>
  <c r="F842" i="2"/>
  <c r="F841" i="2"/>
  <c r="F805" i="2"/>
  <c r="F1076" i="2"/>
  <c r="F992" i="2"/>
  <c r="F950" i="2"/>
  <c r="F912" i="2"/>
  <c r="F903" i="2"/>
  <c r="F893" i="2"/>
  <c r="F874" i="2"/>
  <c r="F840" i="2"/>
  <c r="F831" i="2"/>
  <c r="F820" i="2"/>
  <c r="F811" i="2"/>
  <c r="F797" i="2"/>
  <c r="F788" i="2"/>
  <c r="F777" i="2"/>
  <c r="F1030" i="2"/>
  <c r="F1001" i="2"/>
  <c r="F1000" i="2"/>
  <c r="F999" i="2"/>
  <c r="F998" i="2"/>
  <c r="F962" i="2"/>
  <c r="F948" i="2"/>
  <c r="F938" i="2"/>
  <c r="F924" i="2"/>
  <c r="F882" i="2"/>
  <c r="F864" i="2"/>
  <c r="F853" i="2"/>
  <c r="F829" i="2"/>
  <c r="F810" i="2"/>
  <c r="F804" i="2"/>
  <c r="F796" i="2"/>
  <c r="F994" i="2"/>
  <c r="F923" i="2"/>
  <c r="F911" i="2"/>
  <c r="F901" i="2"/>
  <c r="F891" i="2"/>
  <c r="F881" i="2"/>
  <c r="F873" i="2"/>
  <c r="F851" i="2"/>
  <c r="F828" i="2"/>
  <c r="F818" i="2"/>
  <c r="F802" i="2"/>
  <c r="F786" i="2"/>
  <c r="F775" i="2"/>
  <c r="F742" i="2"/>
  <c r="F1149" i="2"/>
  <c r="F1056" i="2"/>
  <c r="F961" i="2"/>
  <c r="F958" i="2"/>
  <c r="F957" i="2"/>
  <c r="F937" i="2"/>
  <c r="F900" i="2"/>
  <c r="F890" i="2"/>
  <c r="F862" i="2"/>
  <c r="F850" i="2"/>
  <c r="F838" i="2"/>
  <c r="F817" i="2"/>
  <c r="F816" i="2"/>
  <c r="F809" i="2"/>
  <c r="F795" i="2"/>
  <c r="F767" i="2"/>
  <c r="F760" i="2"/>
  <c r="F752" i="2"/>
  <c r="F725" i="2"/>
  <c r="F1016" i="2"/>
  <c r="F960" i="2"/>
  <c r="F959" i="2"/>
  <c r="F946" i="2"/>
  <c r="F936" i="2"/>
  <c r="F935" i="2"/>
  <c r="F934" i="2"/>
  <c r="F922" i="2"/>
  <c r="F920" i="2"/>
  <c r="F919" i="2"/>
  <c r="F910" i="2"/>
  <c r="F889" i="2"/>
  <c r="F880" i="2"/>
  <c r="F872" i="2"/>
  <c r="F827" i="2"/>
  <c r="F801" i="2"/>
  <c r="F794" i="2"/>
  <c r="F785" i="2"/>
  <c r="F774" i="2"/>
  <c r="F750" i="2"/>
  <c r="F741" i="2"/>
  <c r="F1018" i="2"/>
  <c r="F974" i="2"/>
  <c r="F943" i="2"/>
  <c r="F860" i="2"/>
  <c r="F814" i="2"/>
  <c r="F800" i="2"/>
  <c r="F792" i="2"/>
  <c r="F783" i="2"/>
  <c r="F1123" i="2"/>
  <c r="F1099" i="2"/>
  <c r="F1008" i="2"/>
  <c r="F981" i="2"/>
  <c r="F976" i="2"/>
  <c r="F942" i="2"/>
  <c r="F932" i="2"/>
  <c r="F917" i="2"/>
  <c r="F908" i="2"/>
  <c r="F898" i="2"/>
  <c r="F897" i="2"/>
  <c r="F886" i="2"/>
  <c r="F878" i="2"/>
  <c r="F869" i="2"/>
  <c r="F847" i="2"/>
  <c r="F836" i="2"/>
  <c r="F835" i="2"/>
  <c r="F825" i="2"/>
  <c r="F807" i="2"/>
  <c r="F771" i="2"/>
  <c r="F765" i="2"/>
  <c r="F1162" i="2"/>
  <c r="F1114" i="2"/>
  <c r="F1058" i="2"/>
  <c r="F984" i="2"/>
  <c r="F983" i="2"/>
  <c r="F977" i="2"/>
  <c r="F971" i="2"/>
  <c r="F953" i="2"/>
  <c r="F941" i="2"/>
  <c r="F931" i="2"/>
  <c r="F916" i="2"/>
  <c r="F906" i="2"/>
  <c r="F896" i="2"/>
  <c r="F877" i="2"/>
  <c r="F868" i="2"/>
  <c r="F858" i="2"/>
  <c r="F845" i="2"/>
  <c r="F834" i="2"/>
  <c r="F823" i="2"/>
  <c r="F1091" i="2"/>
  <c r="F1090" i="2"/>
  <c r="F1082" i="2"/>
  <c r="F989" i="2"/>
  <c r="F985" i="2"/>
  <c r="F979" i="2"/>
  <c r="F978" i="2"/>
  <c r="F970" i="2"/>
  <c r="F967" i="2"/>
  <c r="F885" i="2"/>
  <c r="F867" i="2"/>
  <c r="F861" i="2"/>
  <c r="F763" i="2"/>
  <c r="F762" i="2"/>
  <c r="F761" i="2"/>
  <c r="F715" i="2"/>
  <c r="F705" i="2"/>
  <c r="F689" i="2"/>
  <c r="F688" i="2"/>
  <c r="F679" i="2"/>
  <c r="F669" i="2"/>
  <c r="F661" i="2"/>
  <c r="F645" i="2"/>
  <c r="F637" i="2"/>
  <c r="F606" i="2"/>
  <c r="F598" i="2"/>
  <c r="F572" i="2"/>
  <c r="F566" i="2"/>
  <c r="F557" i="2"/>
  <c r="F539" i="2"/>
  <c r="F522" i="2"/>
  <c r="F879" i="2"/>
  <c r="F790" i="2"/>
  <c r="F739" i="2"/>
  <c r="F738" i="2"/>
  <c r="F737" i="2"/>
  <c r="F726" i="2"/>
  <c r="F698" i="2"/>
  <c r="F678" i="2"/>
  <c r="F660" i="2"/>
  <c r="F652" i="2"/>
  <c r="F625" i="2"/>
  <c r="F615" i="2"/>
  <c r="F605" i="2"/>
  <c r="F590" i="2"/>
  <c r="F581" i="2"/>
  <c r="F564" i="2"/>
  <c r="F549" i="2"/>
  <c r="F531" i="2"/>
  <c r="F871" i="2"/>
  <c r="F870" i="2"/>
  <c r="F815" i="2"/>
  <c r="F799" i="2"/>
  <c r="F764" i="2"/>
  <c r="F758" i="2"/>
  <c r="F724" i="2"/>
  <c r="F714" i="2"/>
  <c r="F704" i="2"/>
  <c r="F696" i="2"/>
  <c r="F687" i="2"/>
  <c r="F667" i="2"/>
  <c r="F644" i="2"/>
  <c r="F636" i="2"/>
  <c r="F613" i="2"/>
  <c r="F597" i="2"/>
  <c r="F589" i="2"/>
  <c r="F571" i="2"/>
  <c r="F555" i="2"/>
  <c r="F538" i="2"/>
  <c r="F520" i="2"/>
  <c r="F887" i="2"/>
  <c r="F808" i="2"/>
  <c r="F757" i="2"/>
  <c r="F754" i="2"/>
  <c r="F736" i="2"/>
  <c r="F722" i="2"/>
  <c r="F713" i="2"/>
  <c r="F676" i="2"/>
  <c r="F659" i="2"/>
  <c r="F651" i="2"/>
  <c r="F635" i="2"/>
  <c r="F623" i="2"/>
  <c r="F604" i="2"/>
  <c r="F596" i="2"/>
  <c r="F588" i="2"/>
  <c r="F580" i="2"/>
  <c r="F578" i="2"/>
  <c r="F563" i="2"/>
  <c r="F548" i="2"/>
  <c r="F1045" i="2"/>
  <c r="F888" i="2"/>
  <c r="F769" i="2"/>
  <c r="F768" i="2"/>
  <c r="F766" i="2"/>
  <c r="F755" i="2"/>
  <c r="F753" i="2"/>
  <c r="F721" i="2"/>
  <c r="F703" i="2"/>
  <c r="F695" i="2"/>
  <c r="F686" i="2"/>
  <c r="F666" i="2"/>
  <c r="F643" i="2"/>
  <c r="F611" i="2"/>
  <c r="F570" i="2"/>
  <c r="F562" i="2"/>
  <c r="F554" i="2"/>
  <c r="F547" i="2"/>
  <c r="F537" i="2"/>
  <c r="F826" i="2"/>
  <c r="F781" i="2"/>
  <c r="F770" i="2"/>
  <c r="F734" i="2"/>
  <c r="F720" i="2"/>
  <c r="F711" i="2"/>
  <c r="F675" i="2"/>
  <c r="F658" i="2"/>
  <c r="F650" i="2"/>
  <c r="F642" i="2"/>
  <c r="F633" i="2"/>
  <c r="F621" i="2"/>
  <c r="F603" i="2"/>
  <c r="F595" i="2"/>
  <c r="F587" i="2"/>
  <c r="F577" i="2"/>
  <c r="F545" i="2"/>
  <c r="F529" i="2"/>
  <c r="F849" i="2"/>
  <c r="F748" i="2"/>
  <c r="F746" i="2"/>
  <c r="F732" i="2"/>
  <c r="F719" i="2"/>
  <c r="F710" i="2"/>
  <c r="F702" i="2"/>
  <c r="F694" i="2"/>
  <c r="F685" i="2"/>
  <c r="F684" i="2"/>
  <c r="F673" i="2"/>
  <c r="F665" i="2"/>
  <c r="F648" i="2"/>
  <c r="F640" i="2"/>
  <c r="F610" i="2"/>
  <c r="F569" i="2"/>
  <c r="F561" i="2"/>
  <c r="F553" i="2"/>
  <c r="F536" i="2"/>
  <c r="F517" i="2"/>
  <c r="F507" i="2"/>
  <c r="F501" i="2"/>
  <c r="F490" i="2"/>
  <c r="F481" i="2"/>
  <c r="F471" i="2"/>
  <c r="F454" i="2"/>
  <c r="F445" i="2"/>
  <c r="F429" i="2"/>
  <c r="F410" i="2"/>
  <c r="F403" i="2"/>
  <c r="F362" i="2"/>
  <c r="F360" i="2"/>
  <c r="F341" i="2"/>
  <c r="F333" i="2"/>
  <c r="F325" i="2"/>
  <c r="F317" i="2"/>
  <c r="F921" i="2"/>
  <c r="F837" i="2"/>
  <c r="F772" i="2"/>
  <c r="F745" i="2"/>
  <c r="F744" i="2"/>
  <c r="F743" i="2"/>
  <c r="F731" i="2"/>
  <c r="F708" i="2"/>
  <c r="F692" i="2"/>
  <c r="F672" i="2"/>
  <c r="F664" i="2"/>
  <c r="F656" i="2"/>
  <c r="F647" i="2"/>
  <c r="F639" i="2"/>
  <c r="F608" i="2"/>
  <c r="F593" i="2"/>
  <c r="F575" i="2"/>
  <c r="F568" i="2"/>
  <c r="F552" i="2"/>
  <c r="F535" i="2"/>
  <c r="F955" i="2"/>
  <c r="F909" i="2"/>
  <c r="F773" i="2"/>
  <c r="F729" i="2"/>
  <c r="F717" i="2"/>
  <c r="F707" i="2"/>
  <c r="F700" i="2"/>
  <c r="F691" i="2"/>
  <c r="F681" i="2"/>
  <c r="F655" i="2"/>
  <c r="F630" i="2"/>
  <c r="F618" i="2"/>
  <c r="F601" i="2"/>
  <c r="F584" i="2"/>
  <c r="F574" i="2"/>
  <c r="F559" i="2"/>
  <c r="F899" i="2"/>
  <c r="F728" i="2"/>
  <c r="F716" i="2"/>
  <c r="F690" i="2"/>
  <c r="F680" i="2"/>
  <c r="F670" i="2"/>
  <c r="F662" i="2"/>
  <c r="F646" i="2"/>
  <c r="F638" i="2"/>
  <c r="F629" i="2"/>
  <c r="F628" i="2"/>
  <c r="F607" i="2"/>
  <c r="F599" i="2"/>
  <c r="F592" i="2"/>
  <c r="F573" i="2"/>
  <c r="F567" i="2"/>
  <c r="F540" i="2"/>
  <c r="F534" i="2"/>
  <c r="F813" i="2"/>
  <c r="F806" i="2"/>
  <c r="F776" i="2"/>
  <c r="F740" i="2"/>
  <c r="F727" i="2"/>
  <c r="F706" i="2"/>
  <c r="F699" i="2"/>
  <c r="F654" i="2"/>
  <c r="F626" i="2"/>
  <c r="F617" i="2"/>
  <c r="F591" i="2"/>
  <c r="F583" i="2"/>
  <c r="F582" i="2"/>
  <c r="F558" i="2"/>
  <c r="F550" i="2"/>
  <c r="F631" i="2"/>
  <c r="F620" i="2"/>
  <c r="F543" i="2"/>
  <c r="F505" i="2"/>
  <c r="F495" i="2"/>
  <c r="F457" i="2"/>
  <c r="F444" i="2"/>
  <c r="F421" i="2"/>
  <c r="F409" i="2"/>
  <c r="F399" i="2"/>
  <c r="F388" i="2"/>
  <c r="F356" i="2"/>
  <c r="F323" i="2"/>
  <c r="F300" i="2"/>
  <c r="F275" i="2"/>
  <c r="F493" i="2"/>
  <c r="F480" i="2"/>
  <c r="F468" i="2"/>
  <c r="F455" i="2"/>
  <c r="F434" i="2"/>
  <c r="F420" i="2"/>
  <c r="F408" i="2"/>
  <c r="F398" i="2"/>
  <c r="F386" i="2"/>
  <c r="F384" i="2"/>
  <c r="F354" i="2"/>
  <c r="F342" i="2"/>
  <c r="F332" i="2"/>
  <c r="F310" i="2"/>
  <c r="F308" i="2"/>
  <c r="F293" i="2"/>
  <c r="F283" i="2"/>
  <c r="F260" i="2"/>
  <c r="F252" i="2"/>
  <c r="F244" i="2"/>
  <c r="F230" i="2"/>
  <c r="F221" i="2"/>
  <c r="F683" i="2"/>
  <c r="F504" i="2"/>
  <c r="F479" i="2"/>
  <c r="F466" i="2"/>
  <c r="F443" i="2"/>
  <c r="F433" i="2"/>
  <c r="F397" i="2"/>
  <c r="F353" i="2"/>
  <c r="F322" i="2"/>
  <c r="F321" i="2"/>
  <c r="F319" i="2"/>
  <c r="F299" i="2"/>
  <c r="F291" i="2"/>
  <c r="F274" i="2"/>
  <c r="F266" i="2"/>
  <c r="F259" i="2"/>
  <c r="F243" i="2"/>
  <c r="F237" i="2"/>
  <c r="F229" i="2"/>
  <c r="F211" i="2"/>
  <c r="F204" i="2"/>
  <c r="F514" i="2"/>
  <c r="F492" i="2"/>
  <c r="F465" i="2"/>
  <c r="F432" i="2"/>
  <c r="F418" i="2"/>
  <c r="F407" i="2"/>
  <c r="F383" i="2"/>
  <c r="F352" i="2"/>
  <c r="F331" i="2"/>
  <c r="F307" i="2"/>
  <c r="F282" i="2"/>
  <c r="F250" i="2"/>
  <c r="F220" i="2"/>
  <c r="F576" i="2"/>
  <c r="F518" i="2"/>
  <c r="F503" i="2"/>
  <c r="F478" i="2"/>
  <c r="F453" i="2"/>
  <c r="F442" i="2"/>
  <c r="F417" i="2"/>
  <c r="F406" i="2"/>
  <c r="F396" i="2"/>
  <c r="F381" i="2"/>
  <c r="F340" i="2"/>
  <c r="F318" i="2"/>
  <c r="F298" i="2"/>
  <c r="F289" i="2"/>
  <c r="F281" i="2"/>
  <c r="F272" i="2"/>
  <c r="F265" i="2"/>
  <c r="F258" i="2"/>
  <c r="F242" i="2"/>
  <c r="F236" i="2"/>
  <c r="F228" i="2"/>
  <c r="F210" i="2"/>
  <c r="F203" i="2"/>
  <c r="F193" i="2"/>
  <c r="F184" i="2"/>
  <c r="F166" i="2"/>
  <c r="F160" i="2"/>
  <c r="F154" i="2"/>
  <c r="F136" i="2"/>
  <c r="F120" i="2"/>
  <c r="F92" i="2"/>
  <c r="F78" i="2"/>
  <c r="F59" i="2"/>
  <c r="F58" i="2"/>
  <c r="F52" i="2"/>
  <c r="F36" i="2"/>
  <c r="F945" i="2"/>
  <c r="F944" i="2"/>
  <c r="F718" i="2"/>
  <c r="F657" i="2"/>
  <c r="F527" i="2"/>
  <c r="F525" i="2"/>
  <c r="F523" i="2"/>
  <c r="F513" i="2"/>
  <c r="F512" i="2"/>
  <c r="F489" i="2"/>
  <c r="F477" i="2"/>
  <c r="F464" i="2"/>
  <c r="F431" i="2"/>
  <c r="F405" i="2"/>
  <c r="F379" i="2"/>
  <c r="F377" i="2"/>
  <c r="F350" i="2"/>
  <c r="F330" i="2"/>
  <c r="F329" i="2"/>
  <c r="F305" i="2"/>
  <c r="F288" i="2"/>
  <c r="F271" i="2"/>
  <c r="F248" i="2"/>
  <c r="F219" i="2"/>
  <c r="F201" i="2"/>
  <c r="F192" i="2"/>
  <c r="F516" i="2"/>
  <c r="F510" i="2"/>
  <c r="F502" i="2"/>
  <c r="F475" i="2"/>
  <c r="F452" i="2"/>
  <c r="F441" i="2"/>
  <c r="F439" i="2"/>
  <c r="F416" i="2"/>
  <c r="F404" i="2"/>
  <c r="F395" i="2"/>
  <c r="F375" i="2"/>
  <c r="F339" i="2"/>
  <c r="F327" i="2"/>
  <c r="F297" i="2"/>
  <c r="F280" i="2"/>
  <c r="F264" i="2"/>
  <c r="F257" i="2"/>
  <c r="F241" i="2"/>
  <c r="F235" i="2"/>
  <c r="F227" i="2"/>
  <c r="F226" i="2"/>
  <c r="F208" i="2"/>
  <c r="F183" i="2"/>
  <c r="F551" i="2"/>
  <c r="F508" i="2"/>
  <c r="F500" i="2"/>
  <c r="F487" i="2"/>
  <c r="F486" i="2"/>
  <c r="F484" i="2"/>
  <c r="F483" i="2"/>
  <c r="F474" i="2"/>
  <c r="F462" i="2"/>
  <c r="F451" i="2"/>
  <c r="F449" i="2"/>
  <c r="F448" i="2"/>
  <c r="F447" i="2"/>
  <c r="F438" i="2"/>
  <c r="F437" i="2"/>
  <c r="F413" i="2"/>
  <c r="F412" i="2"/>
  <c r="F372" i="2"/>
  <c r="F348" i="2"/>
  <c r="F347" i="2"/>
  <c r="F338" i="2"/>
  <c r="F296" i="2"/>
  <c r="F286" i="2"/>
  <c r="F269" i="2"/>
  <c r="F499" i="2"/>
  <c r="F473" i="2"/>
  <c r="F461" i="2"/>
  <c r="F426" i="2"/>
  <c r="F401" i="2"/>
  <c r="F392" i="2"/>
  <c r="F366" i="2"/>
  <c r="F337" i="2"/>
  <c r="F336" i="2"/>
  <c r="F313" i="2"/>
  <c r="F302" i="2"/>
  <c r="F277" i="2"/>
  <c r="F709" i="2"/>
  <c r="F542" i="2"/>
  <c r="F506" i="2"/>
  <c r="F482" i="2"/>
  <c r="F470" i="2"/>
  <c r="F446" i="2"/>
  <c r="F436" i="2"/>
  <c r="F425" i="2"/>
  <c r="F423" i="2"/>
  <c r="F411" i="2"/>
  <c r="F390" i="2"/>
  <c r="F365" i="2"/>
  <c r="F363" i="2"/>
  <c r="F358" i="2"/>
  <c r="F346" i="2"/>
  <c r="F324" i="2"/>
  <c r="F312" i="2"/>
  <c r="F295" i="2"/>
  <c r="F285" i="2"/>
  <c r="F268" i="2"/>
  <c r="F602" i="2"/>
  <c r="F594" i="2"/>
  <c r="F532" i="2"/>
  <c r="F497" i="2"/>
  <c r="F469" i="2"/>
  <c r="F459" i="2"/>
  <c r="F458" i="2"/>
  <c r="F435" i="2"/>
  <c r="F422" i="2"/>
  <c r="F400" i="2"/>
  <c r="F389" i="2"/>
  <c r="F357" i="2"/>
  <c r="F344" i="2"/>
  <c r="F343" i="2"/>
  <c r="F334" i="2"/>
  <c r="F311" i="2"/>
  <c r="F301" i="2"/>
  <c r="F294" i="2"/>
  <c r="F284" i="2"/>
  <c r="F276" i="2"/>
  <c r="F261" i="2"/>
  <c r="F253" i="2"/>
  <c r="F245" i="2"/>
  <c r="F279" i="2"/>
  <c r="F278" i="2"/>
  <c r="F224" i="2"/>
  <c r="F161" i="2"/>
  <c r="F145" i="2"/>
  <c r="F131" i="2"/>
  <c r="F122" i="2"/>
  <c r="F121" i="2"/>
  <c r="F89" i="2"/>
  <c r="F80" i="2"/>
  <c r="F45" i="2"/>
  <c r="F24" i="2"/>
  <c r="F15" i="2"/>
  <c r="F8" i="2"/>
  <c r="F225" i="2"/>
  <c r="F171" i="2"/>
  <c r="F170" i="2"/>
  <c r="F169" i="2"/>
  <c r="F168" i="2"/>
  <c r="F144" i="2"/>
  <c r="F143" i="2"/>
  <c r="F130" i="2"/>
  <c r="F110" i="2"/>
  <c r="F96" i="2"/>
  <c r="F88" i="2"/>
  <c r="F79" i="2"/>
  <c r="F67" i="2"/>
  <c r="F55" i="2"/>
  <c r="F44" i="2"/>
  <c r="F35" i="2"/>
  <c r="F33" i="2"/>
  <c r="F30" i="2"/>
  <c r="F701" i="2"/>
  <c r="F270" i="2"/>
  <c r="F167" i="2"/>
  <c r="F153" i="2"/>
  <c r="F152" i="2"/>
  <c r="F108" i="2"/>
  <c r="F87" i="2"/>
  <c r="F65" i="2"/>
  <c r="F54" i="2"/>
  <c r="F32" i="2"/>
  <c r="F22" i="2"/>
  <c r="F14" i="2"/>
  <c r="F7" i="2"/>
  <c r="F31" i="2"/>
  <c r="F560" i="2"/>
  <c r="F509" i="2"/>
  <c r="F196" i="2"/>
  <c r="F195" i="2"/>
  <c r="F194" i="2"/>
  <c r="F185" i="2"/>
  <c r="F159" i="2"/>
  <c r="F142" i="2"/>
  <c r="F129" i="2"/>
  <c r="F119" i="2"/>
  <c r="F95" i="2"/>
  <c r="F76" i="2"/>
  <c r="F43" i="2"/>
  <c r="F21" i="2"/>
  <c r="F428" i="2"/>
  <c r="F427" i="2"/>
  <c r="F393" i="2"/>
  <c r="F368" i="2"/>
  <c r="F367" i="2"/>
  <c r="F262" i="2"/>
  <c r="F232" i="2"/>
  <c r="F212" i="2"/>
  <c r="F205" i="2"/>
  <c r="F190" i="2"/>
  <c r="F186" i="2"/>
  <c r="F165" i="2"/>
  <c r="F151" i="2"/>
  <c r="F140" i="2"/>
  <c r="F139" i="2"/>
  <c r="F107" i="2"/>
  <c r="F94" i="2"/>
  <c r="F86" i="2"/>
  <c r="F64" i="2"/>
  <c r="F53" i="2"/>
  <c r="F42" i="2"/>
  <c r="F20" i="2"/>
  <c r="F13" i="2"/>
  <c r="F6" i="2"/>
  <c r="F172" i="2"/>
  <c r="F132" i="2"/>
  <c r="F111" i="2"/>
  <c r="F98" i="2"/>
  <c r="F56" i="2"/>
  <c r="F46" i="2"/>
  <c r="F16" i="2"/>
  <c r="F586" i="2"/>
  <c r="F530" i="2"/>
  <c r="F415" i="2"/>
  <c r="F326" i="2"/>
  <c r="F316" i="2"/>
  <c r="F314" i="2"/>
  <c r="F207" i="2"/>
  <c r="F206" i="2"/>
  <c r="F200" i="2"/>
  <c r="F199" i="2"/>
  <c r="F197" i="2"/>
  <c r="F189" i="2"/>
  <c r="F182" i="2"/>
  <c r="F158" i="2"/>
  <c r="F150" i="2"/>
  <c r="F128" i="2"/>
  <c r="F117" i="2"/>
  <c r="F106" i="2"/>
  <c r="F103" i="2"/>
  <c r="F74" i="2"/>
  <c r="F63" i="2"/>
  <c r="F61" i="2"/>
  <c r="F40" i="2"/>
  <c r="F29" i="2"/>
  <c r="F303" i="2"/>
  <c r="F255" i="2"/>
  <c r="F240" i="2"/>
  <c r="F155" i="2"/>
  <c r="F263" i="2"/>
  <c r="F246" i="2"/>
  <c r="F233" i="2"/>
  <c r="F214" i="2"/>
  <c r="F198" i="2"/>
  <c r="F188" i="2"/>
  <c r="F187" i="2"/>
  <c r="F181" i="2"/>
  <c r="F177" i="2"/>
  <c r="F164" i="2"/>
  <c r="F137" i="2"/>
  <c r="F127" i="2"/>
  <c r="F116" i="2"/>
  <c r="F102" i="2"/>
  <c r="F93" i="2"/>
  <c r="F85" i="2"/>
  <c r="F51" i="2"/>
  <c r="F28" i="2"/>
  <c r="F19" i="2"/>
  <c r="F12" i="2"/>
  <c r="F5" i="2"/>
  <c r="F4" i="2"/>
  <c r="F488" i="2"/>
  <c r="F370" i="2"/>
  <c r="F267" i="2"/>
  <c r="F247" i="2"/>
  <c r="F234" i="2"/>
  <c r="F215" i="2"/>
  <c r="F179" i="2"/>
  <c r="F176" i="2"/>
  <c r="F157" i="2"/>
  <c r="F148" i="2"/>
  <c r="F114" i="2"/>
  <c r="F84" i="2"/>
  <c r="F73" i="2"/>
  <c r="F60" i="2"/>
  <c r="F50" i="2"/>
  <c r="F39" i="2"/>
  <c r="F11" i="2"/>
  <c r="F374" i="2"/>
  <c r="F287" i="2"/>
  <c r="F68" i="2"/>
  <c r="F217" i="2"/>
  <c r="F163" i="2"/>
  <c r="F126" i="2"/>
  <c r="F113" i="2"/>
  <c r="F101" i="2"/>
  <c r="F72" i="2"/>
  <c r="F49" i="2"/>
  <c r="F38" i="2"/>
  <c r="F27" i="2"/>
  <c r="F18" i="2"/>
  <c r="F10" i="2"/>
  <c r="F3" i="2"/>
  <c r="F463" i="2"/>
  <c r="F254" i="2"/>
  <c r="F238" i="2"/>
  <c r="F218" i="2"/>
  <c r="F174" i="2"/>
  <c r="F156" i="2"/>
  <c r="F147" i="2"/>
  <c r="F135" i="2"/>
  <c r="F134" i="2"/>
  <c r="F124" i="2"/>
  <c r="F91" i="2"/>
  <c r="F83" i="2"/>
  <c r="F70" i="2"/>
  <c r="F57" i="2"/>
  <c r="F48" i="2"/>
  <c r="F17" i="2"/>
  <c r="F349" i="2"/>
  <c r="F239" i="2"/>
  <c r="F223" i="2"/>
  <c r="F173" i="2"/>
  <c r="F162" i="2"/>
  <c r="F146" i="2"/>
  <c r="F123" i="2"/>
  <c r="F112" i="2"/>
  <c r="F100" i="2"/>
  <c r="F90" i="2"/>
  <c r="F82" i="2"/>
  <c r="F81" i="2"/>
  <c r="F47" i="2"/>
  <c r="F37" i="2"/>
  <c r="F26" i="2"/>
  <c r="F9" i="2"/>
  <c r="F2" i="2"/>
</calcChain>
</file>

<file path=xl/sharedStrings.xml><?xml version="1.0" encoding="utf-8"?>
<sst xmlns="http://schemas.openxmlformats.org/spreadsheetml/2006/main" count="3398" uniqueCount="936">
  <si>
    <t>B1017</t>
  </si>
  <si>
    <t>VWNR</t>
  </si>
  <si>
    <t>NormNr</t>
  </si>
  <si>
    <t>WHT007527</t>
  </si>
  <si>
    <t>N91097102</t>
  </si>
  <si>
    <t>N10661002</t>
  </si>
  <si>
    <t>N10739002</t>
  </si>
  <si>
    <t>N10751101</t>
  </si>
  <si>
    <t>N91066901</t>
  </si>
  <si>
    <t>N10894901</t>
  </si>
  <si>
    <t>N91193702</t>
  </si>
  <si>
    <t>N10713503</t>
  </si>
  <si>
    <t>N91286201</t>
  </si>
  <si>
    <t>N01508108</t>
  </si>
  <si>
    <t>N10569501</t>
  </si>
  <si>
    <t>N10690201</t>
  </si>
  <si>
    <t>N10717001</t>
  </si>
  <si>
    <t>N91217701</t>
  </si>
  <si>
    <t>N91231201</t>
  </si>
  <si>
    <t>N91203203</t>
  </si>
  <si>
    <t>N91166901</t>
  </si>
  <si>
    <t>N91255701</t>
  </si>
  <si>
    <t>N10846301</t>
  </si>
  <si>
    <t>N10833601</t>
  </si>
  <si>
    <t>N10854901</t>
  </si>
  <si>
    <t>N91021601</t>
  </si>
  <si>
    <t>N90183803</t>
  </si>
  <si>
    <t>N90929303</t>
  </si>
  <si>
    <t>N90942902</t>
  </si>
  <si>
    <t>N91021602</t>
  </si>
  <si>
    <t>N91218401</t>
  </si>
  <si>
    <t>N10332002</t>
  </si>
  <si>
    <t>N01508210</t>
  </si>
  <si>
    <t>N91037602</t>
  </si>
  <si>
    <t>WHT009642</t>
  </si>
  <si>
    <t>N91096801</t>
  </si>
  <si>
    <t>N91289901</t>
  </si>
  <si>
    <t>N91232302</t>
  </si>
  <si>
    <t>N10883401</t>
  </si>
  <si>
    <t>N10456201</t>
  </si>
  <si>
    <t>N10465702</t>
  </si>
  <si>
    <t>N10642101</t>
  </si>
  <si>
    <t>N10655402</t>
  </si>
  <si>
    <t>N10664801</t>
  </si>
  <si>
    <t>N90989702</t>
  </si>
  <si>
    <t>N91123901</t>
  </si>
  <si>
    <t>N91301901</t>
  </si>
  <si>
    <t>N91302701</t>
  </si>
  <si>
    <t>N10886401</t>
  </si>
  <si>
    <t>N91276101</t>
  </si>
  <si>
    <t>N01024426</t>
  </si>
  <si>
    <t>N10713502</t>
  </si>
  <si>
    <t>N10773901</t>
  </si>
  <si>
    <t>N91205602</t>
  </si>
  <si>
    <t>N91226101</t>
  </si>
  <si>
    <t>N91228201</t>
  </si>
  <si>
    <t>N91142201</t>
  </si>
  <si>
    <t>N91231101</t>
  </si>
  <si>
    <t>N91233701</t>
  </si>
  <si>
    <t>N91242901</t>
  </si>
  <si>
    <t>N91263701</t>
  </si>
  <si>
    <t>N91281701</t>
  </si>
  <si>
    <t>N90183804</t>
  </si>
  <si>
    <t>N91157401</t>
  </si>
  <si>
    <t>N91229101</t>
  </si>
  <si>
    <t>N10106403</t>
  </si>
  <si>
    <t>N90353604</t>
  </si>
  <si>
    <t>WHT007828</t>
  </si>
  <si>
    <t>N10106402</t>
  </si>
  <si>
    <t>N01508106</t>
  </si>
  <si>
    <t>N90798805</t>
  </si>
  <si>
    <t>N91299101</t>
  </si>
  <si>
    <t>N10673003</t>
  </si>
  <si>
    <t>N10744303</t>
  </si>
  <si>
    <t>N10517303</t>
  </si>
  <si>
    <t>N10610902</t>
  </si>
  <si>
    <t>N10743601</t>
  </si>
  <si>
    <t>N91097301</t>
  </si>
  <si>
    <t>WHT010195</t>
  </si>
  <si>
    <t>N91303601</t>
  </si>
  <si>
    <t>N91301201</t>
  </si>
  <si>
    <t>N10763801</t>
  </si>
  <si>
    <t>N90742202</t>
  </si>
  <si>
    <t>N91143901</t>
  </si>
  <si>
    <t>N91187301</t>
  </si>
  <si>
    <t>N91126601</t>
  </si>
  <si>
    <t>N10781701</t>
  </si>
  <si>
    <t>WHT003269</t>
  </si>
  <si>
    <t>N10827902</t>
  </si>
  <si>
    <t>N91261302</t>
  </si>
  <si>
    <t>N10629601</t>
  </si>
  <si>
    <t>N10765802</t>
  </si>
  <si>
    <t>N10405703</t>
  </si>
  <si>
    <t>N91021403</t>
  </si>
  <si>
    <t>8B1614306</t>
  </si>
  <si>
    <t>N10405704</t>
  </si>
  <si>
    <t>N10628301</t>
  </si>
  <si>
    <t>N91016602</t>
  </si>
  <si>
    <t>WHT007423</t>
  </si>
  <si>
    <t>WHT007422</t>
  </si>
  <si>
    <t>N10344302</t>
  </si>
  <si>
    <t>N90835705</t>
  </si>
  <si>
    <t>N10862601</t>
  </si>
  <si>
    <t>N91261601</t>
  </si>
  <si>
    <t>N02300211</t>
  </si>
  <si>
    <t>N10286110</t>
  </si>
  <si>
    <t>N90295502</t>
  </si>
  <si>
    <t>N00150816</t>
  </si>
  <si>
    <t>N91294201</t>
  </si>
  <si>
    <t>N91294301</t>
  </si>
  <si>
    <t>N90766702</t>
  </si>
  <si>
    <t>N91272701</t>
  </si>
  <si>
    <t>N91014501</t>
  </si>
  <si>
    <t>N90575703</t>
  </si>
  <si>
    <t>N01023716</t>
  </si>
  <si>
    <t>WHT005490</t>
  </si>
  <si>
    <t>N10541002</t>
  </si>
  <si>
    <t>N10559901</t>
  </si>
  <si>
    <t>5R3857767</t>
  </si>
  <si>
    <t>N91018601</t>
  </si>
  <si>
    <t>N91188701</t>
  </si>
  <si>
    <t>N91094102</t>
  </si>
  <si>
    <t>N10718001</t>
  </si>
  <si>
    <t>N91262901</t>
  </si>
  <si>
    <t>N09024204</t>
  </si>
  <si>
    <t>N10810301</t>
  </si>
  <si>
    <t>N91233101</t>
  </si>
  <si>
    <t>N91244901</t>
  </si>
  <si>
    <t>N90834201</t>
  </si>
  <si>
    <t>Werk</t>
  </si>
  <si>
    <t>Abladestelle</t>
  </si>
  <si>
    <t>Lagerort</t>
  </si>
  <si>
    <t>Lagerort SAP</t>
  </si>
  <si>
    <t>Bestellnr. *</t>
  </si>
  <si>
    <t>VW NR.</t>
  </si>
  <si>
    <t>Norm NR.</t>
  </si>
  <si>
    <t>Artikel</t>
  </si>
  <si>
    <t>Menge</t>
  </si>
  <si>
    <t>Füllmenge</t>
  </si>
  <si>
    <t>Packeinheiten</t>
  </si>
  <si>
    <t>Anzahl Pro Lage</t>
  </si>
  <si>
    <t xml:space="preserve">Anzahl </t>
  </si>
  <si>
    <t>Paletten</t>
  </si>
  <si>
    <t>Typ Ladehilfsmittel</t>
  </si>
  <si>
    <t>Paletten Gewicht</t>
  </si>
  <si>
    <t>Palettenanzahl</t>
  </si>
  <si>
    <t>KLT Art</t>
  </si>
  <si>
    <t>KLT Gewicht</t>
  </si>
  <si>
    <t xml:space="preserve"> Total Gewicht</t>
  </si>
  <si>
    <t>Stapelfaktor</t>
  </si>
  <si>
    <t>Höhe</t>
  </si>
  <si>
    <t>Abholdatum</t>
  </si>
  <si>
    <t>✔️</t>
  </si>
  <si>
    <t>003147</t>
  </si>
  <si>
    <t>601A0</t>
  </si>
  <si>
    <t>VWPAL</t>
  </si>
  <si>
    <t>Malı teslim alan</t>
  </si>
  <si>
    <t>Malzeme numarası</t>
  </si>
  <si>
    <t>Ambalajlama Çeşidi</t>
  </si>
  <si>
    <t>Ambalaj Malzeme Kodu</t>
  </si>
  <si>
    <t>KLT Kutu içi adedi</t>
  </si>
  <si>
    <t>Palet Sıra KLT Sayısı</t>
  </si>
  <si>
    <t>Palette Katman Sayısı</t>
  </si>
  <si>
    <t>001N0</t>
  </si>
  <si>
    <t>01</t>
  </si>
  <si>
    <t>K814</t>
  </si>
  <si>
    <t>767E4</t>
  </si>
  <si>
    <t>02</t>
  </si>
  <si>
    <t>K815</t>
  </si>
  <si>
    <t>KOD72</t>
  </si>
  <si>
    <t>03</t>
  </si>
  <si>
    <t>K811</t>
  </si>
  <si>
    <t>MOT G</t>
  </si>
  <si>
    <t>K810</t>
  </si>
  <si>
    <t>P05A1</t>
  </si>
  <si>
    <t>004147</t>
  </si>
  <si>
    <t>G01K1</t>
  </si>
  <si>
    <t>CC1</t>
  </si>
  <si>
    <t>K812</t>
  </si>
  <si>
    <t>501A4</t>
  </si>
  <si>
    <t>K813</t>
  </si>
  <si>
    <t>Deckel pro Palette</t>
  </si>
  <si>
    <t>MON G</t>
  </si>
  <si>
    <t>106K4</t>
  </si>
  <si>
    <t>J0120</t>
  </si>
  <si>
    <t>307K2</t>
  </si>
  <si>
    <t>103H7</t>
  </si>
  <si>
    <t>403C7</t>
  </si>
  <si>
    <t>L03D1</t>
  </si>
  <si>
    <t>855I3</t>
  </si>
  <si>
    <t>KOD66</t>
  </si>
  <si>
    <t>F01G1</t>
  </si>
  <si>
    <t>703E4</t>
  </si>
  <si>
    <t>MOT</t>
  </si>
  <si>
    <t>418F6</t>
  </si>
  <si>
    <t>L02F1</t>
  </si>
  <si>
    <t>103Z2</t>
  </si>
  <si>
    <t>889I7</t>
  </si>
  <si>
    <t>101K4</t>
  </si>
  <si>
    <t>307K3</t>
  </si>
  <si>
    <t>103P4</t>
  </si>
  <si>
    <t>Y05S2</t>
  </si>
  <si>
    <t>L06V1</t>
  </si>
  <si>
    <t>103C9</t>
  </si>
  <si>
    <t>KOD85</t>
  </si>
  <si>
    <t>KOD86</t>
  </si>
  <si>
    <t>CTCT</t>
  </si>
  <si>
    <t>O010A</t>
  </si>
  <si>
    <t>Y0537</t>
  </si>
  <si>
    <t>303H7</t>
  </si>
  <si>
    <t>303I1</t>
  </si>
  <si>
    <t>303G1</t>
  </si>
  <si>
    <t>L06S2</t>
  </si>
  <si>
    <t>W010C</t>
  </si>
  <si>
    <t>804C8</t>
  </si>
  <si>
    <t>014n9</t>
  </si>
  <si>
    <t>KOD47</t>
  </si>
  <si>
    <t>ctct</t>
  </si>
  <si>
    <t>102u6</t>
  </si>
  <si>
    <t>C1b</t>
  </si>
  <si>
    <t>kod72</t>
  </si>
  <si>
    <t>vs3</t>
  </si>
  <si>
    <t>pst03</t>
  </si>
  <si>
    <t>601a0</t>
  </si>
  <si>
    <t>l02f1</t>
  </si>
  <si>
    <t>889i7</t>
  </si>
  <si>
    <t>mon g</t>
  </si>
  <si>
    <t>106k4</t>
  </si>
  <si>
    <t>203s0</t>
  </si>
  <si>
    <t>c0560</t>
  </si>
  <si>
    <t>001n0</t>
  </si>
  <si>
    <t>o010a</t>
  </si>
  <si>
    <t>j0120</t>
  </si>
  <si>
    <t>307k2</t>
  </si>
  <si>
    <t>103p4</t>
  </si>
  <si>
    <t>103z2</t>
  </si>
  <si>
    <t>s1908</t>
  </si>
  <si>
    <t>y0537</t>
  </si>
  <si>
    <t>w010c</t>
  </si>
  <si>
    <t>kod85</t>
  </si>
  <si>
    <t>501a4</t>
  </si>
  <si>
    <t>cc1</t>
  </si>
  <si>
    <t>103z5</t>
  </si>
  <si>
    <t>l06v1</t>
  </si>
  <si>
    <t>103c9</t>
  </si>
  <si>
    <t>l03d1</t>
  </si>
  <si>
    <t>kod47</t>
  </si>
  <si>
    <t>S1908</t>
  </si>
  <si>
    <t>kod66</t>
  </si>
  <si>
    <t>103Z5</t>
  </si>
  <si>
    <t>103h7</t>
  </si>
  <si>
    <t>kod86</t>
  </si>
  <si>
    <t>l06s2</t>
  </si>
  <si>
    <t>101k4</t>
  </si>
  <si>
    <t>y05s4</t>
  </si>
  <si>
    <t>307k1</t>
  </si>
  <si>
    <t>804c8</t>
  </si>
  <si>
    <t>mot g</t>
  </si>
  <si>
    <t>f01g1</t>
  </si>
  <si>
    <t>y05d2</t>
  </si>
  <si>
    <t>402i6</t>
  </si>
  <si>
    <t>t5p51</t>
  </si>
  <si>
    <t>kaq</t>
  </si>
  <si>
    <t>106u6</t>
  </si>
  <si>
    <t>219s7</t>
  </si>
  <si>
    <t>c0340</t>
  </si>
  <si>
    <t>307m7</t>
  </si>
  <si>
    <t>303o2</t>
  </si>
  <si>
    <t>106a4</t>
  </si>
  <si>
    <t>217s7</t>
  </si>
  <si>
    <t>303Q3</t>
  </si>
  <si>
    <t>214s0</t>
  </si>
  <si>
    <t>mot</t>
  </si>
  <si>
    <t>S2908</t>
  </si>
  <si>
    <t>MOTLC</t>
  </si>
  <si>
    <t>sl g</t>
  </si>
  <si>
    <t>c0162</t>
  </si>
  <si>
    <t>101u6</t>
  </si>
  <si>
    <t>203S7</t>
  </si>
  <si>
    <t>103G7</t>
  </si>
  <si>
    <t>g01k1</t>
  </si>
  <si>
    <t xml:space="preserve"> </t>
  </si>
  <si>
    <t>307M7</t>
  </si>
  <si>
    <t>501r3</t>
  </si>
  <si>
    <t>mon</t>
  </si>
  <si>
    <t>303i1</t>
  </si>
  <si>
    <t>303g1</t>
  </si>
  <si>
    <t>401i6</t>
  </si>
  <si>
    <t>418f6</t>
  </si>
  <si>
    <t>703e4</t>
  </si>
  <si>
    <t>p05a1</t>
  </si>
  <si>
    <t>307k3</t>
  </si>
  <si>
    <t>y05s2</t>
  </si>
  <si>
    <t>103p8</t>
  </si>
  <si>
    <t>S1404</t>
  </si>
  <si>
    <t>C01F2</t>
  </si>
  <si>
    <t>501a3</t>
  </si>
  <si>
    <t>403c1</t>
  </si>
  <si>
    <t>203S0</t>
  </si>
  <si>
    <t>O01p2</t>
  </si>
  <si>
    <t>303h7</t>
  </si>
  <si>
    <t>303u1</t>
  </si>
  <si>
    <t>855i3</t>
  </si>
  <si>
    <t>303q3</t>
  </si>
  <si>
    <t>c1b</t>
  </si>
  <si>
    <t>W010c</t>
  </si>
  <si>
    <t>303b1</t>
  </si>
  <si>
    <t>vs1</t>
  </si>
  <si>
    <t>C0162</t>
  </si>
  <si>
    <t>902S6</t>
  </si>
  <si>
    <t>203s7</t>
  </si>
  <si>
    <t>403c7</t>
  </si>
  <si>
    <t>217s0</t>
  </si>
  <si>
    <t>y05n4</t>
  </si>
  <si>
    <t>217S7</t>
  </si>
  <si>
    <t>601p0</t>
  </si>
  <si>
    <t>307q1</t>
  </si>
  <si>
    <t>102k4</t>
  </si>
  <si>
    <t>c0360</t>
  </si>
  <si>
    <t>Vs1</t>
  </si>
  <si>
    <t>207s0</t>
  </si>
  <si>
    <t>W01g2</t>
  </si>
  <si>
    <t>206v3</t>
  </si>
  <si>
    <t>s1404</t>
  </si>
  <si>
    <t>ks g</t>
  </si>
  <si>
    <t>902s6</t>
  </si>
  <si>
    <t>W01c0</t>
  </si>
  <si>
    <t>W01C0</t>
  </si>
  <si>
    <t>04</t>
  </si>
  <si>
    <t>c0860</t>
  </si>
  <si>
    <t>209w1</t>
  </si>
  <si>
    <t>507a3</t>
  </si>
  <si>
    <t>501a5</t>
  </si>
  <si>
    <t>o01p2</t>
  </si>
  <si>
    <t>303p7</t>
  </si>
  <si>
    <t>103b7</t>
  </si>
  <si>
    <t>1ab</t>
  </si>
  <si>
    <t>303w1</t>
  </si>
  <si>
    <t>214S0</t>
  </si>
  <si>
    <t>80245</t>
  </si>
  <si>
    <t>Weitere Artikel die fehlen hier einfügen</t>
  </si>
  <si>
    <t>BAU90</t>
  </si>
  <si>
    <t>99C159</t>
  </si>
  <si>
    <t>UPSOR</t>
  </si>
  <si>
    <t>ACHG</t>
  </si>
  <si>
    <t>PT02</t>
  </si>
  <si>
    <t>KXG</t>
  </si>
  <si>
    <t>BAU50</t>
  </si>
  <si>
    <t>303O3</t>
  </si>
  <si>
    <t>H1A</t>
  </si>
  <si>
    <t>0003147</t>
  </si>
  <si>
    <t>Norm Kodu</t>
  </si>
  <si>
    <t>Malzeme Kodu</t>
  </si>
  <si>
    <t>Kutu Ici</t>
  </si>
  <si>
    <t>Malzeme Açıklaması</t>
  </si>
  <si>
    <t>Malzeme Ağırlığı</t>
  </si>
  <si>
    <t>1Z0 860 091 J</t>
  </si>
  <si>
    <t>M06 1Z0860091J VW Rond.Som. Cl.8 Cr+3 YL</t>
  </si>
  <si>
    <t>001006</t>
  </si>
  <si>
    <t>N   910 968 01</t>
  </si>
  <si>
    <t>2000</t>
  </si>
  <si>
    <t>M6x20 OZEL FT 8.8 N060</t>
  </si>
  <si>
    <t>5QE 915 359 E</t>
  </si>
  <si>
    <t>M6x91 ISO14583+R HT T30 8.8 r645 5QE915359E</t>
  </si>
  <si>
    <t>001210</t>
  </si>
  <si>
    <t>5QE 915 359 A</t>
  </si>
  <si>
    <t>M6x89.5 14583 HT T30 8.8 915.359.A C347</t>
  </si>
  <si>
    <t>VW0012</t>
  </si>
  <si>
    <t>N   010 237 16</t>
  </si>
  <si>
    <t>M8x12-6e 933-4017 8.8 r677 N  010 237 16</t>
  </si>
  <si>
    <t>DB0011</t>
  </si>
  <si>
    <t>N   010 244 26</t>
  </si>
  <si>
    <t>900</t>
  </si>
  <si>
    <t>M 8 x 30-6e  - N   010 244 26</t>
  </si>
  <si>
    <t>0001SCH</t>
  </si>
  <si>
    <t>N   010 574 06</t>
  </si>
  <si>
    <t>M8x20-6f 8.8 KAYNAK CIV. N 010 574 6</t>
  </si>
  <si>
    <t>N   101 064 03</t>
  </si>
  <si>
    <t>M12x1.5 N 101 064 03 Fib.Fl.S.Cl.10 r645</t>
  </si>
  <si>
    <t>N   102 875 05</t>
  </si>
  <si>
    <t>M 10 x 45 4017 10.9  RON. t647 N102875</t>
  </si>
  <si>
    <t>-</t>
  </si>
  <si>
    <t>N   102 875 06</t>
  </si>
  <si>
    <t>M10x45 4017 8.8  RON. t677 N102875/05</t>
  </si>
  <si>
    <t>DHL</t>
  </si>
  <si>
    <t>N   103 402 03</t>
  </si>
  <si>
    <t>M10 N 103 402 03 Rond.Som.Cl.10 t647</t>
  </si>
  <si>
    <t>UPS</t>
  </si>
  <si>
    <t>N   103 443 02</t>
  </si>
  <si>
    <t>360</t>
  </si>
  <si>
    <t>M8x60 933-4017+ROND.Z1 8.8 N10344302 t647</t>
  </si>
  <si>
    <t>TNT</t>
  </si>
  <si>
    <t>N   104 213 04</t>
  </si>
  <si>
    <t>M12x1.50x80 8676+R 10.9 t647 N10421304</t>
  </si>
  <si>
    <t>N   104 748 03</t>
  </si>
  <si>
    <t>M12 N 104 748 03 (6923) TIRTIRSIZ FL. CL.8 t647</t>
  </si>
  <si>
    <t>N   105 232 01</t>
  </si>
  <si>
    <t>M14x1.5x120  - N   105 232 01</t>
  </si>
  <si>
    <t>99P022</t>
  </si>
  <si>
    <t>N   105 695 01</t>
  </si>
  <si>
    <t>M5x16-6e 912 - N   105 695 01</t>
  </si>
  <si>
    <t>N   105 797 02</t>
  </si>
  <si>
    <t>M10x76 1665- - N   105 797 02</t>
  </si>
  <si>
    <t>WKLT</t>
  </si>
  <si>
    <t>N   106 283 01</t>
  </si>
  <si>
    <t>M12x1.50x90-6e 1665 10.9 t647 N10628301</t>
  </si>
  <si>
    <t>EUROP</t>
  </si>
  <si>
    <t>N   106 645 02</t>
  </si>
  <si>
    <t>M8x45-6e 692 - N   106 645 02</t>
  </si>
  <si>
    <t>TEP</t>
  </si>
  <si>
    <t>N   106 893 05</t>
  </si>
  <si>
    <t>M8x25 FLN.INB 8.8 N10 r645 N106893</t>
  </si>
  <si>
    <t>EUROP/2</t>
  </si>
  <si>
    <t>N   106 902 01</t>
  </si>
  <si>
    <t>M8x70-6e 692 - N   106 902 01</t>
  </si>
  <si>
    <t>B12</t>
  </si>
  <si>
    <t>N   107 135 02</t>
  </si>
  <si>
    <t>750</t>
  </si>
  <si>
    <t>M8x28-6e 166 - N   107 135 02</t>
  </si>
  <si>
    <t>B15</t>
  </si>
  <si>
    <t>N   107 170 01</t>
  </si>
  <si>
    <t>M8x18-6e FLN - N   107 170 01</t>
  </si>
  <si>
    <t>B18</t>
  </si>
  <si>
    <t>N   107 180 01</t>
  </si>
  <si>
    <t>M12x95 OZEL FLN. UC.SIV.FT 8.8 N10718001 c697</t>
  </si>
  <si>
    <t>992325L</t>
  </si>
  <si>
    <t>N   107 739 01</t>
  </si>
  <si>
    <t>M10x95-6e 1665 10.9 - N  107 739 01</t>
  </si>
  <si>
    <t>99P022L</t>
  </si>
  <si>
    <t>N   107 817 01</t>
  </si>
  <si>
    <t>M8x18+M6x10 SAP.8.8 r645 N10781701</t>
  </si>
  <si>
    <t>VWPALL</t>
  </si>
  <si>
    <t>N   108 103 01</t>
  </si>
  <si>
    <t>M8x60 OZEL+R N10 U.S.10.9 r645 N10810301</t>
  </si>
  <si>
    <t>N   108 214 01</t>
  </si>
  <si>
    <t>M 16 x 1.5 x 45 OZEL FLN. FT 10.9 N10821401 T647</t>
  </si>
  <si>
    <t>N   108 279 02</t>
  </si>
  <si>
    <t>700</t>
  </si>
  <si>
    <t>M8x42 OZEL.INB N10 FT 10.9 N10827902 r645</t>
  </si>
  <si>
    <t>N   911 937 02</t>
  </si>
  <si>
    <t>500</t>
  </si>
  <si>
    <t>M8x25 OZEL FT 10.9 D050</t>
  </si>
  <si>
    <t>N   913 012 01</t>
  </si>
  <si>
    <t>250</t>
  </si>
  <si>
    <t>M8x80 OZEL FT 10.9 D050</t>
  </si>
  <si>
    <t>N   108 336 01</t>
  </si>
  <si>
    <t>2800</t>
  </si>
  <si>
    <t>M6 x 11 BOM.B. MAT T30 FT 8.8 r677</t>
  </si>
  <si>
    <t>N   108 458 01</t>
  </si>
  <si>
    <t>M12X1.5X130-6e OZEL FLN+R.10.9 N10845801 t647</t>
  </si>
  <si>
    <t>N   108 463 01</t>
  </si>
  <si>
    <t>M10x115 INBUS-6e N12 HT 8.8 t647 N10846301</t>
  </si>
  <si>
    <t>N   108 549 01</t>
  </si>
  <si>
    <t xml:space="preserve">M10 x 65+M6 x 12 SAP.ORT.FLN. 8.8 r645 </t>
  </si>
  <si>
    <t>N   901 838 03</t>
  </si>
  <si>
    <t>M8 Fib.Fln.CI.8 ZnNi Cr3 N 901 838 03</t>
  </si>
  <si>
    <t>N   901 838 04</t>
  </si>
  <si>
    <t>M08 Fib.Fln.Cl.10ZnNi Cr3 N 901 838 04</t>
  </si>
  <si>
    <t>8B1 614 306</t>
  </si>
  <si>
    <t>200</t>
  </si>
  <si>
    <t>M8x94 SAPL.+T FT 8.8 N060</t>
  </si>
  <si>
    <t>8B2 614 306</t>
  </si>
  <si>
    <t>M8x89,50 SAPL.+T FT 8.8 N060</t>
  </si>
  <si>
    <t>N   903 536 04</t>
  </si>
  <si>
    <t>M14X1.50 N 903 536 04 SIK.FL.CL.8 t647</t>
  </si>
  <si>
    <t>N   905 757 03</t>
  </si>
  <si>
    <t>M8 x30 933-4 - N   905 757 03</t>
  </si>
  <si>
    <t>N   908 342 01</t>
  </si>
  <si>
    <t>M10x105 ALTI.K.+R-6e D.P.HT10.9 t647 N90834201</t>
  </si>
  <si>
    <t>N   912 761 01</t>
  </si>
  <si>
    <t>50</t>
  </si>
  <si>
    <t>M12x1,50x120 OZEL+R FT 10.9 D050</t>
  </si>
  <si>
    <t>N   107 135 03</t>
  </si>
  <si>
    <t>M8x28 1665 FT 8.8 N060</t>
  </si>
  <si>
    <t>N   908 357 05</t>
  </si>
  <si>
    <t>M8x30 ALTI K. UC SİV.+R 10.9 N90835705 t647</t>
  </si>
  <si>
    <t>N   908 406 03</t>
  </si>
  <si>
    <t>M8x23 Bom.Baş 12lobe Kad. 8.8 r677 N90840603</t>
  </si>
  <si>
    <t>N   913 036 01</t>
  </si>
  <si>
    <t>600</t>
  </si>
  <si>
    <t>M6x69 OZEL FT 8.8 D050</t>
  </si>
  <si>
    <t>N   909 293 03</t>
  </si>
  <si>
    <t>M08 N 909 293 03 YUVARLAK KAY.SOM.CL.10 c340</t>
  </si>
  <si>
    <t>N   909 429 02</t>
  </si>
  <si>
    <t>650</t>
  </si>
  <si>
    <t>M12X1.50 N 909 429 02 FIB.FL.CL.10 r645</t>
  </si>
  <si>
    <t>N   910 166 02</t>
  </si>
  <si>
    <t>M12x1.50x85 8676+R 10.9 t647 N91016602</t>
  </si>
  <si>
    <t>N   910 186 01</t>
  </si>
  <si>
    <t>M8x20-6e BOMB.N8 FT 10.9 t630 N91018601</t>
  </si>
  <si>
    <t>WHT 011 515</t>
  </si>
  <si>
    <t>M14x1,50x130 OZEL+R FT 10.9 D050</t>
  </si>
  <si>
    <t>N   910 216 01</t>
  </si>
  <si>
    <t>M14x1,5 N910 - N   910 216 01</t>
  </si>
  <si>
    <t>1500</t>
  </si>
  <si>
    <t>N   910 941 02</t>
  </si>
  <si>
    <t>M10x30+M8x12 SAPLAMA 10.9 r645 N91094102</t>
  </si>
  <si>
    <t>N   910 953 01</t>
  </si>
  <si>
    <t>M6x40-6e 931 - N   910 953 01</t>
  </si>
  <si>
    <t>N   911 266 01</t>
  </si>
  <si>
    <t>M6x16 BOM.BAS.T30 dk:13 8.8 t647 N911266</t>
  </si>
  <si>
    <t>N   911 422 01</t>
  </si>
  <si>
    <t>M8x28 FL.INB.6e12L N10 8.8N91142201 t647</t>
  </si>
  <si>
    <t>N   911 439 01</t>
  </si>
  <si>
    <t>M8x16 FLN.INB 10.9(12LOBE)N91143901 t647</t>
  </si>
  <si>
    <t>WHT 010 195</t>
  </si>
  <si>
    <t>M6x98 OZEL HT 9.8 N180</t>
  </si>
  <si>
    <t>M18x1,50x85 961 FT 10.9 D170</t>
  </si>
  <si>
    <t>M10x35 OZEL FT 8.8 N180</t>
  </si>
  <si>
    <t>M18x1,50 2818968 FL. TSIZ CL.05 F280</t>
  </si>
  <si>
    <t>M6x88 OZEL HT 8.8 N060</t>
  </si>
  <si>
    <t>M8x100 OZEL HT 8.8 N180</t>
  </si>
  <si>
    <t>M8x110 OZEL HT 8.8 N180</t>
  </si>
  <si>
    <t>M8x120 OZEL HT 8.8 N180</t>
  </si>
  <si>
    <t>M8x130 OZEL HT 8.8 N180</t>
  </si>
  <si>
    <t>25SR021.0</t>
  </si>
  <si>
    <t>M8x28 1665 FT 8.8 D050</t>
  </si>
  <si>
    <t>N   912 261 01</t>
  </si>
  <si>
    <t>M8x75 OZEL HT 8.8 D050</t>
  </si>
  <si>
    <t>N   015 082 10</t>
  </si>
  <si>
    <t>M6 N01508210 FL. TSIZ CL.8 N060</t>
  </si>
  <si>
    <t>88083.20.001.02</t>
  </si>
  <si>
    <t>Ø5x12 OZEL KAY.SAP. 4.6 C440</t>
  </si>
  <si>
    <t>N   910 376 02</t>
  </si>
  <si>
    <t>M5 N91037602 KARE KAY. CL.8 C440</t>
  </si>
  <si>
    <t>89332.20.001.02</t>
  </si>
  <si>
    <t>M8 928 CL.10 N060</t>
  </si>
  <si>
    <t>87308.20.001.01</t>
  </si>
  <si>
    <t>M14 22978851 BURC CL.10 PN</t>
  </si>
  <si>
    <t>87853.20.001.01</t>
  </si>
  <si>
    <t>M6 N90817302 PERCIN CL.6 N060</t>
  </si>
  <si>
    <t>M16x1.50x42 ÇEKİÇ KAFA  OZEL  8.8 PN</t>
  </si>
  <si>
    <t>N   911 574 01</t>
  </si>
  <si>
    <t>M08 N 911 574 01 T.sız Flg So.Cl.8 r645</t>
  </si>
  <si>
    <t>N   911 669 01</t>
  </si>
  <si>
    <t>M6x14 B.BAS+R 6eT30 dk:13 10.9 t610</t>
  </si>
  <si>
    <t>N   911 869 01</t>
  </si>
  <si>
    <t>M 6 x 14 B.BAS+R 6e T30dk:13 10.9 t610</t>
  </si>
  <si>
    <t>N   911 873 01</t>
  </si>
  <si>
    <t>M8x30 FLN.INB 8.8 (12LOBE)N91187301 c697</t>
  </si>
  <si>
    <t>N   911 887 01</t>
  </si>
  <si>
    <t>M12x1.5x35-6 - N   911 887 01</t>
  </si>
  <si>
    <t>N   911 968 01</t>
  </si>
  <si>
    <t>M12x1.50x130 FLN.TIRT+R-6e UC.S.10.9 t647 N911968</t>
  </si>
  <si>
    <t>N 912 056 01</t>
  </si>
  <si>
    <t>M8x22 OZEL FT 8.8 N070</t>
  </si>
  <si>
    <t>0,0168</t>
  </si>
  <si>
    <t>N 912 788 01</t>
  </si>
  <si>
    <t>M8x25 OZEL+R FT 10.9 N180</t>
  </si>
  <si>
    <t>0,01676</t>
  </si>
  <si>
    <t>N 107 367 01</t>
  </si>
  <si>
    <t>M8x20 OZEL FT 8.8 D050</t>
  </si>
  <si>
    <t>0,01531</t>
  </si>
  <si>
    <t>N 107 371 01</t>
  </si>
  <si>
    <t>M8x22 OZEL FT 8.8 D050</t>
  </si>
  <si>
    <t>0,01686</t>
  </si>
  <si>
    <t>N 107 765 01</t>
  </si>
  <si>
    <t>M8x85 OZEL FT 10.9 D050</t>
  </si>
  <si>
    <t>0,03638</t>
  </si>
  <si>
    <t>N 107 805 01</t>
  </si>
  <si>
    <t>M8x45 OZEL FT 10.9 D050</t>
  </si>
  <si>
    <t>0,02314</t>
  </si>
  <si>
    <t>N 913 257 01</t>
  </si>
  <si>
    <t>M10x175 OZEL+R HT 8.8 N070</t>
  </si>
  <si>
    <t>0,11701</t>
  </si>
  <si>
    <t>WHT 013 093</t>
  </si>
  <si>
    <t>M6x16 OZEL FT 8.8 N070</t>
  </si>
  <si>
    <t>0,00485</t>
  </si>
  <si>
    <t>N 913 249 01</t>
  </si>
  <si>
    <t>M12x1,50x100 OZEL+R FT 10.9 D050</t>
  </si>
  <si>
    <t>0,11306</t>
  </si>
  <si>
    <t>N 910 416 01</t>
  </si>
  <si>
    <t>M5x16 OZEL FT 8.8 N170</t>
  </si>
  <si>
    <t>0,00483</t>
  </si>
  <si>
    <t>1Z0 860 505 L</t>
  </si>
  <si>
    <t>M6x12 OZEL FT 8.8 N170</t>
  </si>
  <si>
    <t>0,00424</t>
  </si>
  <si>
    <t>N 102 684 01</t>
  </si>
  <si>
    <t>M8x20 OZEL FT 08.8 F290</t>
  </si>
  <si>
    <t>0,0096</t>
  </si>
  <si>
    <t>WHT 009 841</t>
  </si>
  <si>
    <t>Ø4x23 OZEL RTSB R P. V. 10.9 N190</t>
  </si>
  <si>
    <t>0,00201</t>
  </si>
  <si>
    <t>WHT 001 396 A</t>
  </si>
  <si>
    <t>WHT 001 396 A Anlaufscheibe-PAK</t>
  </si>
  <si>
    <t>0,0015</t>
  </si>
  <si>
    <t>N   912 032 03</t>
  </si>
  <si>
    <t>M8x22-6eBOMB.SiV.N10 FT8.8 T647N91203203</t>
  </si>
  <si>
    <t>N   912 056 02</t>
  </si>
  <si>
    <t>M8x22 OZEL N10 UCU.SIV.10.9 r677 N912056</t>
  </si>
  <si>
    <t>N   912 177 01</t>
  </si>
  <si>
    <t>M12x1.5x85-6e1665+R RIPP10.9 N912177 t647</t>
  </si>
  <si>
    <t>M8x75-6e ÖZEL ŞAP.UCUS.8.8- N912261 t647</t>
  </si>
  <si>
    <t>N   912 280 01</t>
  </si>
  <si>
    <t>M14x1.5x145-6e1665+R MAT10.9t647 N912280</t>
  </si>
  <si>
    <t>N   912 282 01</t>
  </si>
  <si>
    <t>M6x55 OZEL+R T30dk:13 8.8 r677 N91228201</t>
  </si>
  <si>
    <t>N   912 291 01</t>
  </si>
  <si>
    <t>M10 N 912 291 01 Yuvarlak.Kay.So.10 c340</t>
  </si>
  <si>
    <t>N   912 311 01</t>
  </si>
  <si>
    <t>M 8 x 40 FLNS N10 MAT10.9 R645 N91231101</t>
  </si>
  <si>
    <t>N   912 312 01</t>
  </si>
  <si>
    <t>M10x30 1665+R-6e UC.S.10.9 N91231201</t>
  </si>
  <si>
    <t>N   912 323 02</t>
  </si>
  <si>
    <t>M12x1.5x28 8676+R MAT 10.9 N91232302 r672-TUF</t>
  </si>
  <si>
    <t>N   912 331 01</t>
  </si>
  <si>
    <t>M8x55 933+R UC.SİV. 10.9 N91233101 T647</t>
  </si>
  <si>
    <t>N   912 337 01</t>
  </si>
  <si>
    <t>M10x150 ALTI.K.S+R-6e U.S.10.9 N91233701</t>
  </si>
  <si>
    <t>N   912 429 01</t>
  </si>
  <si>
    <t>M6x35-6e FL T30 UC SİV. FT 8.8 N91242901 r645</t>
  </si>
  <si>
    <t>N   912 449 01</t>
  </si>
  <si>
    <t>M14x1.5x75-6e OZEL+R RIPP 10.9 t647 N91244901</t>
  </si>
  <si>
    <t>N   912 557 01</t>
  </si>
  <si>
    <t>350</t>
  </si>
  <si>
    <t>M10x40 INBUS+R N12 FT 10.9 t647 N91255701</t>
  </si>
  <si>
    <t>N   912 613 02</t>
  </si>
  <si>
    <t>1800</t>
  </si>
  <si>
    <t>M6x20 FLN BOM.B T30 UC SİV. FT 8.8 N91261302 r645</t>
  </si>
  <si>
    <t>N   912 616 01</t>
  </si>
  <si>
    <t>M06 N 912 616 01 SIKMALI FL.CL.8 r645</t>
  </si>
  <si>
    <t>N   912 629 01</t>
  </si>
  <si>
    <t>25</t>
  </si>
  <si>
    <t>M16x1.5x125 FLN.OZEL+R  FT 10.9 N91262901 t647</t>
  </si>
  <si>
    <t>N   912 637 01</t>
  </si>
  <si>
    <t>M8x25 FLN-6e N10 MAT 10.9 N91263701 t647</t>
  </si>
  <si>
    <t>N   912 640 01</t>
  </si>
  <si>
    <t>M8x35 ALTI K. UC SİV.+R FT 8.8 N91264001 t647</t>
  </si>
  <si>
    <t>N   912 704 01</t>
  </si>
  <si>
    <t>M8x55 EXT.12LOBE-6e UC SİV.FT 10.9 N91270401 t647</t>
  </si>
  <si>
    <t>WHT 001 949</t>
  </si>
  <si>
    <t>M12x1.5x92-6e Bomb.N1210.9t647 WHT001949</t>
  </si>
  <si>
    <t>WHT 003 269</t>
  </si>
  <si>
    <t>M6x52 ORT.OZ.SAP 10.9 E5 T647 WHT003269</t>
  </si>
  <si>
    <t>WHT 005 490 A</t>
  </si>
  <si>
    <t>M6x90 ÖZEL FLN.IN.N8 8.8 T647 WHT005490A</t>
  </si>
  <si>
    <t>WHT 007 375</t>
  </si>
  <si>
    <t>M6x91 ISO14583 HT T30 8.8 WHT007375 r677</t>
  </si>
  <si>
    <t>WHT 007 422</t>
  </si>
  <si>
    <t xml:space="preserve">M12x1.5x85-6e KAFAOZEL 10.9 WHT007422 GEO321B+VL  </t>
  </si>
  <si>
    <t>WHT 007 423</t>
  </si>
  <si>
    <t xml:space="preserve">M12x1.5x65-6e KAFAOZEL 10.9 WHT007423 GEO321B+VL  </t>
  </si>
  <si>
    <t>WHT 007 527</t>
  </si>
  <si>
    <t>M6x48 OZEL+R MAT T30 HT 8.8 WHT007527 r677</t>
  </si>
  <si>
    <t>WHT 007 567</t>
  </si>
  <si>
    <t>M8x23 FL.INB. N10 8.8WHT007567 r642+P85</t>
  </si>
  <si>
    <t>WHT 007 712</t>
  </si>
  <si>
    <t>M6x88 YUV. KAFA N8 HT 8.8 WHT007712 r645</t>
  </si>
  <si>
    <t>WHT 007 828</t>
  </si>
  <si>
    <t>M12X1.50 WHT 007 828 FIBERLI FL.CL.12 r645 (T&amp;T11)</t>
  </si>
  <si>
    <t>WHT 008 666</t>
  </si>
  <si>
    <t>M10x97 OZEL KAD.FLN.+R-6e FT 10.9 t647 WHT008666</t>
  </si>
  <si>
    <t>N   106 609 02</t>
  </si>
  <si>
    <t>M10x40 INBUS N12 FT 10.9 N106609 b140(TL 240)</t>
  </si>
  <si>
    <t>N   010 239 29</t>
  </si>
  <si>
    <t>M 8 x 18 933 - N   010 239 29</t>
  </si>
  <si>
    <t>N   108 194 01</t>
  </si>
  <si>
    <t>M8x55+M6x16 SAP.8.8 r645 N10819401</t>
  </si>
  <si>
    <t>N   908 623 03</t>
  </si>
  <si>
    <t>M8x40 933+R D.P.10.9 N90862303 t610</t>
  </si>
  <si>
    <t>N   911 746 01</t>
  </si>
  <si>
    <t>M12x1.5x38 FLN.İN+R RIPP10.9t647 N911746</t>
  </si>
  <si>
    <t>N   912 430 01</t>
  </si>
  <si>
    <t>M6x20 OZEL UC SİV.T30 dk:11.3 8.8 r645 N91243001</t>
  </si>
  <si>
    <t>N   912 566 01</t>
  </si>
  <si>
    <t>M10x25 BOM.B.12LOB N12 FT 10.9 N91256601 t647</t>
  </si>
  <si>
    <t>N   912 662 01</t>
  </si>
  <si>
    <t>M8x58 933+R UC.SİV. 10.9 N91266201 t647</t>
  </si>
  <si>
    <t>WHT 001 992</t>
  </si>
  <si>
    <t>M12x1.5x25-6e FL.OZN1210.9t630 WHT001992</t>
  </si>
  <si>
    <t>N   109 006 01</t>
  </si>
  <si>
    <t>1000</t>
  </si>
  <si>
    <t>M6x14 OZEL FT 10.9 D050</t>
  </si>
  <si>
    <t>PAF 109 006</t>
  </si>
  <si>
    <t>PAF 913 012</t>
  </si>
  <si>
    <t>30000</t>
  </si>
  <si>
    <t>M06 N 023 002 11 SIK. TIR.SIZ CL.10 r645</t>
  </si>
  <si>
    <t>N   108 626 01</t>
  </si>
  <si>
    <t>M10x58 INBUS-6e N12 FT 10.9 t647</t>
  </si>
  <si>
    <t>N   912 817 01</t>
  </si>
  <si>
    <t>M14x1.5x125 YUV.K.FLN+R.-6e N16 HT 10.9 t647(K.K)</t>
  </si>
  <si>
    <t>WHT 008 943</t>
  </si>
  <si>
    <t>M10 WHT 008 943 YUV.KAY. CL.10 C340</t>
  </si>
  <si>
    <t>N   102 861 10</t>
  </si>
  <si>
    <t>M10 N 102 861 10 SIK. TIR.SIZ CL.10 T647</t>
  </si>
  <si>
    <t>N   102 861 08</t>
  </si>
  <si>
    <t>M10 N 102 861 08 SIK. TIR.SIZ CL.8 K110</t>
  </si>
  <si>
    <t>N   903 471 03</t>
  </si>
  <si>
    <t>M08 N 903 471 03 TIR.SIZ CL.8 T647</t>
  </si>
  <si>
    <t>N   902 955 02</t>
  </si>
  <si>
    <t>M08 N 902 955 02 TIR.SIZ CL.8 R645</t>
  </si>
  <si>
    <t>N   910 216 02</t>
  </si>
  <si>
    <t>M14X1.50 N910216 FIB. FL. CL.05 R645</t>
  </si>
  <si>
    <t>N   103 320 02</t>
  </si>
  <si>
    <t>M10 N 103 320 02 RIPP FL. CL.10 T647</t>
  </si>
  <si>
    <t>N   912 184 01</t>
  </si>
  <si>
    <t>M08 N 912 184 01 TIR.SIZ CL.8 R645</t>
  </si>
  <si>
    <t>M06 N 015 082 10 TIR.SIZ CL.8 R645</t>
  </si>
  <si>
    <t>N   106 296 01</t>
  </si>
  <si>
    <t>M10x35 FLN.ALTI K.-6e UC SİV.FT 8.8 t647</t>
  </si>
  <si>
    <t>N   912 862 01</t>
  </si>
  <si>
    <t>M12x1,50 FLANSLI T.SIZ CL.10 N060</t>
  </si>
  <si>
    <t>N   907 988 05</t>
  </si>
  <si>
    <t>M08 N 907 988 05 TIR.SIZ CL.8 R645</t>
  </si>
  <si>
    <t>N   015 081 6</t>
  </si>
  <si>
    <t>M12X1.50 N 015 081 6 TIR.SIZ CL.10 T647</t>
  </si>
  <si>
    <t>N   907 667 02</t>
  </si>
  <si>
    <t>M6 A.K. FLANS SOMUN PERCIN CL.6</t>
  </si>
  <si>
    <t>M05 N 910 376 02 KARE KAYNAK CL.8 c340</t>
  </si>
  <si>
    <t>5R3 857 767</t>
  </si>
  <si>
    <t>Ø16 BURC DISSIZ C440</t>
  </si>
  <si>
    <t>4G8 827 439 F</t>
  </si>
  <si>
    <t>M8x48,00 OZEL TOP KAFA FT 10.9 D006</t>
  </si>
  <si>
    <t>N   912 898 01</t>
  </si>
  <si>
    <t>M6x25 OZEL FT 8.8 N060</t>
  </si>
  <si>
    <t>N   108 788 01</t>
  </si>
  <si>
    <t>WHT 009 839</t>
  </si>
  <si>
    <t>M6x20 SAPL. 8.8 D050</t>
  </si>
  <si>
    <t>N   107 822 01</t>
  </si>
  <si>
    <t>M8x95-6e 6921 10.9 t647 N10782201</t>
  </si>
  <si>
    <t>N   912 923 01</t>
  </si>
  <si>
    <t>M10 N91292301 ROND.SOM.CL.10 r645</t>
  </si>
  <si>
    <t>N   910 734 02</t>
  </si>
  <si>
    <t>M8x75-6e 6921 FT 10.9 UCS.N91073402 T647</t>
  </si>
  <si>
    <t>M 8 x 18 6921 c: 1.60 FT 10.9 ZN PHOS</t>
  </si>
  <si>
    <t>M8x30 8.8 931 TIRT.sw14 b:17 Jed 256-1</t>
  </si>
  <si>
    <t>M8x80 6921 FT 10.9 OZEL ZN FOSF.CR+3+YAG</t>
  </si>
  <si>
    <t>M10x60 OZEL FLANSLI ALTI KOSE FT 8.8 ZN NI CR+3 BLACK(SIYAH) T&amp;T 12</t>
  </si>
  <si>
    <t>M16x1.5x113 FT 6921 OZEL 8.8 JED257</t>
  </si>
  <si>
    <t>M16x1.5x134 HT 6921 OZEL 8.8 JED256-1</t>
  </si>
  <si>
    <t>M18x1.5x128 961 8.8 FT KANAL JED256 OZEL</t>
  </si>
  <si>
    <t>M16x1.5x173 FT Sw6YUV. OZEL 8.8 JED256.1</t>
  </si>
  <si>
    <t>M8x20 1665 FT 8.8 JED-256.1 WABCO</t>
  </si>
  <si>
    <t>M18x1.5x107 961 8.8 FT KANAL JED256 OZEL</t>
  </si>
  <si>
    <t>M16x1.5x114 HT 6921 OZEL 8.8 JED256-1</t>
  </si>
  <si>
    <t>M16x1.5x103 HT 6921 OZEL 8.8 JED256-1</t>
  </si>
  <si>
    <t>M16x1.5x125 HT 6921 OZEL 8.8 JED256-1</t>
  </si>
  <si>
    <t>1111537-00-A</t>
  </si>
  <si>
    <t>M8 1111537-00-A7044 CL.10 ZN NI CR+3 MAVI T&amp;T 8</t>
  </si>
  <si>
    <t>1139785-00-A</t>
  </si>
  <si>
    <t>M6x18 OZEL FLANSLI ALTI KOSE FT 8.8 ZN NI CR+3 BLACK(SIYAH) T&amp;T 11</t>
  </si>
  <si>
    <t>M16x1.5x152 FT Sw6YUV. OZEL 8.8 JED256.1</t>
  </si>
  <si>
    <t>M16x1.5x132 FT Sw6YUV. OZEL 8.8 JED256.1</t>
  </si>
  <si>
    <t>M16x1.5x110 FT Sw6YUV. OZEL 8.8 JED256.1</t>
  </si>
  <si>
    <t>M16x1.5x117 FT Sw6YUV. OZEL 8.8 JED256.1</t>
  </si>
  <si>
    <t>M16x1.5x148 FT Sw6YUV. OZEL 8.8 JED256.1</t>
  </si>
  <si>
    <t>M8x11.5-LH 933-4017 8.8 RON.JED739-3+PP</t>
  </si>
  <si>
    <t xml:space="preserve">M6x25 7985 FT 4.8 No:2 (Z) JED256.1+PP </t>
  </si>
  <si>
    <t>M6x20 912FT TSIZ.8.8 ZN YLCr+3+VH302GZ</t>
  </si>
  <si>
    <t>M8x50 933-4017 10.9 JED-256.1 8101263284</t>
  </si>
  <si>
    <t>M8x40 6921 FT 10.9 OZEL ZN FOSF.CR+3+YAG</t>
  </si>
  <si>
    <t>M8x65 6921 FT 10.9 OZEL JED371-1</t>
  </si>
  <si>
    <t>M18x1.5x80 6921 FT 10.9 ZN PHOS+YAG</t>
  </si>
  <si>
    <t>M8x50 933-4017 8.8 JED-256.1</t>
  </si>
  <si>
    <t>M8x55 933-4017 8.8 JED-256.1</t>
  </si>
  <si>
    <t>M8x60 933-4017 8.8 JED-256.1</t>
  </si>
  <si>
    <t>M8x70 933-4017 8.8 JED-256.1</t>
  </si>
  <si>
    <t>M8x70 933-4017 10.9 JED-256.1</t>
  </si>
  <si>
    <t>M8x80 34801 FT E12 10.9 JED371-1</t>
  </si>
  <si>
    <t>M6x14 14583 FT T30 8.8 JED-256.1 (T&amp;T15)</t>
  </si>
  <si>
    <t>M16x1.5-M14X3(1.5)LHx157 8.8 JED256-5</t>
  </si>
  <si>
    <t>N   911 462 01</t>
  </si>
  <si>
    <t>M8x35 SAPL. 8.8 D050</t>
  </si>
  <si>
    <t>M8x25 14580 T45 10.9 JED 739-4 BLK.</t>
  </si>
  <si>
    <t>M16x1.5-M14X3(1.5)LHx146 8.8 JED256-5</t>
  </si>
  <si>
    <t>M16x1.5-M14X3(1.5)LHx127 8.8 JED256-5</t>
  </si>
  <si>
    <t>M8x14 OZEL YUV.KAFA E10 FT 10.9 JED 371-1</t>
  </si>
  <si>
    <t xml:space="preserve">M16x1.5 934 WABCO Cl.8 ZN-CR+3 YL+B18 </t>
  </si>
  <si>
    <t>M08 934 Wabco Cl.10 CR+3 ZN+VH302GZ</t>
  </si>
  <si>
    <t>M6 8103480014 FİB.FL.CL6 ZN NI CR+3 TT15</t>
  </si>
  <si>
    <t>M08 810 304 111 4 A.kös S Cl.10 JED256-1</t>
  </si>
  <si>
    <t>M16x1.5 891 503 065 4 Fl.S.C.10 JED256-1</t>
  </si>
  <si>
    <t>M14X3.00 LH 925 481 430 4 CL.8+ISIL JED-256-5</t>
  </si>
  <si>
    <t>L0111844AA02</t>
  </si>
  <si>
    <t>M08 L0111844AA KareKaySo.Cl.10 PN+OILING</t>
  </si>
  <si>
    <t>L0325684AA04</t>
  </si>
  <si>
    <t>M10 L0325684 Fln.Yuv.So.Cl.10 ZN CR+3 BL</t>
  </si>
  <si>
    <t>L0114367AA02</t>
  </si>
  <si>
    <t>7/16-20UNFx25.4 Kay CIV.Gr 5.2 KUM+YAG</t>
  </si>
  <si>
    <t>M6x20 FLANŞLI T30 FT 12.9 JED247</t>
  </si>
  <si>
    <t>N   911 961 01</t>
  </si>
  <si>
    <t>M12x1.50x100 - N   911 961 01</t>
  </si>
  <si>
    <t>N   107 993 01</t>
  </si>
  <si>
    <t>M8x125-6e 6921 HT 10.9 UCS.N10799301T647</t>
  </si>
  <si>
    <t>M06 N 908 173 02 PERCIN CL.6 r643</t>
  </si>
  <si>
    <t>W520762-S300</t>
  </si>
  <si>
    <t>Ø7.35 W520762 Fln.Kaynak Som. CI.10 PN</t>
  </si>
  <si>
    <t>M14 22978851 FL.BURC CL.10 PN</t>
  </si>
  <si>
    <t>N   108 949 01</t>
  </si>
  <si>
    <t>M12x1,50x30 OZEL FT 10.9 D050</t>
  </si>
  <si>
    <t>88083.20.001.01</t>
  </si>
  <si>
    <t>Ø5x12 OZEL KAY.SAP. 4.8 C340(TL 217)- N 901 757 06</t>
  </si>
  <si>
    <t>Z009496VRO -ST</t>
  </si>
  <si>
    <t>Ø10x30,70 OZEL 8.8 N060</t>
  </si>
  <si>
    <t>ZT70161A7</t>
  </si>
  <si>
    <t>M16x1.5x46.50-6g OZEL KAFA FT 8.8 PN</t>
  </si>
  <si>
    <t>M16x1.5x37-6g Limon KAFA FT 8.8 PN</t>
  </si>
  <si>
    <t>M16x1.5x38.50-6g OZEL KAFA FT 8.8 PN</t>
  </si>
  <si>
    <t>M16x1.50x46.5 ÇEKİÇ KAFA OZEL  8.8 PN</t>
  </si>
  <si>
    <t>M16x1.5x42-6g OZEL KAFA FT 8.8 PN</t>
  </si>
  <si>
    <t>PH10.10336-01</t>
  </si>
  <si>
    <t>M16x1.5x87 OZEL+R  HT 8.8 b140(TL 240)</t>
  </si>
  <si>
    <t>N   912 899 01</t>
  </si>
  <si>
    <t>M10x40 OZEL FT 010.9 G620</t>
  </si>
  <si>
    <t>N   015 081 8</t>
  </si>
  <si>
    <t>M12x1,50 N0150818 FL. TSIZ CL.10 N060</t>
  </si>
  <si>
    <t>N   107 658 02</t>
  </si>
  <si>
    <t>M8x30 OZEL FT 10.9 D050</t>
  </si>
  <si>
    <t>N   912 943 01</t>
  </si>
  <si>
    <t>M12x1,50x62 OZEL+R FT 10.9 D050</t>
  </si>
  <si>
    <t>Schweissbolzen M16x1.5x37-6G Festigkeitsklasse 8.8</t>
  </si>
  <si>
    <t>Schweißbolzen M16x46.5 Festigkeitsklasse 8.8</t>
  </si>
  <si>
    <t>Schweißbolzen M16x41 Festigkeitsklasse 8.8</t>
  </si>
  <si>
    <t>N   912 727 01</t>
  </si>
  <si>
    <t>M12x1,50 N91272701 RONDELALI CL.10 N060</t>
  </si>
  <si>
    <t>N   912 942 01</t>
  </si>
  <si>
    <t>M14x1,50x45 OZEL FT 10.9 D050</t>
  </si>
  <si>
    <t>N   912 991 01</t>
  </si>
  <si>
    <t>DUZ ROND. 38.00x14.10x3.00</t>
  </si>
  <si>
    <t>N   106 730 03</t>
  </si>
  <si>
    <t>M8x40 OZEL FT 8.8 N060</t>
  </si>
  <si>
    <t>N   108 834 01</t>
  </si>
  <si>
    <t>M12x1,50x85 OZEL FT 10.9 D050</t>
  </si>
  <si>
    <t>N   010 287 12</t>
  </si>
  <si>
    <t>M6x16 OZEL 10.9 D080</t>
  </si>
  <si>
    <t>WHT 009 642</t>
  </si>
  <si>
    <t>M12x1,50x70 OZEL+R HT 10.9 D050</t>
  </si>
  <si>
    <t>WHT 009 971</t>
  </si>
  <si>
    <t>M14x1,50 WHT009971 FL. TSIZ CL.10 D050</t>
  </si>
  <si>
    <t>N   106 650 03</t>
  </si>
  <si>
    <t>M8x30 OEL FT 8.8 N080</t>
  </si>
  <si>
    <t>N   107 443 03</t>
  </si>
  <si>
    <t>N   910 971 02</t>
  </si>
  <si>
    <t>M6x30 OZEL FT 8.8 N080</t>
  </si>
  <si>
    <t>N   913 019 01</t>
  </si>
  <si>
    <t>M8x28 OZEL FT 10.9 N170</t>
  </si>
  <si>
    <t>N   101 064 02</t>
  </si>
  <si>
    <t>M12x1,50 N10106402 FIB. TSIZ CL.10 D060</t>
  </si>
  <si>
    <t>WHT 009 469</t>
  </si>
  <si>
    <t>N   912 912 01</t>
  </si>
  <si>
    <t>M10 N91291201 FL. KAY. CL.10 C440</t>
  </si>
  <si>
    <t>M8x30 OZEL FT 8.8 N080</t>
  </si>
  <si>
    <t>N   107 638 01</t>
  </si>
  <si>
    <t>M10x155 OZEL HT 8.8 D050</t>
  </si>
  <si>
    <t>N   907 422 02</t>
  </si>
  <si>
    <t>M12x80 OZEL FT 8.8 N080</t>
  </si>
  <si>
    <t>N   090 242 04</t>
  </si>
  <si>
    <t>M6x18 OZEL+R FT 8.8 D050</t>
  </si>
  <si>
    <t>N   102 349 01</t>
  </si>
  <si>
    <t>N   104 057 03</t>
  </si>
  <si>
    <t>M6x45 OZEL FT 8.8 F290</t>
  </si>
  <si>
    <t>N   104 562 01</t>
  </si>
  <si>
    <t>N   104 657 02</t>
  </si>
  <si>
    <t>N   105 173 03</t>
  </si>
  <si>
    <t>M8x22 OZEL FT 8.8 D002</t>
  </si>
  <si>
    <t>N   105 410 02</t>
  </si>
  <si>
    <t>M10x35 OZEL+R FT 10.9 D050</t>
  </si>
  <si>
    <t>N   106 070 02</t>
  </si>
  <si>
    <t>M8x38 OZEL FT 8.8 D050</t>
  </si>
  <si>
    <t>N   106 109 02</t>
  </si>
  <si>
    <t>M8x12 OZEL FT 8.8 N066</t>
  </si>
  <si>
    <t>N   106 162 01</t>
  </si>
  <si>
    <t>M12x1,50x42 OZEL HT 10.9 D050</t>
  </si>
  <si>
    <t>N   105 599 01</t>
  </si>
  <si>
    <t>N   106 421 01</t>
  </si>
  <si>
    <t>M8x25 OZEL FT 8.8 D050</t>
  </si>
  <si>
    <t>N   106 554 02</t>
  </si>
  <si>
    <t>M6x40 OZEL FT 8.8 F290</t>
  </si>
  <si>
    <t>N   106 610 02</t>
  </si>
  <si>
    <t>M6x20 OZEL FT 8.8 N170</t>
  </si>
  <si>
    <t>N   106 648 01</t>
  </si>
  <si>
    <t>N   107 390 02</t>
  </si>
  <si>
    <t>M6x45 OZEL FT 8.8 N060</t>
  </si>
  <si>
    <t>N   107 436 01</t>
  </si>
  <si>
    <t>M8x42 OZEL FT 8.8 D050</t>
  </si>
  <si>
    <t>N   107 511 01</t>
  </si>
  <si>
    <t>N   107 511 02</t>
  </si>
  <si>
    <t>N   909 897 02</t>
  </si>
  <si>
    <t>M6x40 OZEL FT 8.8 N170</t>
  </si>
  <si>
    <t>N   910 145 01</t>
  </si>
  <si>
    <t>M6x16 OZEL FT 10.9 D080</t>
  </si>
  <si>
    <t>N   910 214 03</t>
  </si>
  <si>
    <t>M10x35 OZEL FT 10.9 D050</t>
  </si>
  <si>
    <t>N   910 669 01</t>
  </si>
  <si>
    <t>M8x38 OZEL+R FT 8.8 D050</t>
  </si>
  <si>
    <t>N   910 973 01</t>
  </si>
  <si>
    <t>M6x45 OZEL FT 10.9 D050</t>
  </si>
  <si>
    <t>WHT 010 182</t>
  </si>
  <si>
    <t>M14x1,50x100 OZEL+R FT 10.9 D050</t>
  </si>
  <si>
    <t>N   911 239 01</t>
  </si>
  <si>
    <t>M5x37 OZEL+R FT 8.8 F070</t>
  </si>
  <si>
    <t>N   913 027 01</t>
  </si>
  <si>
    <t>M8x25 SAPL. 10.9 N060</t>
  </si>
  <si>
    <t>M16x1.50x42 ÇEKİÇ KAFA  OZEL  8.8 PN</t>
  </si>
  <si>
    <t>WHT 010 158</t>
  </si>
  <si>
    <t>7/16"x30 UNF OZEL FT 8.8 N060</t>
  </si>
  <si>
    <t>N  90798805</t>
  </si>
  <si>
    <t>N  10405704</t>
  </si>
  <si>
    <t>N   104 057 04</t>
  </si>
  <si>
    <t>N  91261302</t>
  </si>
  <si>
    <t>N  91016602</t>
  </si>
  <si>
    <t>N  10664801</t>
  </si>
  <si>
    <t>N  10642101</t>
  </si>
  <si>
    <t>N  10286110</t>
  </si>
  <si>
    <t>N  0150816</t>
  </si>
  <si>
    <t>N  90835705</t>
  </si>
  <si>
    <t>N  91142201</t>
  </si>
  <si>
    <t>N  10628301</t>
  </si>
  <si>
    <t>N  10344302</t>
  </si>
  <si>
    <t>N  01508210</t>
  </si>
  <si>
    <t>N  91228201</t>
  </si>
  <si>
    <t>N  90295502</t>
  </si>
  <si>
    <t>N  90183803</t>
  </si>
  <si>
    <t>N  10751101</t>
  </si>
  <si>
    <t>N  91261601</t>
  </si>
  <si>
    <t>N  10661002</t>
  </si>
  <si>
    <t>N  10717001</t>
  </si>
  <si>
    <t>N  91243001</t>
  </si>
  <si>
    <t>N  91143901</t>
  </si>
  <si>
    <t>N  91097301</t>
  </si>
  <si>
    <t>06E 103 239 E</t>
  </si>
  <si>
    <t>M8x82 OZEL SAPLAMA 10.9 T647 06E103239E</t>
  </si>
  <si>
    <t>WHT 010 207</t>
  </si>
  <si>
    <t>M14x1,50 WHT010207 SIK. TSIZ CL.8 N080</t>
  </si>
  <si>
    <t>N   105 621 01</t>
  </si>
  <si>
    <t>M6x55 14579+R FT 8.8 D010</t>
  </si>
  <si>
    <t>N   108 864 01</t>
  </si>
  <si>
    <t>M8x22 SAPL. FT 8.8 N060</t>
  </si>
  <si>
    <t>5QE.915.359.E</t>
  </si>
  <si>
    <t>N   010 574 6</t>
  </si>
  <si>
    <t>N 91126601</t>
  </si>
  <si>
    <t>N  912 430 01</t>
  </si>
  <si>
    <t>N  912 566 01</t>
  </si>
  <si>
    <t>N  912 662 01</t>
  </si>
  <si>
    <t>N   023 022 11</t>
  </si>
  <si>
    <t xml:space="preserve">WHT 009 839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</si>
</sst>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21" x14ac:knownFonts="1">
    <font>
      <sz val="11"/>
      <color theme="1"/>
      <name val="Aptos Narrow"/>
      <family val="2"/>
      <scheme val="minor"/>
    </font>
    <font>
      <sz val="10"/>
      <color theme="1"/>
      <name val="Montserrat"/>
      <family val="2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5"/>
      <color theme="0"/>
      <name val="Aptos Narrow"/>
      <family val="2"/>
      <scheme val="minor"/>
    </font>
    <font>
      <sz val="1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5"/>
      <name val="Aptos Narrow"/>
      <family val="2"/>
      <scheme val="minor"/>
    </font>
    <font>
      <sz val="15"/>
      <name val="Calibri"/>
      <family val="2"/>
    </font>
    <font>
      <b/>
      <sz val="15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Montserrat"/>
    </font>
    <font>
      <b/>
      <sz val="22"/>
      <name val="Aptos Narrow"/>
      <family val="2"/>
      <scheme val="minor"/>
    </font>
    <font>
      <sz val="11"/>
      <name val="Calibri"/>
      <family val="2"/>
    </font>
    <font>
      <sz val="15"/>
      <color rgb="FF000000"/>
      <name val="Aptos Narrow"/>
      <family val="2"/>
      <scheme val="minor"/>
    </font>
    <font>
      <b/>
      <sz val="11"/>
      <name val="Calibri"/>
      <family val="2"/>
      <charset val="162"/>
    </font>
    <font>
      <sz val="11"/>
      <color rgb="FF280009"/>
      <name val="Calibri"/>
      <family val="2"/>
      <charset val="162"/>
    </font>
    <font>
      <sz val="11"/>
      <color rgb="FF000000"/>
      <name val="Calibri"/>
      <family val="2"/>
    </font>
    <font>
      <sz val="11"/>
      <color rgb="FF280009"/>
      <name val="Calibri"/>
      <family val="2"/>
    </font>
    <font>
      <sz val="15"/>
      <color theme="1"/>
      <name val="Aptos Narrow"/>
      <family val="2"/>
      <scheme val="minor"/>
    </font>
    <font>
      <b/>
      <sz val="1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quotePrefix="1" applyFont="1" applyAlignment="1">
      <alignment vertical="top"/>
    </xf>
    <xf numFmtId="49" fontId="2" fillId="0" borderId="0" xfId="0" quotePrefix="1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3" fillId="2" borderId="0" xfId="0" applyFont="1" applyFill="1" applyAlignment="1">
      <alignment vertical="top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0" xfId="1" applyFont="1"/>
    <xf numFmtId="0" fontId="1" fillId="0" borderId="0" xfId="1"/>
    <xf numFmtId="49" fontId="1" fillId="0" borderId="0" xfId="1" applyNumberFormat="1"/>
    <xf numFmtId="0" fontId="0" fillId="0" borderId="0" xfId="0"/>
    <xf numFmtId="2" fontId="7" fillId="0" borderId="1" xfId="0" applyNumberFormat="1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164" fontId="12" fillId="5" borderId="3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1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</cellXfs>
  <cellStyles count="2">
    <cellStyle name="Standard" xfId="0" builtinId="0"/>
    <cellStyle name="Standard 2" xfId="1" xr:uid="{3FFFE0D3-B856-4F3B-9687-C033DBC57C01}"/>
  </cellStyles>
  <dxfs count="30">
    <dxf>
      <fill>
        <patternFill>
          <bgColor rgb="FFFF66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rmfastenerscomtr.sharepoint.com/sites/k_NormFastenersGermany/Lojistik/Volkswagen/Planung%20f&#252;r%20VW/2026/10/20261013%20Planung%20VW_Planung.xlsx" TargetMode="External"/><Relationship Id="rId1" Type="http://schemas.openxmlformats.org/officeDocument/2006/relationships/externalLinkPath" Target="https://normfastenerscomtr.sharepoint.com/sites/k_NormFastenersGermany/Lojistik/Volkswagen/Planung%20f&#252;r%20VW/2026/10/20261013%20Planung%20VW_Plan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manca"/>
      <sheetName val="DHL UPS"/>
      <sheetName val="RÜCKSTÄNDE"/>
      <sheetName val="SAP-Abladestellen"/>
      <sheetName val="Planung für Staplerfahrer"/>
      <sheetName val="Stammdaten"/>
      <sheetName val="Werke"/>
      <sheetName val="Maliteslimalan"/>
      <sheetName val="Paletten"/>
      <sheetName val="Bestellnr."/>
      <sheetName val="SAP Format Neu (Endtabelle)"/>
      <sheetName val="LISON DATEN"/>
      <sheetName val="LISON GT Legende"/>
      <sheetName val="Plan "/>
      <sheetName val="SAP Legende"/>
      <sheetName val="ALTE FORMEL für ÄNDERUNGEN"/>
      <sheetName val="Almanca Hilfsdaten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Abladestelle</v>
          </cell>
          <cell r="B1" t="str">
            <v>Lagerort</v>
          </cell>
          <cell r="C1" t="str">
            <v>Werk</v>
          </cell>
        </row>
        <row r="2">
          <cell r="A2" t="str">
            <v>106K4</v>
          </cell>
          <cell r="B2" t="str">
            <v>AKL</v>
          </cell>
          <cell r="C2">
            <v>11</v>
          </cell>
        </row>
        <row r="3">
          <cell r="A3" t="str">
            <v>101K4</v>
          </cell>
          <cell r="B3" t="str">
            <v>AKL</v>
          </cell>
          <cell r="C3">
            <v>11</v>
          </cell>
        </row>
        <row r="4">
          <cell r="A4" t="str">
            <v>101U6</v>
          </cell>
          <cell r="B4" t="str">
            <v>03A</v>
          </cell>
          <cell r="C4">
            <v>11</v>
          </cell>
        </row>
        <row r="5">
          <cell r="A5" t="str">
            <v>102U6</v>
          </cell>
          <cell r="B5" t="str">
            <v>03A</v>
          </cell>
          <cell r="C5">
            <v>11</v>
          </cell>
        </row>
        <row r="6">
          <cell r="A6" t="str">
            <v>102K4</v>
          </cell>
          <cell r="B6" t="str">
            <v>AKL</v>
          </cell>
          <cell r="C6">
            <v>11</v>
          </cell>
        </row>
        <row r="7">
          <cell r="A7" t="str">
            <v>106S9</v>
          </cell>
          <cell r="B7" t="str">
            <v>HL3</v>
          </cell>
          <cell r="C7">
            <v>11</v>
          </cell>
        </row>
        <row r="8">
          <cell r="A8" t="str">
            <v>106U6</v>
          </cell>
          <cell r="B8" t="str">
            <v>03A</v>
          </cell>
          <cell r="C8">
            <v>11</v>
          </cell>
        </row>
        <row r="9">
          <cell r="A9" t="str">
            <v>217S0</v>
          </cell>
          <cell r="B9" t="str">
            <v>AKL</v>
          </cell>
          <cell r="C9">
            <v>12</v>
          </cell>
        </row>
        <row r="10">
          <cell r="A10" t="str">
            <v>203S7</v>
          </cell>
          <cell r="B10" t="str">
            <v>U4</v>
          </cell>
          <cell r="C10">
            <v>12</v>
          </cell>
        </row>
        <row r="11">
          <cell r="A11" t="str">
            <v>203S0</v>
          </cell>
          <cell r="B11" t="str">
            <v>AKL</v>
          </cell>
          <cell r="C11">
            <v>12</v>
          </cell>
        </row>
        <row r="12">
          <cell r="A12" t="str">
            <v>217S7</v>
          </cell>
          <cell r="B12" t="str">
            <v>U4</v>
          </cell>
          <cell r="C12">
            <v>12</v>
          </cell>
        </row>
        <row r="13">
          <cell r="A13" t="str">
            <v>207S0</v>
          </cell>
          <cell r="B13" t="str">
            <v>AKL</v>
          </cell>
          <cell r="C13">
            <v>12</v>
          </cell>
        </row>
        <row r="14">
          <cell r="A14" t="str">
            <v>219S7</v>
          </cell>
          <cell r="B14" t="str">
            <v>U4</v>
          </cell>
          <cell r="C14">
            <v>12</v>
          </cell>
        </row>
        <row r="15">
          <cell r="A15" t="str">
            <v>214C1</v>
          </cell>
          <cell r="B15" t="str">
            <v>C3A</v>
          </cell>
          <cell r="C15">
            <v>12</v>
          </cell>
        </row>
        <row r="16">
          <cell r="A16">
            <v>30367</v>
          </cell>
          <cell r="B16" t="str">
            <v>H30</v>
          </cell>
          <cell r="C16">
            <v>13</v>
          </cell>
        </row>
        <row r="17">
          <cell r="A17">
            <v>30332</v>
          </cell>
          <cell r="B17" t="str">
            <v>31B</v>
          </cell>
          <cell r="C17">
            <v>13</v>
          </cell>
        </row>
        <row r="18">
          <cell r="A18" t="str">
            <v>303O2</v>
          </cell>
          <cell r="B18" t="str">
            <v>LZ2</v>
          </cell>
          <cell r="C18">
            <v>13</v>
          </cell>
        </row>
        <row r="19">
          <cell r="A19" t="str">
            <v>303P2</v>
          </cell>
          <cell r="B19" t="str">
            <v>LZ1</v>
          </cell>
          <cell r="C19">
            <v>13</v>
          </cell>
        </row>
        <row r="20">
          <cell r="A20" t="str">
            <v>303P7</v>
          </cell>
          <cell r="B20" t="str">
            <v>LZ1</v>
          </cell>
          <cell r="C20">
            <v>13</v>
          </cell>
        </row>
        <row r="21">
          <cell r="A21" t="str">
            <v>303O3</v>
          </cell>
          <cell r="B21" t="str">
            <v>LZ2</v>
          </cell>
          <cell r="C21">
            <v>13</v>
          </cell>
        </row>
        <row r="22">
          <cell r="A22" t="str">
            <v>KOD72</v>
          </cell>
          <cell r="B22" t="str">
            <v>D72</v>
          </cell>
          <cell r="C22">
            <v>14</v>
          </cell>
        </row>
        <row r="23">
          <cell r="A23" t="str">
            <v>KOD47</v>
          </cell>
          <cell r="B23" t="str">
            <v>D47</v>
          </cell>
          <cell r="C23">
            <v>14</v>
          </cell>
        </row>
        <row r="24">
          <cell r="A24" t="str">
            <v>KOD85</v>
          </cell>
          <cell r="B24" t="str">
            <v>D85</v>
          </cell>
          <cell r="C24">
            <v>14</v>
          </cell>
        </row>
        <row r="25">
          <cell r="A25" t="str">
            <v>KOD66</v>
          </cell>
          <cell r="B25" t="str">
            <v>D66</v>
          </cell>
          <cell r="C25">
            <v>14</v>
          </cell>
        </row>
        <row r="26">
          <cell r="A26" t="str">
            <v>KOD86</v>
          </cell>
          <cell r="B26" t="str">
            <v>D86</v>
          </cell>
          <cell r="C26">
            <v>14</v>
          </cell>
        </row>
        <row r="27">
          <cell r="A27" t="str">
            <v>501A3</v>
          </cell>
          <cell r="B27" t="str">
            <v>H9A</v>
          </cell>
          <cell r="C27">
            <v>15</v>
          </cell>
        </row>
        <row r="28">
          <cell r="A28" t="str">
            <v>501R3</v>
          </cell>
          <cell r="B28" t="str">
            <v>H1A</v>
          </cell>
          <cell r="C28">
            <v>15</v>
          </cell>
        </row>
        <row r="29">
          <cell r="A29" t="str">
            <v>507A3</v>
          </cell>
          <cell r="B29" t="str">
            <v>H9A</v>
          </cell>
          <cell r="C29">
            <v>15</v>
          </cell>
        </row>
        <row r="30">
          <cell r="A30" t="str">
            <v>703E4</v>
          </cell>
          <cell r="B30" t="str">
            <v>H2B</v>
          </cell>
          <cell r="C30">
            <v>17</v>
          </cell>
        </row>
        <row r="31">
          <cell r="A31" t="str">
            <v>601A0</v>
          </cell>
          <cell r="B31" t="str">
            <v>GZD</v>
          </cell>
          <cell r="C31">
            <v>21</v>
          </cell>
        </row>
        <row r="32">
          <cell r="A32">
            <v>60195</v>
          </cell>
          <cell r="B32" t="str">
            <v>VOL</v>
          </cell>
          <cell r="C32">
            <v>21</v>
          </cell>
        </row>
        <row r="33">
          <cell r="A33" t="str">
            <v>014N9</v>
          </cell>
          <cell r="B33" t="str">
            <v>13P</v>
          </cell>
          <cell r="C33">
            <v>22</v>
          </cell>
        </row>
        <row r="34">
          <cell r="A34" t="str">
            <v>001N0</v>
          </cell>
          <cell r="B34" t="str">
            <v>13P</v>
          </cell>
          <cell r="C34">
            <v>22</v>
          </cell>
        </row>
        <row r="35">
          <cell r="A35" t="str">
            <v>001Z0</v>
          </cell>
          <cell r="B35" t="str">
            <v>ALV</v>
          </cell>
          <cell r="C35">
            <v>22</v>
          </cell>
        </row>
        <row r="36">
          <cell r="A36" t="str">
            <v>014Z4</v>
          </cell>
          <cell r="B36" t="str">
            <v>ALV</v>
          </cell>
          <cell r="C36">
            <v>22</v>
          </cell>
        </row>
        <row r="37">
          <cell r="A37" t="str">
            <v>014N7</v>
          </cell>
          <cell r="B37" t="str">
            <v>AKL</v>
          </cell>
          <cell r="C37">
            <v>22</v>
          </cell>
        </row>
        <row r="38">
          <cell r="A38" t="str">
            <v>001N2</v>
          </cell>
          <cell r="B38" t="str">
            <v>AKL</v>
          </cell>
          <cell r="C38">
            <v>22</v>
          </cell>
        </row>
        <row r="39">
          <cell r="A39" t="str">
            <v>L02F1</v>
          </cell>
          <cell r="B39" t="str">
            <v>CKH</v>
          </cell>
          <cell r="C39">
            <v>24</v>
          </cell>
        </row>
        <row r="40">
          <cell r="A40" t="str">
            <v>P05A1</v>
          </cell>
          <cell r="B40" t="str">
            <v>EFL</v>
          </cell>
          <cell r="C40">
            <v>27</v>
          </cell>
        </row>
        <row r="41">
          <cell r="A41" t="str">
            <v>C0560</v>
          </cell>
          <cell r="B41" t="str">
            <v>S1</v>
          </cell>
          <cell r="C41">
            <v>28</v>
          </cell>
        </row>
        <row r="42">
          <cell r="A42" t="str">
            <v>C0860</v>
          </cell>
          <cell r="B42" t="str">
            <v>S1</v>
          </cell>
          <cell r="C42">
            <v>28</v>
          </cell>
        </row>
        <row r="43">
          <cell r="A43" t="str">
            <v>C0360</v>
          </cell>
          <cell r="B43" t="str">
            <v>S1</v>
          </cell>
          <cell r="C43">
            <v>28</v>
          </cell>
        </row>
        <row r="44">
          <cell r="A44" t="str">
            <v>C0340</v>
          </cell>
          <cell r="B44" t="str">
            <v>S1</v>
          </cell>
          <cell r="C44">
            <v>28</v>
          </cell>
        </row>
        <row r="45">
          <cell r="A45" t="str">
            <v>H0111</v>
          </cell>
          <cell r="B45" t="str">
            <v>DD1</v>
          </cell>
          <cell r="C45">
            <v>29</v>
          </cell>
        </row>
        <row r="46">
          <cell r="A46">
            <v>10362</v>
          </cell>
          <cell r="B46" t="str">
            <v>B62</v>
          </cell>
          <cell r="C46">
            <v>31</v>
          </cell>
        </row>
        <row r="47">
          <cell r="A47" t="str">
            <v>103H7</v>
          </cell>
          <cell r="B47" t="str">
            <v>BH7</v>
          </cell>
          <cell r="C47">
            <v>31</v>
          </cell>
        </row>
        <row r="48">
          <cell r="A48">
            <v>10363</v>
          </cell>
          <cell r="B48" t="str">
            <v>B63</v>
          </cell>
          <cell r="C48">
            <v>31</v>
          </cell>
        </row>
        <row r="49">
          <cell r="A49">
            <v>10329</v>
          </cell>
          <cell r="B49" t="str">
            <v>B29</v>
          </cell>
          <cell r="C49">
            <v>31</v>
          </cell>
        </row>
        <row r="50">
          <cell r="A50" t="str">
            <v>103G7</v>
          </cell>
          <cell r="B50" t="str">
            <v>BG7</v>
          </cell>
          <cell r="C50">
            <v>31</v>
          </cell>
        </row>
        <row r="51">
          <cell r="A51" t="str">
            <v>103G1</v>
          </cell>
          <cell r="B51" t="str">
            <v>BG1</v>
          </cell>
          <cell r="C51">
            <v>31</v>
          </cell>
        </row>
        <row r="52">
          <cell r="A52" t="str">
            <v>206V3</v>
          </cell>
          <cell r="B52" t="str">
            <v>VV3</v>
          </cell>
          <cell r="C52">
            <v>32</v>
          </cell>
        </row>
        <row r="53">
          <cell r="A53" t="str">
            <v>307K2</v>
          </cell>
          <cell r="B53" t="str">
            <v>KK2</v>
          </cell>
          <cell r="C53">
            <v>33</v>
          </cell>
        </row>
        <row r="54">
          <cell r="A54" t="str">
            <v>307K3</v>
          </cell>
          <cell r="B54" t="str">
            <v>KK3</v>
          </cell>
          <cell r="C54">
            <v>33</v>
          </cell>
        </row>
        <row r="55">
          <cell r="A55" t="str">
            <v>307M7</v>
          </cell>
          <cell r="B55" t="str">
            <v>HM7</v>
          </cell>
          <cell r="C55">
            <v>33</v>
          </cell>
        </row>
        <row r="56">
          <cell r="A56" t="str">
            <v>307Q1</v>
          </cell>
          <cell r="B56" t="str">
            <v>KQ1</v>
          </cell>
          <cell r="C56">
            <v>33</v>
          </cell>
        </row>
        <row r="57">
          <cell r="A57" t="str">
            <v>G01K1</v>
          </cell>
          <cell r="B57" t="str">
            <v>01</v>
          </cell>
          <cell r="C57">
            <v>34</v>
          </cell>
        </row>
        <row r="58">
          <cell r="A58" t="str">
            <v>O01F3</v>
          </cell>
          <cell r="B58" t="str">
            <v>ELZ</v>
          </cell>
          <cell r="C58">
            <v>35</v>
          </cell>
        </row>
        <row r="59">
          <cell r="A59" t="str">
            <v>O010A</v>
          </cell>
          <cell r="B59" t="str">
            <v>AKL</v>
          </cell>
          <cell r="C59">
            <v>35</v>
          </cell>
        </row>
        <row r="60">
          <cell r="A60" t="str">
            <v>J0120</v>
          </cell>
          <cell r="B60" t="str">
            <v>AKL</v>
          </cell>
          <cell r="C60">
            <v>37</v>
          </cell>
        </row>
        <row r="61">
          <cell r="A61" t="str">
            <v>S1908</v>
          </cell>
          <cell r="B61">
            <v>908</v>
          </cell>
          <cell r="C61">
            <v>40</v>
          </cell>
        </row>
        <row r="62">
          <cell r="A62" t="str">
            <v>S1404</v>
          </cell>
          <cell r="B62">
            <v>404</v>
          </cell>
          <cell r="C62">
            <v>40</v>
          </cell>
        </row>
        <row r="63">
          <cell r="A63" t="str">
            <v>T5P51</v>
          </cell>
          <cell r="B63" t="str">
            <v>T05</v>
          </cell>
          <cell r="C63">
            <v>41</v>
          </cell>
        </row>
        <row r="64">
          <cell r="A64" t="str">
            <v>C1B</v>
          </cell>
          <cell r="B64" t="str">
            <v>C1B</v>
          </cell>
          <cell r="C64">
            <v>42</v>
          </cell>
        </row>
        <row r="65">
          <cell r="A65" t="str">
            <v>CC1</v>
          </cell>
          <cell r="B65" t="str">
            <v>CC1</v>
          </cell>
          <cell r="C65">
            <v>42</v>
          </cell>
        </row>
        <row r="66">
          <cell r="A66" t="str">
            <v>VS1</v>
          </cell>
          <cell r="B66" t="str">
            <v>VS1</v>
          </cell>
          <cell r="C66">
            <v>42</v>
          </cell>
        </row>
        <row r="67">
          <cell r="A67" t="str">
            <v>Y0537</v>
          </cell>
          <cell r="B67" t="str">
            <v>FCK</v>
          </cell>
          <cell r="C67">
            <v>43</v>
          </cell>
        </row>
        <row r="68">
          <cell r="A68" t="str">
            <v>Y05D2</v>
          </cell>
          <cell r="B68" t="str">
            <v>BGG</v>
          </cell>
          <cell r="C68">
            <v>43</v>
          </cell>
        </row>
        <row r="69">
          <cell r="A69" t="str">
            <v>Y05S2</v>
          </cell>
          <cell r="B69" t="str">
            <v>FGK</v>
          </cell>
          <cell r="C69">
            <v>43</v>
          </cell>
        </row>
        <row r="70">
          <cell r="A70" t="str">
            <v>Y05N4</v>
          </cell>
          <cell r="B70" t="str">
            <v>NP</v>
          </cell>
          <cell r="C70">
            <v>43</v>
          </cell>
        </row>
        <row r="71">
          <cell r="A71" t="str">
            <v>04</v>
          </cell>
          <cell r="B71" t="str">
            <v>04</v>
          </cell>
          <cell r="C71">
            <v>48</v>
          </cell>
        </row>
        <row r="72">
          <cell r="A72" t="str">
            <v>CTCT</v>
          </cell>
          <cell r="B72" t="str">
            <v>CT</v>
          </cell>
          <cell r="C72">
            <v>49</v>
          </cell>
        </row>
        <row r="73">
          <cell r="A73" t="str">
            <v>209W1</v>
          </cell>
          <cell r="B73" t="str">
            <v>U3</v>
          </cell>
          <cell r="C73">
            <v>61</v>
          </cell>
        </row>
        <row r="74">
          <cell r="A74" t="str">
            <v>W01C0</v>
          </cell>
          <cell r="B74" t="str">
            <v>C01</v>
          </cell>
          <cell r="C74">
            <v>69</v>
          </cell>
        </row>
        <row r="75">
          <cell r="A75" t="str">
            <v>W01V1</v>
          </cell>
          <cell r="B75" t="str">
            <v>C01</v>
          </cell>
          <cell r="C75">
            <v>69</v>
          </cell>
        </row>
        <row r="76">
          <cell r="A76" t="str">
            <v>02</v>
          </cell>
          <cell r="B76" t="str">
            <v>02</v>
          </cell>
          <cell r="C76">
            <v>88</v>
          </cell>
        </row>
        <row r="77">
          <cell r="A77" t="str">
            <v>902K9</v>
          </cell>
          <cell r="B77" t="str">
            <v>HL3</v>
          </cell>
          <cell r="C77" t="str">
            <v>07</v>
          </cell>
        </row>
        <row r="78">
          <cell r="A78">
            <v>90240</v>
          </cell>
          <cell r="B78">
            <v>103</v>
          </cell>
          <cell r="C78" t="str">
            <v>07</v>
          </cell>
        </row>
        <row r="79">
          <cell r="A79">
            <v>90420</v>
          </cell>
          <cell r="B79" t="str">
            <v>1B</v>
          </cell>
          <cell r="C79" t="str">
            <v>09</v>
          </cell>
        </row>
        <row r="80">
          <cell r="A80" t="str">
            <v>403C7</v>
          </cell>
          <cell r="B80" t="str">
            <v>LZG</v>
          </cell>
          <cell r="C80" t="str">
            <v>14S</v>
          </cell>
        </row>
        <row r="81">
          <cell r="A81" t="str">
            <v>401I6</v>
          </cell>
          <cell r="B81" t="str">
            <v>EX6</v>
          </cell>
          <cell r="C81" t="str">
            <v>14S</v>
          </cell>
        </row>
        <row r="82">
          <cell r="A82" t="str">
            <v>402I6</v>
          </cell>
          <cell r="B82" t="str">
            <v>EX6</v>
          </cell>
          <cell r="C82" t="str">
            <v>14S</v>
          </cell>
        </row>
        <row r="83">
          <cell r="A83" t="str">
            <v>MON G</v>
          </cell>
          <cell r="B83">
            <v>210</v>
          </cell>
          <cell r="C83" t="str">
            <v>16D</v>
          </cell>
        </row>
        <row r="84">
          <cell r="A84" t="str">
            <v>MON</v>
          </cell>
          <cell r="B84">
            <v>210</v>
          </cell>
          <cell r="C84" t="str">
            <v>16D</v>
          </cell>
        </row>
        <row r="85">
          <cell r="A85" t="str">
            <v>KAQ</v>
          </cell>
          <cell r="B85">
            <v>501</v>
          </cell>
          <cell r="C85" t="str">
            <v>16D</v>
          </cell>
        </row>
        <row r="86">
          <cell r="A86" t="str">
            <v>F01G1</v>
          </cell>
          <cell r="B86" t="str">
            <v>CKD</v>
          </cell>
          <cell r="C86" t="str">
            <v>26C</v>
          </cell>
        </row>
        <row r="87">
          <cell r="A87" t="str">
            <v>MOT G</v>
          </cell>
          <cell r="B87" t="str">
            <v>G18</v>
          </cell>
          <cell r="C87" t="str">
            <v>26D</v>
          </cell>
        </row>
        <row r="88">
          <cell r="A88" t="str">
            <v>MOT</v>
          </cell>
          <cell r="B88" t="str">
            <v>G18</v>
          </cell>
          <cell r="C88" t="str">
            <v>26D</v>
          </cell>
        </row>
        <row r="89">
          <cell r="A89" t="str">
            <v>SL G</v>
          </cell>
          <cell r="B89" t="str">
            <v>G18</v>
          </cell>
          <cell r="C89" t="str">
            <v>26D</v>
          </cell>
        </row>
        <row r="90">
          <cell r="A90" t="str">
            <v>KS  G</v>
          </cell>
          <cell r="B90" t="str">
            <v>G40</v>
          </cell>
          <cell r="C90" t="str">
            <v>26W</v>
          </cell>
        </row>
        <row r="91">
          <cell r="A91" t="str">
            <v>103P4</v>
          </cell>
          <cell r="B91" t="str">
            <v>BP4</v>
          </cell>
          <cell r="C91" t="str">
            <v>3P</v>
          </cell>
        </row>
        <row r="92">
          <cell r="A92" t="str">
            <v>103Z5</v>
          </cell>
          <cell r="B92" t="str">
            <v>BZ5</v>
          </cell>
          <cell r="C92" t="str">
            <v>3T</v>
          </cell>
        </row>
        <row r="93">
          <cell r="A93" t="str">
            <v>103Z2</v>
          </cell>
          <cell r="B93" t="str">
            <v>BZ2</v>
          </cell>
          <cell r="C93" t="str">
            <v>3U</v>
          </cell>
        </row>
        <row r="94">
          <cell r="A94" t="str">
            <v>303H7</v>
          </cell>
          <cell r="B94" t="str">
            <v>BAE</v>
          </cell>
          <cell r="C94" t="str">
            <v>CP</v>
          </cell>
        </row>
        <row r="95">
          <cell r="A95" t="str">
            <v>C01F2</v>
          </cell>
          <cell r="B95">
            <v>26</v>
          </cell>
          <cell r="C95" t="str">
            <v>DZ</v>
          </cell>
        </row>
        <row r="96">
          <cell r="A96" t="str">
            <v>C0162</v>
          </cell>
          <cell r="B96" t="str">
            <v>S1</v>
          </cell>
          <cell r="C96" t="str">
            <v>DZ</v>
          </cell>
        </row>
        <row r="97">
          <cell r="A97" t="str">
            <v>303B1</v>
          </cell>
          <cell r="B97" t="str">
            <v>EM3</v>
          </cell>
          <cell r="C97" t="str">
            <v>EM</v>
          </cell>
        </row>
        <row r="98">
          <cell r="A98">
            <v>80245</v>
          </cell>
          <cell r="B98">
            <v>34</v>
          </cell>
          <cell r="C98" t="str">
            <v>HT</v>
          </cell>
        </row>
        <row r="99">
          <cell r="A99" t="str">
            <v>889I7</v>
          </cell>
          <cell r="B99">
            <v>889</v>
          </cell>
          <cell r="C99" t="str">
            <v>IM</v>
          </cell>
        </row>
        <row r="100">
          <cell r="A100" t="str">
            <v>303I1</v>
          </cell>
          <cell r="B100" t="str">
            <v>ISB</v>
          </cell>
          <cell r="C100" t="str">
            <v>IN</v>
          </cell>
        </row>
        <row r="101">
          <cell r="A101">
            <v>15501</v>
          </cell>
          <cell r="B101">
            <v>501</v>
          </cell>
          <cell r="C101" t="str">
            <v>K3</v>
          </cell>
        </row>
        <row r="102">
          <cell r="A102">
            <v>83630</v>
          </cell>
          <cell r="B102" t="str">
            <v>SLD</v>
          </cell>
          <cell r="C102" t="str">
            <v>LD</v>
          </cell>
        </row>
        <row r="103">
          <cell r="A103" t="str">
            <v>855I3</v>
          </cell>
          <cell r="B103">
            <v>188</v>
          </cell>
          <cell r="C103" t="str">
            <v>MU</v>
          </cell>
        </row>
        <row r="104">
          <cell r="A104" t="str">
            <v>303G1</v>
          </cell>
          <cell r="B104" t="str">
            <v>OSN</v>
          </cell>
          <cell r="C104" t="str">
            <v>OS</v>
          </cell>
        </row>
        <row r="105">
          <cell r="A105" t="str">
            <v>303U1</v>
          </cell>
          <cell r="B105" t="str">
            <v>MMM</v>
          </cell>
          <cell r="C105" t="str">
            <v>UN</v>
          </cell>
        </row>
        <row r="106">
          <cell r="A106" t="str">
            <v>UPSOR</v>
          </cell>
          <cell r="B106" t="str">
            <v>UPSOR</v>
          </cell>
          <cell r="C106" t="str">
            <v>W2</v>
          </cell>
        </row>
        <row r="107">
          <cell r="A107" t="str">
            <v>BAU90</v>
          </cell>
          <cell r="B107" t="str">
            <v>BAU90</v>
          </cell>
          <cell r="C107" t="str">
            <v>B9</v>
          </cell>
        </row>
        <row r="108">
          <cell r="A108" t="str">
            <v>ACHG</v>
          </cell>
          <cell r="B108" t="str">
            <v>ACHG</v>
          </cell>
          <cell r="C108" t="str">
            <v>L01</v>
          </cell>
        </row>
        <row r="109">
          <cell r="A109" t="str">
            <v>KXG</v>
          </cell>
          <cell r="B109" t="str">
            <v>KXG</v>
          </cell>
          <cell r="C109" t="str">
            <v>L01</v>
          </cell>
        </row>
        <row r="110">
          <cell r="A110" t="str">
            <v>PT02</v>
          </cell>
          <cell r="B110" t="str">
            <v>PT02</v>
          </cell>
          <cell r="C110" t="str">
            <v>L01</v>
          </cell>
        </row>
        <row r="111">
          <cell r="A111" t="str">
            <v>Q5</v>
          </cell>
          <cell r="B111" t="str">
            <v>Q5</v>
          </cell>
          <cell r="C111" t="str">
            <v>BAU20</v>
          </cell>
        </row>
        <row r="112">
          <cell r="A112" t="str">
            <v>Y05S4</v>
          </cell>
          <cell r="B112" t="str">
            <v>FGG</v>
          </cell>
          <cell r="C112">
            <v>43</v>
          </cell>
        </row>
        <row r="113">
          <cell r="A113" t="str">
            <v>W010C</v>
          </cell>
          <cell r="B113" t="str">
            <v>AKL</v>
          </cell>
          <cell r="C113">
            <v>69</v>
          </cell>
        </row>
        <row r="114">
          <cell r="A114" t="str">
            <v>VS3</v>
          </cell>
          <cell r="B114" t="str">
            <v>VS3</v>
          </cell>
          <cell r="C114">
            <v>42</v>
          </cell>
        </row>
        <row r="115">
          <cell r="A115" t="str">
            <v>TSP51</v>
          </cell>
          <cell r="B115" t="str">
            <v>T05</v>
          </cell>
          <cell r="C115">
            <v>41</v>
          </cell>
        </row>
        <row r="116">
          <cell r="A116" t="str">
            <v>S2908</v>
          </cell>
          <cell r="B116" t="str">
            <v>908</v>
          </cell>
          <cell r="C116">
            <v>40</v>
          </cell>
        </row>
        <row r="117">
          <cell r="A117" t="str">
            <v>PST03</v>
          </cell>
          <cell r="B117" t="str">
            <v>T03</v>
          </cell>
          <cell r="C117">
            <v>49</v>
          </cell>
        </row>
        <row r="118">
          <cell r="A118" t="str">
            <v>L06V1</v>
          </cell>
          <cell r="B118" t="str">
            <v>CKV</v>
          </cell>
          <cell r="C118">
            <v>24</v>
          </cell>
        </row>
        <row r="119">
          <cell r="A119" t="str">
            <v>L06S2</v>
          </cell>
          <cell r="B119" t="str">
            <v>CKL</v>
          </cell>
          <cell r="C119">
            <v>24</v>
          </cell>
        </row>
        <row r="120">
          <cell r="A120" t="str">
            <v>L03D1</v>
          </cell>
          <cell r="B120" t="str">
            <v>CKS</v>
          </cell>
          <cell r="C120">
            <v>24</v>
          </cell>
        </row>
        <row r="121">
          <cell r="A121" t="str">
            <v>KS G</v>
          </cell>
          <cell r="B121" t="str">
            <v>G40</v>
          </cell>
          <cell r="C121" t="str">
            <v>26W</v>
          </cell>
        </row>
        <row r="122">
          <cell r="A122" t="str">
            <v>902S6</v>
          </cell>
          <cell r="B122" t="str">
            <v>HL3</v>
          </cell>
          <cell r="C122">
            <v>7</v>
          </cell>
        </row>
        <row r="123">
          <cell r="A123" t="str">
            <v>868C7</v>
          </cell>
          <cell r="B123" t="str">
            <v>CKD</v>
          </cell>
          <cell r="C123" t="str">
            <v>WC</v>
          </cell>
        </row>
        <row r="124">
          <cell r="A124" t="str">
            <v>804C8</v>
          </cell>
          <cell r="B124" t="str">
            <v>CKD</v>
          </cell>
          <cell r="C124" t="str">
            <v>RC</v>
          </cell>
        </row>
        <row r="125">
          <cell r="A125" t="str">
            <v>501A4</v>
          </cell>
          <cell r="B125" t="str">
            <v>H9A</v>
          </cell>
          <cell r="C125">
            <v>15</v>
          </cell>
        </row>
        <row r="126">
          <cell r="A126">
            <v>21730</v>
          </cell>
          <cell r="B126" t="str">
            <v>1B</v>
          </cell>
          <cell r="C126">
            <v>12</v>
          </cell>
        </row>
        <row r="127">
          <cell r="A127" t="str">
            <v>106A4</v>
          </cell>
          <cell r="B127" t="str">
            <v>HL3</v>
          </cell>
          <cell r="C127">
            <v>11</v>
          </cell>
        </row>
        <row r="128">
          <cell r="A128">
            <v>10329</v>
          </cell>
          <cell r="B128" t="str">
            <v>B29</v>
          </cell>
          <cell r="C128">
            <v>31</v>
          </cell>
        </row>
        <row r="129">
          <cell r="A129" t="str">
            <v>103B7</v>
          </cell>
          <cell r="B129" t="str">
            <v>BB7</v>
          </cell>
          <cell r="C129">
            <v>31</v>
          </cell>
        </row>
        <row r="130">
          <cell r="A130" t="str">
            <v>103C9</v>
          </cell>
          <cell r="B130" t="str">
            <v>BC9</v>
          </cell>
          <cell r="C130" t="str">
            <v>3R</v>
          </cell>
        </row>
        <row r="131">
          <cell r="A131" t="str">
            <v>106S4</v>
          </cell>
          <cell r="B131" t="str">
            <v>EX1</v>
          </cell>
          <cell r="C131">
            <v>11</v>
          </cell>
        </row>
        <row r="132">
          <cell r="A132" t="str">
            <v>001N3</v>
          </cell>
          <cell r="B132" t="str">
            <v>AKL</v>
          </cell>
          <cell r="C132">
            <v>22</v>
          </cell>
        </row>
        <row r="133">
          <cell r="A133" t="str">
            <v>0AB</v>
          </cell>
          <cell r="B133" t="str">
            <v>0AB</v>
          </cell>
          <cell r="C133" t="str">
            <v>3G</v>
          </cell>
        </row>
        <row r="134">
          <cell r="A134">
            <v>10351</v>
          </cell>
          <cell r="B134" t="str">
            <v>W51</v>
          </cell>
          <cell r="C134">
            <v>31</v>
          </cell>
        </row>
        <row r="135">
          <cell r="A135">
            <v>1560</v>
          </cell>
          <cell r="B135" t="str">
            <v>ES2</v>
          </cell>
          <cell r="C135" t="str">
            <v>ES</v>
          </cell>
        </row>
        <row r="136">
          <cell r="A136" t="str">
            <v>156R</v>
          </cell>
          <cell r="B136" t="str">
            <v>ES2</v>
          </cell>
          <cell r="C136" t="str">
            <v>ES</v>
          </cell>
        </row>
        <row r="137">
          <cell r="A137" t="str">
            <v>165M5</v>
          </cell>
          <cell r="B137" t="str">
            <v>SLC</v>
          </cell>
          <cell r="C137" t="str">
            <v>QC</v>
          </cell>
        </row>
        <row r="138">
          <cell r="A138" t="str">
            <v>1AB</v>
          </cell>
          <cell r="B138" t="str">
            <v>1AB</v>
          </cell>
          <cell r="C138" t="str">
            <v>3G</v>
          </cell>
        </row>
        <row r="139">
          <cell r="A139" t="str">
            <v>209X3</v>
          </cell>
          <cell r="B139" t="str">
            <v>U3</v>
          </cell>
          <cell r="C139">
            <v>61</v>
          </cell>
        </row>
        <row r="140">
          <cell r="A140" t="str">
            <v>219S0</v>
          </cell>
          <cell r="B140" t="str">
            <v>AKL</v>
          </cell>
          <cell r="C140">
            <v>12</v>
          </cell>
        </row>
        <row r="141">
          <cell r="A141" t="str">
            <v>303W1</v>
          </cell>
          <cell r="B141" t="str">
            <v>23A</v>
          </cell>
          <cell r="C141">
            <v>13</v>
          </cell>
        </row>
        <row r="142">
          <cell r="A142" t="str">
            <v>307K1</v>
          </cell>
          <cell r="B142" t="str">
            <v>KK1</v>
          </cell>
          <cell r="C142">
            <v>33</v>
          </cell>
        </row>
        <row r="143">
          <cell r="A143" t="str">
            <v>403C1</v>
          </cell>
          <cell r="B143" t="str">
            <v>LZ</v>
          </cell>
          <cell r="C143" t="str">
            <v>14S</v>
          </cell>
        </row>
        <row r="144">
          <cell r="A144" t="str">
            <v>418F6</v>
          </cell>
          <cell r="B144" t="str">
            <v>H26</v>
          </cell>
          <cell r="C144" t="str">
            <v>14S</v>
          </cell>
        </row>
        <row r="145">
          <cell r="A145">
            <v>50146</v>
          </cell>
          <cell r="B145" t="str">
            <v>18A</v>
          </cell>
          <cell r="C145">
            <v>15</v>
          </cell>
        </row>
        <row r="146">
          <cell r="A146">
            <v>50156</v>
          </cell>
          <cell r="B146" t="str">
            <v>H16</v>
          </cell>
          <cell r="C146">
            <v>15</v>
          </cell>
        </row>
        <row r="147">
          <cell r="A147">
            <v>50157</v>
          </cell>
          <cell r="B147" t="str">
            <v>H16</v>
          </cell>
          <cell r="C147">
            <v>15</v>
          </cell>
        </row>
        <row r="148">
          <cell r="A148" t="str">
            <v>501H8</v>
          </cell>
          <cell r="B148" t="str">
            <v>H01</v>
          </cell>
          <cell r="C148">
            <v>15</v>
          </cell>
        </row>
        <row r="149">
          <cell r="A149" t="str">
            <v>601P0</v>
          </cell>
          <cell r="B149" t="str">
            <v>GZA</v>
          </cell>
          <cell r="C149">
            <v>21</v>
          </cell>
        </row>
        <row r="150">
          <cell r="A150" t="str">
            <v>601R1</v>
          </cell>
          <cell r="B150" t="str">
            <v>LHA</v>
          </cell>
          <cell r="C150">
            <v>21</v>
          </cell>
        </row>
        <row r="151">
          <cell r="A151" t="str">
            <v>703I1</v>
          </cell>
          <cell r="B151" t="str">
            <v>EXT</v>
          </cell>
          <cell r="C151">
            <v>17</v>
          </cell>
        </row>
        <row r="152">
          <cell r="A152" t="str">
            <v>703I4</v>
          </cell>
          <cell r="B152" t="str">
            <v>EXT</v>
          </cell>
          <cell r="C152">
            <v>17</v>
          </cell>
        </row>
        <row r="153">
          <cell r="A153" t="str">
            <v>D01A1</v>
          </cell>
          <cell r="B153" t="str">
            <v>A1A</v>
          </cell>
          <cell r="C153">
            <v>46</v>
          </cell>
        </row>
        <row r="154">
          <cell r="A154" t="str">
            <v>D01AS</v>
          </cell>
          <cell r="B154" t="str">
            <v>A1A</v>
          </cell>
          <cell r="C154">
            <v>46</v>
          </cell>
        </row>
        <row r="155">
          <cell r="A155" t="str">
            <v>J01E2</v>
          </cell>
          <cell r="B155" t="str">
            <v>VSC</v>
          </cell>
          <cell r="C155">
            <v>37</v>
          </cell>
        </row>
        <row r="156">
          <cell r="A156" t="str">
            <v>L000</v>
          </cell>
          <cell r="B156" t="str">
            <v>M08650</v>
          </cell>
          <cell r="C156" t="str">
            <v>M</v>
          </cell>
        </row>
        <row r="157">
          <cell r="A157" t="str">
            <v>L100</v>
          </cell>
          <cell r="B157" t="str">
            <v>W00420</v>
          </cell>
          <cell r="C157" t="str">
            <v>W</v>
          </cell>
        </row>
        <row r="158">
          <cell r="A158" t="str">
            <v>MOTOF</v>
          </cell>
          <cell r="B158" t="str">
            <v>2OT</v>
          </cell>
          <cell r="C158" t="str">
            <v>26D</v>
          </cell>
        </row>
        <row r="159">
          <cell r="A159" t="str">
            <v>W01G2</v>
          </cell>
          <cell r="B159" t="str">
            <v>G02</v>
          </cell>
          <cell r="C159">
            <v>69</v>
          </cell>
        </row>
        <row r="160">
          <cell r="A160" t="str">
            <v>W01V1</v>
          </cell>
          <cell r="B160" t="str">
            <v>C01</v>
          </cell>
          <cell r="C160">
            <v>69</v>
          </cell>
        </row>
        <row r="161">
          <cell r="A161" t="str">
            <v>Y0547</v>
          </cell>
          <cell r="B161" t="str">
            <v>FCK</v>
          </cell>
          <cell r="C161">
            <v>43</v>
          </cell>
        </row>
        <row r="162">
          <cell r="A162" t="str">
            <v>214S0</v>
          </cell>
          <cell r="C162">
            <v>12</v>
          </cell>
        </row>
        <row r="163">
          <cell r="A163" t="str">
            <v>767E4</v>
          </cell>
          <cell r="B163" t="str">
            <v>H2B</v>
          </cell>
          <cell r="C163">
            <v>17</v>
          </cell>
        </row>
        <row r="164">
          <cell r="A164" t="str">
            <v>303Q3</v>
          </cell>
          <cell r="B164" t="str">
            <v>H09</v>
          </cell>
          <cell r="C164">
            <v>13</v>
          </cell>
        </row>
        <row r="165">
          <cell r="A165" t="str">
            <v>103P8</v>
          </cell>
          <cell r="B165" t="str">
            <v>EP8</v>
          </cell>
          <cell r="C165" t="str">
            <v>3J</v>
          </cell>
        </row>
        <row r="166">
          <cell r="A166" t="str">
            <v>MOTLC</v>
          </cell>
          <cell r="B166" t="str">
            <v>220</v>
          </cell>
          <cell r="C166" t="str">
            <v>26D</v>
          </cell>
        </row>
        <row r="167">
          <cell r="A167" t="str">
            <v>O01P2</v>
          </cell>
          <cell r="B167" t="str">
            <v>G02</v>
          </cell>
          <cell r="C167">
            <v>35</v>
          </cell>
        </row>
        <row r="168">
          <cell r="A168" t="str">
            <v>H1A</v>
          </cell>
          <cell r="B168" t="str">
            <v>H1A</v>
          </cell>
          <cell r="C168">
            <v>15</v>
          </cell>
        </row>
      </sheetData>
      <sheetData sheetId="7">
        <row r="1">
          <cell r="A1" t="str">
            <v>Teslimat yeri</v>
          </cell>
          <cell r="B1" t="str">
            <v>Malı teslim alan</v>
          </cell>
        </row>
        <row r="2">
          <cell r="A2" t="str">
            <v>101K4</v>
          </cell>
          <cell r="B2" t="str">
            <v>8000012831</v>
          </cell>
        </row>
        <row r="3">
          <cell r="A3" t="str">
            <v>KXG</v>
          </cell>
          <cell r="B3" t="str">
            <v>8000012787</v>
          </cell>
        </row>
        <row r="4">
          <cell r="A4" t="str">
            <v>D01AS</v>
          </cell>
          <cell r="B4" t="str">
            <v>8000012903</v>
          </cell>
        </row>
        <row r="5">
          <cell r="A5" t="str">
            <v>601A0</v>
          </cell>
          <cell r="B5" t="str">
            <v>8000012572</v>
          </cell>
        </row>
        <row r="6">
          <cell r="A6" t="str">
            <v>EVVG</v>
          </cell>
          <cell r="B6" t="str">
            <v>8000012699</v>
          </cell>
        </row>
        <row r="7">
          <cell r="A7" t="str">
            <v>80245</v>
          </cell>
          <cell r="B7" t="str">
            <v>8000012604</v>
          </cell>
        </row>
        <row r="8">
          <cell r="A8">
            <v>83630</v>
          </cell>
          <cell r="B8" t="str">
            <v>8000012862</v>
          </cell>
        </row>
        <row r="9">
          <cell r="A9" t="str">
            <v>307K2</v>
          </cell>
          <cell r="B9" t="str">
            <v>8000012709</v>
          </cell>
        </row>
        <row r="10">
          <cell r="A10" t="str">
            <v>303P2</v>
          </cell>
          <cell r="B10" t="str">
            <v>8000012674</v>
          </cell>
        </row>
        <row r="11">
          <cell r="A11" t="str">
            <v>601P0</v>
          </cell>
          <cell r="B11" t="str">
            <v>8000012553</v>
          </cell>
        </row>
        <row r="12">
          <cell r="A12" t="str">
            <v>D01S2</v>
          </cell>
          <cell r="B12" t="str">
            <v>8000014118</v>
          </cell>
        </row>
        <row r="13">
          <cell r="A13" t="str">
            <v>201S7</v>
          </cell>
          <cell r="B13" t="str">
            <v>8000012802</v>
          </cell>
        </row>
        <row r="14">
          <cell r="A14" t="str">
            <v>201S0</v>
          </cell>
          <cell r="B14" t="str">
            <v>8000012589</v>
          </cell>
        </row>
        <row r="15">
          <cell r="A15" t="str">
            <v>203S0</v>
          </cell>
          <cell r="B15" t="str">
            <v>8000012700</v>
          </cell>
        </row>
        <row r="16">
          <cell r="A16" t="str">
            <v>165M5</v>
          </cell>
          <cell r="B16" t="str">
            <v>8000012838</v>
          </cell>
        </row>
        <row r="17">
          <cell r="A17" t="str">
            <v>CTCT</v>
          </cell>
          <cell r="B17" t="str">
            <v>8000012574</v>
          </cell>
        </row>
        <row r="18">
          <cell r="A18" t="str">
            <v>J01E2</v>
          </cell>
          <cell r="B18" t="str">
            <v>8000013502</v>
          </cell>
        </row>
        <row r="19">
          <cell r="A19" t="str">
            <v>J0120</v>
          </cell>
          <cell r="B19" t="str">
            <v>8000012562</v>
          </cell>
        </row>
        <row r="20">
          <cell r="A20" t="str">
            <v>L03D1</v>
          </cell>
          <cell r="B20" t="str">
            <v>8000012647</v>
          </cell>
        </row>
        <row r="21">
          <cell r="A21" t="str">
            <v>P05A1</v>
          </cell>
          <cell r="B21" t="str">
            <v>8000012573</v>
          </cell>
        </row>
        <row r="22">
          <cell r="A22" t="str">
            <v>001N0</v>
          </cell>
          <cell r="B22" t="str">
            <v>8000013344</v>
          </cell>
        </row>
        <row r="23">
          <cell r="A23" t="str">
            <v>106K4</v>
          </cell>
          <cell r="B23" t="str">
            <v>8000012570</v>
          </cell>
        </row>
        <row r="24">
          <cell r="A24" t="str">
            <v>103X1</v>
          </cell>
          <cell r="B24" t="str">
            <v>8000014174</v>
          </cell>
        </row>
        <row r="25">
          <cell r="A25" t="str">
            <v>307K3</v>
          </cell>
          <cell r="B25" t="str">
            <v>8000012794</v>
          </cell>
        </row>
        <row r="26">
          <cell r="A26" t="str">
            <v>C0560</v>
          </cell>
          <cell r="B26" t="str">
            <v>8000012596</v>
          </cell>
        </row>
        <row r="27">
          <cell r="A27" t="str">
            <v>401I6</v>
          </cell>
          <cell r="B27" t="str">
            <v>8000014142</v>
          </cell>
        </row>
        <row r="28">
          <cell r="A28" t="str">
            <v>403C1</v>
          </cell>
          <cell r="B28" t="str">
            <v>8000012623</v>
          </cell>
        </row>
        <row r="29">
          <cell r="A29" t="str">
            <v>MOT</v>
          </cell>
          <cell r="B29" t="str">
            <v>8000012580</v>
          </cell>
        </row>
        <row r="30">
          <cell r="A30" t="str">
            <v>804C8</v>
          </cell>
          <cell r="B30" t="str">
            <v>8000012593</v>
          </cell>
        </row>
        <row r="31">
          <cell r="A31" t="str">
            <v>303H7</v>
          </cell>
          <cell r="B31" t="str">
            <v>8000012884</v>
          </cell>
        </row>
        <row r="32">
          <cell r="A32" t="str">
            <v>O010A</v>
          </cell>
          <cell r="B32" t="str">
            <v>8000013262</v>
          </cell>
        </row>
        <row r="33">
          <cell r="A33" t="str">
            <v>868C7</v>
          </cell>
          <cell r="B33" t="str">
            <v>8000012936</v>
          </cell>
        </row>
        <row r="34">
          <cell r="A34" t="str">
            <v>303</v>
          </cell>
          <cell r="B34" t="str">
            <v>8000013261</v>
          </cell>
        </row>
        <row r="35">
          <cell r="A35" t="str">
            <v>303K6</v>
          </cell>
          <cell r="B35" t="str">
            <v>8000012584</v>
          </cell>
        </row>
        <row r="36">
          <cell r="A36" t="str">
            <v>014N9</v>
          </cell>
          <cell r="B36" t="str">
            <v>8000014259</v>
          </cell>
        </row>
        <row r="37">
          <cell r="A37" t="str">
            <v>014N0</v>
          </cell>
          <cell r="B37" t="str">
            <v>8000013345</v>
          </cell>
        </row>
        <row r="38">
          <cell r="A38" t="str">
            <v>106U6</v>
          </cell>
          <cell r="B38" t="str">
            <v>8000012567</v>
          </cell>
        </row>
        <row r="39">
          <cell r="A39" t="str">
            <v>101U6</v>
          </cell>
          <cell r="B39" t="str">
            <v>8000012601</v>
          </cell>
        </row>
        <row r="40">
          <cell r="A40" t="str">
            <v>102K4</v>
          </cell>
          <cell r="B40" t="str">
            <v>8000014562</v>
          </cell>
        </row>
        <row r="41">
          <cell r="A41" t="str">
            <v>106S4</v>
          </cell>
          <cell r="B41" t="str">
            <v>8000012656</v>
          </cell>
        </row>
        <row r="42">
          <cell r="A42" t="str">
            <v>30362</v>
          </cell>
          <cell r="B42" t="str">
            <v>8000012590</v>
          </cell>
        </row>
        <row r="43">
          <cell r="A43" t="str">
            <v>MOT G</v>
          </cell>
          <cell r="B43" t="str">
            <v>8000012600</v>
          </cell>
        </row>
        <row r="44">
          <cell r="A44" t="str">
            <v>303B1</v>
          </cell>
          <cell r="B44" t="str">
            <v>8000012902</v>
          </cell>
        </row>
        <row r="45">
          <cell r="A45" t="str">
            <v>MON G</v>
          </cell>
          <cell r="B45" t="str">
            <v>8000012565</v>
          </cell>
        </row>
        <row r="46">
          <cell r="A46" t="str">
            <v>MOTOF</v>
          </cell>
          <cell r="B46">
            <v>8000013492</v>
          </cell>
        </row>
        <row r="47">
          <cell r="A47" t="str">
            <v>144L</v>
          </cell>
          <cell r="B47" t="str">
            <v>8000012926</v>
          </cell>
        </row>
        <row r="48">
          <cell r="A48" t="str">
            <v>W01C0</v>
          </cell>
          <cell r="B48" t="str">
            <v>8000012640</v>
          </cell>
        </row>
        <row r="49">
          <cell r="A49" t="str">
            <v>KOD66</v>
          </cell>
          <cell r="B49" t="str">
            <v>8000012561</v>
          </cell>
        </row>
        <row r="50">
          <cell r="A50" t="str">
            <v>203S7</v>
          </cell>
          <cell r="B50" t="str">
            <v>8000013430</v>
          </cell>
        </row>
        <row r="51">
          <cell r="A51" t="str">
            <v>MON</v>
          </cell>
          <cell r="B51" t="str">
            <v>8000012598</v>
          </cell>
        </row>
        <row r="52">
          <cell r="A52" t="str">
            <v>KOD86</v>
          </cell>
          <cell r="B52" t="str">
            <v>8000012642</v>
          </cell>
        </row>
        <row r="53">
          <cell r="A53" t="str">
            <v>F01G1</v>
          </cell>
          <cell r="B53" t="str">
            <v>8000012767</v>
          </cell>
        </row>
        <row r="54">
          <cell r="A54" t="str">
            <v>KOD72</v>
          </cell>
          <cell r="B54" t="str">
            <v>8000013493</v>
          </cell>
        </row>
        <row r="55">
          <cell r="A55" t="str">
            <v>L06V1</v>
          </cell>
          <cell r="B55" t="str">
            <v>8000013217</v>
          </cell>
        </row>
        <row r="56">
          <cell r="A56" t="str">
            <v>217S0</v>
          </cell>
          <cell r="B56" t="str">
            <v>8000012897</v>
          </cell>
        </row>
        <row r="57">
          <cell r="A57" t="str">
            <v>K01E9</v>
          </cell>
          <cell r="B57" t="str">
            <v>8000012885</v>
          </cell>
        </row>
        <row r="58">
          <cell r="A58" t="str">
            <v>C0860</v>
          </cell>
          <cell r="B58" t="str">
            <v>8000012585</v>
          </cell>
        </row>
        <row r="59">
          <cell r="A59" t="str">
            <v>90420</v>
          </cell>
          <cell r="B59" t="str">
            <v>8000012733</v>
          </cell>
        </row>
        <row r="60">
          <cell r="A60" t="str">
            <v>EVMG</v>
          </cell>
          <cell r="B60" t="str">
            <v>8000015198</v>
          </cell>
        </row>
        <row r="61">
          <cell r="A61" t="str">
            <v>767E4</v>
          </cell>
          <cell r="B61" t="str">
            <v>8000012626</v>
          </cell>
        </row>
        <row r="62">
          <cell r="A62" t="str">
            <v>PT02</v>
          </cell>
          <cell r="B62" t="str">
            <v>8000012646</v>
          </cell>
        </row>
        <row r="63">
          <cell r="A63" t="str">
            <v>307M7</v>
          </cell>
          <cell r="B63" t="str">
            <v>8000012724</v>
          </cell>
        </row>
        <row r="64">
          <cell r="A64" t="str">
            <v>UPSOR</v>
          </cell>
          <cell r="B64" t="str">
            <v>8000013657</v>
          </cell>
        </row>
        <row r="65">
          <cell r="A65" t="str">
            <v>703E4</v>
          </cell>
          <cell r="B65" t="str">
            <v>8000012624</v>
          </cell>
        </row>
        <row r="66">
          <cell r="A66" t="str">
            <v>303U1</v>
          </cell>
          <cell r="B66" t="str">
            <v>8000012900</v>
          </cell>
        </row>
        <row r="67">
          <cell r="A67" t="str">
            <v>303I1</v>
          </cell>
          <cell r="B67" t="str">
            <v>8000012672</v>
          </cell>
        </row>
        <row r="68">
          <cell r="A68">
            <v>10362</v>
          </cell>
          <cell r="B68" t="str">
            <v>8000012742</v>
          </cell>
        </row>
        <row r="69">
          <cell r="A69" t="str">
            <v>403C7</v>
          </cell>
          <cell r="B69" t="str">
            <v>8000014767</v>
          </cell>
        </row>
        <row r="70">
          <cell r="A70" t="str">
            <v>S1908</v>
          </cell>
          <cell r="B70" t="str">
            <v>8000012582</v>
          </cell>
        </row>
        <row r="71">
          <cell r="A71" t="str">
            <v>103P4</v>
          </cell>
          <cell r="B71" t="str">
            <v>8000012617</v>
          </cell>
        </row>
        <row r="72">
          <cell r="A72" t="str">
            <v>S1404</v>
          </cell>
          <cell r="B72" t="str">
            <v>8000012743</v>
          </cell>
        </row>
        <row r="73">
          <cell r="A73" t="str">
            <v>403C1</v>
          </cell>
          <cell r="B73" t="str">
            <v>8000013581</v>
          </cell>
        </row>
        <row r="74">
          <cell r="A74" t="str">
            <v>403C7</v>
          </cell>
          <cell r="B74" t="str">
            <v>8000013736</v>
          </cell>
        </row>
        <row r="75">
          <cell r="A75" t="str">
            <v>103B7</v>
          </cell>
          <cell r="B75" t="str">
            <v>8000014343</v>
          </cell>
        </row>
        <row r="76">
          <cell r="A76" t="str">
            <v>C0360</v>
          </cell>
          <cell r="B76" t="str">
            <v>8000012653</v>
          </cell>
        </row>
        <row r="77">
          <cell r="A77" t="str">
            <v>103B1</v>
          </cell>
          <cell r="B77" t="str">
            <v>8000012766</v>
          </cell>
        </row>
        <row r="78">
          <cell r="A78" t="str">
            <v>206V3</v>
          </cell>
          <cell r="B78" t="str">
            <v>8000012905</v>
          </cell>
        </row>
        <row r="79">
          <cell r="A79" t="str">
            <v>60195</v>
          </cell>
          <cell r="B79" t="str">
            <v>8000012592</v>
          </cell>
        </row>
        <row r="80">
          <cell r="A80" t="str">
            <v>10337</v>
          </cell>
          <cell r="B80" t="str">
            <v>8000013355</v>
          </cell>
        </row>
        <row r="81">
          <cell r="A81" t="str">
            <v>307K1</v>
          </cell>
          <cell r="B81" t="str">
            <v>8000012667</v>
          </cell>
        </row>
        <row r="82">
          <cell r="A82" t="str">
            <v>10386</v>
          </cell>
          <cell r="B82" t="str">
            <v>8000012881</v>
          </cell>
        </row>
        <row r="83">
          <cell r="A83" t="str">
            <v>103Z2</v>
          </cell>
          <cell r="B83" t="str">
            <v>8000012860</v>
          </cell>
        </row>
        <row r="84">
          <cell r="A84" t="str">
            <v>501R3</v>
          </cell>
          <cell r="B84" t="str">
            <v>8000012621</v>
          </cell>
        </row>
        <row r="85">
          <cell r="A85" t="str">
            <v>G01K1</v>
          </cell>
          <cell r="B85" t="str">
            <v>8000012622</v>
          </cell>
        </row>
        <row r="86">
          <cell r="A86" t="str">
            <v>5014V</v>
          </cell>
          <cell r="B86" t="str">
            <v>8000014530</v>
          </cell>
        </row>
        <row r="87">
          <cell r="A87" t="str">
            <v>02</v>
          </cell>
          <cell r="B87" t="str">
            <v>8000012643</v>
          </cell>
        </row>
        <row r="88">
          <cell r="A88" t="str">
            <v>106S9</v>
          </cell>
          <cell r="B88" t="str">
            <v>8000014683</v>
          </cell>
        </row>
        <row r="89">
          <cell r="A89" t="str">
            <v>D01A1</v>
          </cell>
          <cell r="B89" t="str">
            <v>8000012571</v>
          </cell>
        </row>
        <row r="90">
          <cell r="A90" t="str">
            <v>303O2</v>
          </cell>
          <cell r="B90" t="str">
            <v>8000012575</v>
          </cell>
        </row>
        <row r="91">
          <cell r="A91" t="str">
            <v>102U6</v>
          </cell>
          <cell r="B91" t="str">
            <v>8000014603</v>
          </cell>
        </row>
        <row r="92">
          <cell r="A92" t="str">
            <v>C0162</v>
          </cell>
          <cell r="B92" t="str">
            <v>8000012559</v>
          </cell>
        </row>
        <row r="93">
          <cell r="A93" t="str">
            <v>CC1</v>
          </cell>
          <cell r="B93" t="str">
            <v>8000012577</v>
          </cell>
        </row>
        <row r="94">
          <cell r="A94" t="str">
            <v>KAQ</v>
          </cell>
          <cell r="B94" t="str">
            <v>8000012876</v>
          </cell>
        </row>
        <row r="95">
          <cell r="A95" t="str">
            <v>KOD85</v>
          </cell>
          <cell r="B95" t="str">
            <v>8000012682</v>
          </cell>
        </row>
        <row r="96">
          <cell r="A96" t="str">
            <v>T5P51</v>
          </cell>
          <cell r="B96" t="str">
            <v>8000012775</v>
          </cell>
        </row>
        <row r="97">
          <cell r="A97" t="str">
            <v>K01M3</v>
          </cell>
          <cell r="B97" t="str">
            <v>8000013546</v>
          </cell>
        </row>
        <row r="98">
          <cell r="A98" t="str">
            <v>217S7</v>
          </cell>
          <cell r="B98" t="str">
            <v>8000014127</v>
          </cell>
        </row>
        <row r="99">
          <cell r="A99" t="str">
            <v>15501</v>
          </cell>
          <cell r="B99" t="str">
            <v>8000012800</v>
          </cell>
        </row>
        <row r="100">
          <cell r="A100" t="str">
            <v>BAU90</v>
          </cell>
          <cell r="B100" t="str">
            <v>8000012552</v>
          </cell>
        </row>
        <row r="101">
          <cell r="A101" t="str">
            <v>S2908</v>
          </cell>
          <cell r="B101" t="str">
            <v>8000014109</v>
          </cell>
        </row>
        <row r="102">
          <cell r="A102" t="str">
            <v>11430</v>
          </cell>
          <cell r="B102" t="str">
            <v>8000012644</v>
          </cell>
        </row>
        <row r="103">
          <cell r="A103" t="str">
            <v>401</v>
          </cell>
          <cell r="B103" t="str">
            <v>8000013815</v>
          </cell>
        </row>
        <row r="104">
          <cell r="A104" t="str">
            <v>781</v>
          </cell>
          <cell r="B104" t="str">
            <v>8000012919</v>
          </cell>
        </row>
        <row r="105">
          <cell r="A105" t="str">
            <v>601R1</v>
          </cell>
          <cell r="B105" t="str">
            <v>8000012823</v>
          </cell>
        </row>
        <row r="106">
          <cell r="A106" t="str">
            <v>507A5</v>
          </cell>
          <cell r="B106" t="str">
            <v>8000014444</v>
          </cell>
        </row>
        <row r="107">
          <cell r="A107" t="str">
            <v>501A5</v>
          </cell>
          <cell r="B107" t="str">
            <v>8000014342</v>
          </cell>
        </row>
        <row r="108">
          <cell r="A108" t="str">
            <v>902K9</v>
          </cell>
          <cell r="B108" t="str">
            <v>8000012791</v>
          </cell>
        </row>
        <row r="109">
          <cell r="A109" t="str">
            <v>Y0537</v>
          </cell>
          <cell r="B109" t="str">
            <v>8000012579</v>
          </cell>
        </row>
        <row r="110">
          <cell r="A110" t="str">
            <v>CH1</v>
          </cell>
          <cell r="B110" t="str">
            <v>8000012789</v>
          </cell>
        </row>
        <row r="111">
          <cell r="A111" t="str">
            <v>Y05S2</v>
          </cell>
          <cell r="B111" t="str">
            <v>8000012785</v>
          </cell>
        </row>
        <row r="112">
          <cell r="A112" t="str">
            <v>Y05D2</v>
          </cell>
          <cell r="B112" t="str">
            <v>8000012671</v>
          </cell>
        </row>
        <row r="113">
          <cell r="A113" t="str">
            <v>H0111</v>
          </cell>
          <cell r="B113" t="str">
            <v>8000012811</v>
          </cell>
        </row>
        <row r="114">
          <cell r="A114" t="str">
            <v>402I6</v>
          </cell>
          <cell r="B114" t="str">
            <v>8000014196</v>
          </cell>
        </row>
        <row r="115">
          <cell r="A115" t="str">
            <v>PST03</v>
          </cell>
          <cell r="B115" t="str">
            <v>8000013725</v>
          </cell>
        </row>
        <row r="116">
          <cell r="A116" t="str">
            <v>50146</v>
          </cell>
          <cell r="B116" t="str">
            <v>8000012704</v>
          </cell>
        </row>
        <row r="117">
          <cell r="A117" t="str">
            <v>3031B</v>
          </cell>
          <cell r="B117" t="str">
            <v>8000012807</v>
          </cell>
        </row>
        <row r="118">
          <cell r="A118" t="str">
            <v>219S7</v>
          </cell>
          <cell r="B118" t="str">
            <v>8000012898</v>
          </cell>
        </row>
        <row r="119">
          <cell r="A119" t="str">
            <v>13-30331</v>
          </cell>
          <cell r="B119" t="str">
            <v>8000013520</v>
          </cell>
        </row>
        <row r="120">
          <cell r="A120" t="str">
            <v>C0340</v>
          </cell>
          <cell r="B120" t="str">
            <v>8000012907</v>
          </cell>
        </row>
        <row r="121">
          <cell r="A121" t="str">
            <v>303W1</v>
          </cell>
          <cell r="B121" t="str">
            <v>8000012645</v>
          </cell>
        </row>
        <row r="122">
          <cell r="A122" t="str">
            <v>VSL G</v>
          </cell>
          <cell r="B122" t="str">
            <v>8000013538</v>
          </cell>
        </row>
        <row r="123">
          <cell r="A123" t="str">
            <v>SL G</v>
          </cell>
          <cell r="B123" t="str">
            <v>8000012880</v>
          </cell>
        </row>
        <row r="124">
          <cell r="A124" t="str">
            <v>501H5</v>
          </cell>
          <cell r="B124" t="str">
            <v>8000013515</v>
          </cell>
        </row>
        <row r="125">
          <cell r="A125" t="str">
            <v>001Z0</v>
          </cell>
          <cell r="B125" t="str">
            <v>8000013451</v>
          </cell>
        </row>
        <row r="126">
          <cell r="A126" t="str">
            <v>KOD47</v>
          </cell>
          <cell r="B126" t="str">
            <v>8000012583</v>
          </cell>
        </row>
        <row r="127">
          <cell r="A127" t="str">
            <v>KS  G</v>
          </cell>
          <cell r="B127" t="str">
            <v>8000012815</v>
          </cell>
        </row>
        <row r="128">
          <cell r="A128" t="str">
            <v>209S1</v>
          </cell>
          <cell r="B128" t="str">
            <v>8000014593</v>
          </cell>
        </row>
        <row r="129">
          <cell r="A129" t="str">
            <v>50177</v>
          </cell>
          <cell r="B129" t="str">
            <v>8000012913</v>
          </cell>
        </row>
        <row r="130">
          <cell r="A130" t="str">
            <v>20330</v>
          </cell>
          <cell r="B130" t="str">
            <v>8000014563</v>
          </cell>
        </row>
        <row r="131">
          <cell r="A131" t="str">
            <v>70317</v>
          </cell>
          <cell r="B131" t="str">
            <v>8000013483</v>
          </cell>
        </row>
        <row r="132">
          <cell r="A132" t="str">
            <v>O01F3</v>
          </cell>
          <cell r="B132" t="str">
            <v>8000013553</v>
          </cell>
        </row>
        <row r="133">
          <cell r="A133" t="str">
            <v>501A3</v>
          </cell>
          <cell r="B133">
            <v>8000015366</v>
          </cell>
        </row>
        <row r="134">
          <cell r="A134" t="str">
            <v>855I3</v>
          </cell>
          <cell r="B134">
            <v>8000014056</v>
          </cell>
        </row>
        <row r="135">
          <cell r="A135" t="str">
            <v>103H7</v>
          </cell>
          <cell r="B135">
            <v>8000015577</v>
          </cell>
        </row>
        <row r="136">
          <cell r="A136" t="str">
            <v>BAU50</v>
          </cell>
          <cell r="B136" t="str">
            <v>8000012655</v>
          </cell>
        </row>
        <row r="137">
          <cell r="A137" t="str">
            <v>303G1</v>
          </cell>
          <cell r="B137">
            <v>8000012597</v>
          </cell>
        </row>
        <row r="138">
          <cell r="A138" t="str">
            <v>24C1</v>
          </cell>
          <cell r="B138">
            <v>8000015685</v>
          </cell>
        </row>
        <row r="139">
          <cell r="A139" t="str">
            <v>014Z4</v>
          </cell>
          <cell r="B139">
            <v>8000016360</v>
          </cell>
        </row>
        <row r="140">
          <cell r="A140" t="str">
            <v>207S0</v>
          </cell>
          <cell r="B140">
            <v>8000016416</v>
          </cell>
        </row>
        <row r="141">
          <cell r="A141" t="str">
            <v>W010C</v>
          </cell>
          <cell r="B141">
            <v>8000017492</v>
          </cell>
        </row>
        <row r="142">
          <cell r="A142" t="str">
            <v>15501</v>
          </cell>
          <cell r="B142">
            <v>8000012800</v>
          </cell>
        </row>
        <row r="143">
          <cell r="A143" t="str">
            <v>Y05S4</v>
          </cell>
          <cell r="B143">
            <v>8000017486</v>
          </cell>
        </row>
        <row r="144">
          <cell r="A144" t="str">
            <v>103Z5</v>
          </cell>
          <cell r="B144">
            <v>8000012711</v>
          </cell>
        </row>
        <row r="145">
          <cell r="A145" t="str">
            <v>10362</v>
          </cell>
          <cell r="B145">
            <v>8000012742</v>
          </cell>
        </row>
        <row r="146">
          <cell r="A146" t="str">
            <v>214C1</v>
          </cell>
          <cell r="B146">
            <v>8000015685</v>
          </cell>
        </row>
        <row r="147">
          <cell r="A147">
            <v>30367</v>
          </cell>
          <cell r="B147">
            <v>8000015910</v>
          </cell>
        </row>
        <row r="148">
          <cell r="A148">
            <v>30332</v>
          </cell>
          <cell r="B148">
            <v>8000016060</v>
          </cell>
        </row>
        <row r="149">
          <cell r="A149" t="str">
            <v>303P7</v>
          </cell>
          <cell r="B149">
            <v>8000016520</v>
          </cell>
        </row>
        <row r="150">
          <cell r="A150" t="str">
            <v>303O3</v>
          </cell>
          <cell r="B150">
            <v>8000016625</v>
          </cell>
        </row>
        <row r="151">
          <cell r="A151" t="str">
            <v>507A3</v>
          </cell>
          <cell r="B151">
            <v>8000015367</v>
          </cell>
        </row>
        <row r="152">
          <cell r="A152">
            <v>60195</v>
          </cell>
          <cell r="B152">
            <v>8000012592</v>
          </cell>
        </row>
        <row r="153">
          <cell r="A153" t="str">
            <v>014N7</v>
          </cell>
          <cell r="B153">
            <v>8000012748</v>
          </cell>
        </row>
        <row r="154">
          <cell r="A154" t="str">
            <v>001N2</v>
          </cell>
          <cell r="B154">
            <v>8000012648</v>
          </cell>
        </row>
        <row r="155">
          <cell r="A155" t="str">
            <v>L02F1</v>
          </cell>
          <cell r="B155">
            <v>8000013551</v>
          </cell>
        </row>
        <row r="156">
          <cell r="A156">
            <v>10363</v>
          </cell>
          <cell r="B156">
            <v>8000017024</v>
          </cell>
        </row>
        <row r="157">
          <cell r="A157">
            <v>10329</v>
          </cell>
          <cell r="B157">
            <v>8000013608</v>
          </cell>
        </row>
        <row r="158">
          <cell r="A158" t="str">
            <v>103G7</v>
          </cell>
          <cell r="B158">
            <v>8000014238</v>
          </cell>
        </row>
        <row r="159">
          <cell r="A159" t="str">
            <v>103G1</v>
          </cell>
          <cell r="B159">
            <v>8000016324</v>
          </cell>
        </row>
        <row r="160">
          <cell r="A160" t="str">
            <v>307Q1</v>
          </cell>
          <cell r="B160">
            <v>8000016858</v>
          </cell>
        </row>
        <row r="161">
          <cell r="A161" t="str">
            <v>C1B</v>
          </cell>
          <cell r="B161">
            <v>8000015497</v>
          </cell>
        </row>
        <row r="162">
          <cell r="A162" t="str">
            <v>VS1</v>
          </cell>
          <cell r="B162">
            <v>8000016694</v>
          </cell>
        </row>
        <row r="163">
          <cell r="A163" t="str">
            <v>Y05N4</v>
          </cell>
          <cell r="B163">
            <v>8000013770</v>
          </cell>
        </row>
        <row r="164">
          <cell r="A164" t="str">
            <v>04</v>
          </cell>
          <cell r="B164">
            <v>8000016286</v>
          </cell>
        </row>
        <row r="165">
          <cell r="A165" t="str">
            <v>209W1</v>
          </cell>
          <cell r="B165">
            <v>8000016009</v>
          </cell>
        </row>
        <row r="166">
          <cell r="A166" t="str">
            <v>W01V1</v>
          </cell>
          <cell r="B166">
            <v>8000014237</v>
          </cell>
        </row>
        <row r="167">
          <cell r="A167">
            <v>90240</v>
          </cell>
          <cell r="B167">
            <v>8000017425</v>
          </cell>
        </row>
        <row r="168">
          <cell r="A168">
            <v>90420</v>
          </cell>
          <cell r="B168">
            <v>8000012733</v>
          </cell>
        </row>
        <row r="169">
          <cell r="A169" t="str">
            <v>C01F2</v>
          </cell>
          <cell r="B169">
            <v>8000016285</v>
          </cell>
        </row>
        <row r="170">
          <cell r="A170">
            <v>80245</v>
          </cell>
          <cell r="B170">
            <v>8000012604</v>
          </cell>
        </row>
        <row r="171">
          <cell r="A171" t="str">
            <v>889I7</v>
          </cell>
          <cell r="B171">
            <v>8000017117</v>
          </cell>
        </row>
        <row r="172">
          <cell r="A172">
            <v>15501</v>
          </cell>
          <cell r="B172">
            <v>8000012800</v>
          </cell>
        </row>
        <row r="173">
          <cell r="A173" t="str">
            <v>ACHG</v>
          </cell>
          <cell r="B173">
            <v>8000012832</v>
          </cell>
        </row>
        <row r="174">
          <cell r="A174" t="str">
            <v>Q5</v>
          </cell>
          <cell r="B174">
            <v>8000012693</v>
          </cell>
        </row>
        <row r="175">
          <cell r="A175" t="str">
            <v>VS3</v>
          </cell>
          <cell r="B175">
            <v>8000012693</v>
          </cell>
        </row>
        <row r="176">
          <cell r="A176" t="str">
            <v>TSP51</v>
          </cell>
        </row>
        <row r="177">
          <cell r="A177" t="str">
            <v>L06S2</v>
          </cell>
          <cell r="B177">
            <v>8000016624</v>
          </cell>
        </row>
        <row r="178">
          <cell r="A178" t="str">
            <v>KS G</v>
          </cell>
          <cell r="B178">
            <v>8000012815</v>
          </cell>
        </row>
        <row r="179">
          <cell r="A179" t="str">
            <v>902S6</v>
          </cell>
          <cell r="B179">
            <v>8000017643</v>
          </cell>
        </row>
        <row r="180">
          <cell r="A180" t="str">
            <v>501A4</v>
          </cell>
          <cell r="B180">
            <v>8000017580</v>
          </cell>
        </row>
        <row r="181">
          <cell r="A181">
            <v>21730</v>
          </cell>
          <cell r="B181">
            <v>8000017606</v>
          </cell>
        </row>
        <row r="182">
          <cell r="A182" t="str">
            <v>106A4</v>
          </cell>
          <cell r="B182">
            <v>8000017615</v>
          </cell>
        </row>
        <row r="183">
          <cell r="A183">
            <v>10329</v>
          </cell>
          <cell r="B183">
            <v>8000013608</v>
          </cell>
        </row>
        <row r="184">
          <cell r="A184" t="str">
            <v>001N3</v>
          </cell>
          <cell r="B184">
            <v>8000012587</v>
          </cell>
        </row>
        <row r="185">
          <cell r="A185" t="str">
            <v>0AB</v>
          </cell>
          <cell r="B185">
            <v>8000017579</v>
          </cell>
        </row>
        <row r="186">
          <cell r="A186">
            <v>10351</v>
          </cell>
          <cell r="B186">
            <v>8000016663</v>
          </cell>
        </row>
        <row r="187">
          <cell r="A187">
            <v>1560</v>
          </cell>
        </row>
        <row r="188">
          <cell r="A188" t="str">
            <v>156R</v>
          </cell>
        </row>
        <row r="189">
          <cell r="A189" t="str">
            <v>209X3</v>
          </cell>
          <cell r="B189">
            <v>8000013508</v>
          </cell>
        </row>
        <row r="190">
          <cell r="A190" t="str">
            <v>219S0</v>
          </cell>
          <cell r="B190">
            <v>8000017500</v>
          </cell>
        </row>
        <row r="191">
          <cell r="A191" t="str">
            <v>418F6</v>
          </cell>
          <cell r="B191">
            <v>8000012915</v>
          </cell>
        </row>
        <row r="194">
          <cell r="A194">
            <v>50146</v>
          </cell>
          <cell r="B194">
            <v>8000012704</v>
          </cell>
        </row>
        <row r="195">
          <cell r="A195">
            <v>50156</v>
          </cell>
        </row>
        <row r="196">
          <cell r="A196">
            <v>50157</v>
          </cell>
          <cell r="B196">
            <v>8000012681</v>
          </cell>
        </row>
        <row r="197">
          <cell r="A197" t="str">
            <v>501H8</v>
          </cell>
          <cell r="B197">
            <v>8000015409</v>
          </cell>
        </row>
        <row r="198">
          <cell r="A198" t="str">
            <v>703I1</v>
          </cell>
        </row>
        <row r="199">
          <cell r="A199" t="str">
            <v>703I4</v>
          </cell>
          <cell r="B199">
            <v>8000012624</v>
          </cell>
        </row>
        <row r="200">
          <cell r="A200" t="str">
            <v>Y0547</v>
          </cell>
        </row>
        <row r="201">
          <cell r="A201" t="str">
            <v>214S0</v>
          </cell>
          <cell r="B201">
            <v>8000017843</v>
          </cell>
        </row>
        <row r="202">
          <cell r="A202" t="str">
            <v>1AB</v>
          </cell>
          <cell r="B202">
            <v>8000017649</v>
          </cell>
        </row>
        <row r="203">
          <cell r="A203">
            <v>65542</v>
          </cell>
          <cell r="B203">
            <v>8000017751</v>
          </cell>
        </row>
        <row r="204">
          <cell r="A204" t="str">
            <v>o01p2</v>
          </cell>
          <cell r="B204">
            <v>8000018022</v>
          </cell>
        </row>
        <row r="205">
          <cell r="A205" t="str">
            <v>103C9</v>
          </cell>
          <cell r="B205">
            <v>8000017021</v>
          </cell>
        </row>
        <row r="206">
          <cell r="A206" t="str">
            <v>W01G2</v>
          </cell>
          <cell r="B206">
            <v>8000015684</v>
          </cell>
        </row>
        <row r="207">
          <cell r="A207" t="str">
            <v>103P8</v>
          </cell>
          <cell r="B207">
            <v>8000018336</v>
          </cell>
        </row>
        <row r="208">
          <cell r="A208" t="str">
            <v>303q3</v>
          </cell>
          <cell r="B208">
            <v>8000017842</v>
          </cell>
        </row>
        <row r="209">
          <cell r="A209" t="str">
            <v>MOTLC</v>
          </cell>
          <cell r="B209">
            <v>8000018273</v>
          </cell>
        </row>
        <row r="210">
          <cell r="A210" t="str">
            <v>H1A</v>
          </cell>
          <cell r="B210">
            <v>8000018393</v>
          </cell>
        </row>
      </sheetData>
      <sheetData sheetId="8"/>
      <sheetData sheetId="9">
        <row r="1">
          <cell r="A1" t="str">
            <v>Teslimat yeri</v>
          </cell>
          <cell r="B1" t="str">
            <v>Malı teslim alan</v>
          </cell>
        </row>
        <row r="2">
          <cell r="A2" t="str">
            <v>001N0</v>
          </cell>
          <cell r="B2" t="str">
            <v>000006</v>
          </cell>
        </row>
        <row r="3">
          <cell r="A3" t="str">
            <v>001Z0</v>
          </cell>
          <cell r="B3" t="str">
            <v>000006</v>
          </cell>
        </row>
        <row r="4">
          <cell r="A4" t="str">
            <v>014N0</v>
          </cell>
          <cell r="B4" t="str">
            <v>000006</v>
          </cell>
        </row>
        <row r="5">
          <cell r="A5" t="str">
            <v>014N9</v>
          </cell>
          <cell r="B5" t="str">
            <v>000006</v>
          </cell>
        </row>
        <row r="6">
          <cell r="A6" t="str">
            <v>02</v>
          </cell>
          <cell r="B6" t="str">
            <v>000088</v>
          </cell>
        </row>
        <row r="7">
          <cell r="A7" t="str">
            <v>101K4</v>
          </cell>
          <cell r="B7" t="str">
            <v>000006</v>
          </cell>
        </row>
        <row r="8">
          <cell r="A8" t="str">
            <v>101U6</v>
          </cell>
          <cell r="B8" t="str">
            <v>000006</v>
          </cell>
        </row>
        <row r="9">
          <cell r="A9" t="str">
            <v>102K4</v>
          </cell>
          <cell r="B9" t="str">
            <v>000006</v>
          </cell>
        </row>
        <row r="10">
          <cell r="A10" t="str">
            <v>102U6</v>
          </cell>
          <cell r="B10" t="str">
            <v>000006</v>
          </cell>
        </row>
        <row r="11">
          <cell r="A11" t="str">
            <v>10337</v>
          </cell>
          <cell r="B11" t="str">
            <v>000055</v>
          </cell>
        </row>
        <row r="12">
          <cell r="A12" t="str">
            <v>10362</v>
          </cell>
          <cell r="B12" t="str">
            <v>000006</v>
          </cell>
        </row>
        <row r="13">
          <cell r="A13" t="str">
            <v>10386</v>
          </cell>
          <cell r="B13" t="str">
            <v>000055</v>
          </cell>
        </row>
        <row r="14">
          <cell r="A14" t="str">
            <v>103B1</v>
          </cell>
          <cell r="B14" t="str">
            <v>000006</v>
          </cell>
        </row>
        <row r="15">
          <cell r="A15" t="str">
            <v>103B7</v>
          </cell>
          <cell r="B15" t="str">
            <v>000006</v>
          </cell>
        </row>
        <row r="16">
          <cell r="A16" t="str">
            <v>103P4</v>
          </cell>
          <cell r="B16" t="str">
            <v>000055</v>
          </cell>
        </row>
        <row r="17">
          <cell r="A17" t="str">
            <v>103X1</v>
          </cell>
          <cell r="B17" t="str">
            <v>000055</v>
          </cell>
        </row>
        <row r="18">
          <cell r="A18" t="str">
            <v>103Z2</v>
          </cell>
          <cell r="B18" t="str">
            <v>000055</v>
          </cell>
        </row>
        <row r="19">
          <cell r="A19" t="str">
            <v>106K4</v>
          </cell>
          <cell r="B19" t="str">
            <v>000006</v>
          </cell>
        </row>
        <row r="20">
          <cell r="A20" t="str">
            <v>106S4</v>
          </cell>
          <cell r="B20" t="str">
            <v>000006</v>
          </cell>
        </row>
        <row r="21">
          <cell r="A21" t="str">
            <v>106S9</v>
          </cell>
          <cell r="B21" t="str">
            <v>000006</v>
          </cell>
        </row>
        <row r="22">
          <cell r="A22" t="str">
            <v>106U6</v>
          </cell>
          <cell r="B22" t="str">
            <v>000006</v>
          </cell>
        </row>
        <row r="23">
          <cell r="A23" t="str">
            <v>11430</v>
          </cell>
          <cell r="B23" t="str">
            <v>000006</v>
          </cell>
        </row>
        <row r="24">
          <cell r="A24" t="str">
            <v>15501</v>
          </cell>
          <cell r="B24" t="str">
            <v>000006</v>
          </cell>
        </row>
        <row r="25">
          <cell r="A25" t="str">
            <v>165M5</v>
          </cell>
          <cell r="B25" t="str">
            <v>000006</v>
          </cell>
        </row>
        <row r="26">
          <cell r="A26" t="str">
            <v>201S0</v>
          </cell>
          <cell r="B26" t="str">
            <v>000006</v>
          </cell>
        </row>
        <row r="27">
          <cell r="A27" t="str">
            <v>201S7</v>
          </cell>
          <cell r="B27" t="str">
            <v>000006</v>
          </cell>
        </row>
        <row r="28">
          <cell r="A28" t="str">
            <v>20330</v>
          </cell>
          <cell r="B28" t="str">
            <v>000006</v>
          </cell>
        </row>
        <row r="29">
          <cell r="A29" t="str">
            <v>203S0</v>
          </cell>
          <cell r="B29" t="str">
            <v>000006</v>
          </cell>
        </row>
        <row r="30">
          <cell r="A30" t="str">
            <v>203S7</v>
          </cell>
          <cell r="B30" t="str">
            <v>000006</v>
          </cell>
        </row>
        <row r="31">
          <cell r="A31" t="str">
            <v>206V3</v>
          </cell>
          <cell r="B31" t="str">
            <v>000055</v>
          </cell>
        </row>
        <row r="32">
          <cell r="A32" t="str">
            <v>209S1</v>
          </cell>
          <cell r="B32" t="str">
            <v>000006</v>
          </cell>
        </row>
        <row r="33">
          <cell r="A33" t="str">
            <v>217S0</v>
          </cell>
          <cell r="B33" t="str">
            <v>000006</v>
          </cell>
        </row>
        <row r="34">
          <cell r="A34" t="str">
            <v>217S7</v>
          </cell>
          <cell r="B34" t="str">
            <v>000006</v>
          </cell>
        </row>
        <row r="35">
          <cell r="A35" t="str">
            <v>219S7</v>
          </cell>
          <cell r="B35" t="str">
            <v>000006</v>
          </cell>
        </row>
        <row r="36">
          <cell r="A36" t="str">
            <v>3031B</v>
          </cell>
          <cell r="B36" t="str">
            <v>000006</v>
          </cell>
        </row>
        <row r="37">
          <cell r="A37" t="str">
            <v>30362</v>
          </cell>
          <cell r="B37" t="str">
            <v>000006</v>
          </cell>
        </row>
        <row r="38">
          <cell r="A38" t="str">
            <v>303B1</v>
          </cell>
          <cell r="B38" t="str">
            <v>000006</v>
          </cell>
        </row>
        <row r="39">
          <cell r="A39" t="str">
            <v>303H7</v>
          </cell>
          <cell r="B39" t="str">
            <v>000006</v>
          </cell>
        </row>
        <row r="40">
          <cell r="A40" t="str">
            <v>303I1</v>
          </cell>
          <cell r="B40" t="str">
            <v>000006</v>
          </cell>
        </row>
        <row r="41">
          <cell r="A41" t="str">
            <v>303K6</v>
          </cell>
          <cell r="B41" t="str">
            <v>000006</v>
          </cell>
        </row>
        <row r="42">
          <cell r="A42" t="str">
            <v>303O2</v>
          </cell>
          <cell r="B42" t="str">
            <v>000006</v>
          </cell>
        </row>
        <row r="43">
          <cell r="A43" t="str">
            <v>303P2</v>
          </cell>
          <cell r="B43" t="str">
            <v>000006</v>
          </cell>
        </row>
        <row r="44">
          <cell r="A44" t="str">
            <v>303U1</v>
          </cell>
          <cell r="B44" t="str">
            <v>000006</v>
          </cell>
        </row>
        <row r="45">
          <cell r="A45" t="str">
            <v>303W1</v>
          </cell>
          <cell r="B45" t="str">
            <v>000006</v>
          </cell>
        </row>
        <row r="46">
          <cell r="A46" t="str">
            <v>307K1</v>
          </cell>
          <cell r="B46" t="str">
            <v>000055</v>
          </cell>
        </row>
        <row r="47">
          <cell r="A47" t="str">
            <v>307K2</v>
          </cell>
          <cell r="B47" t="str">
            <v>000055</v>
          </cell>
        </row>
        <row r="48">
          <cell r="A48" t="str">
            <v>307K3</v>
          </cell>
          <cell r="B48" t="str">
            <v>000055</v>
          </cell>
        </row>
        <row r="49">
          <cell r="A49" t="str">
            <v>307M7</v>
          </cell>
          <cell r="B49" t="str">
            <v>000055</v>
          </cell>
        </row>
        <row r="50">
          <cell r="A50" t="str">
            <v>401I6</v>
          </cell>
          <cell r="B50" t="str">
            <v>000006</v>
          </cell>
        </row>
        <row r="51">
          <cell r="A51" t="str">
            <v>402I6</v>
          </cell>
          <cell r="B51" t="str">
            <v>000006</v>
          </cell>
        </row>
        <row r="52">
          <cell r="A52" t="str">
            <v>403C1</v>
          </cell>
          <cell r="B52" t="str">
            <v>000006</v>
          </cell>
        </row>
        <row r="53">
          <cell r="A53" t="str">
            <v>403C1</v>
          </cell>
          <cell r="B53" t="str">
            <v>000006</v>
          </cell>
        </row>
        <row r="54">
          <cell r="A54" t="str">
            <v>403C7</v>
          </cell>
          <cell r="B54" t="str">
            <v>000006</v>
          </cell>
        </row>
        <row r="55">
          <cell r="A55" t="str">
            <v>403C7</v>
          </cell>
          <cell r="B55" t="str">
            <v>000006</v>
          </cell>
        </row>
        <row r="56">
          <cell r="A56" t="str">
            <v>50146</v>
          </cell>
          <cell r="B56" t="str">
            <v>000006</v>
          </cell>
        </row>
        <row r="57">
          <cell r="A57" t="str">
            <v>5014V</v>
          </cell>
          <cell r="B57" t="str">
            <v>000006</v>
          </cell>
        </row>
        <row r="58">
          <cell r="A58" t="str">
            <v>50177</v>
          </cell>
          <cell r="B58" t="str">
            <v>000006</v>
          </cell>
        </row>
        <row r="59">
          <cell r="A59" t="str">
            <v>501A5</v>
          </cell>
          <cell r="B59" t="str">
            <v>000006</v>
          </cell>
        </row>
        <row r="60">
          <cell r="A60" t="str">
            <v>501H5</v>
          </cell>
          <cell r="B60" t="str">
            <v>000006</v>
          </cell>
        </row>
        <row r="61">
          <cell r="A61" t="str">
            <v>501R3</v>
          </cell>
          <cell r="B61" t="str">
            <v>000006</v>
          </cell>
        </row>
        <row r="62">
          <cell r="A62" t="str">
            <v>507A5</v>
          </cell>
          <cell r="B62" t="str">
            <v>000006</v>
          </cell>
        </row>
        <row r="63">
          <cell r="A63" t="str">
            <v>60195</v>
          </cell>
          <cell r="B63" t="str">
            <v>000006</v>
          </cell>
        </row>
        <row r="64">
          <cell r="A64" t="str">
            <v>601A0</v>
          </cell>
          <cell r="B64" t="str">
            <v>000006</v>
          </cell>
        </row>
        <row r="65">
          <cell r="A65" t="str">
            <v>601P0</v>
          </cell>
          <cell r="B65" t="str">
            <v>000006</v>
          </cell>
        </row>
        <row r="66">
          <cell r="A66" t="str">
            <v>601R1</v>
          </cell>
          <cell r="B66" t="str">
            <v>000006</v>
          </cell>
        </row>
        <row r="67">
          <cell r="A67" t="str">
            <v>70317</v>
          </cell>
          <cell r="B67" t="str">
            <v>000006</v>
          </cell>
        </row>
        <row r="68">
          <cell r="A68" t="str">
            <v>703E4</v>
          </cell>
          <cell r="B68" t="str">
            <v>000006</v>
          </cell>
        </row>
        <row r="69">
          <cell r="A69" t="str">
            <v>767E4</v>
          </cell>
          <cell r="B69" t="str">
            <v>000006</v>
          </cell>
        </row>
        <row r="70">
          <cell r="A70" t="str">
            <v>781</v>
          </cell>
          <cell r="B70" t="str">
            <v>000006</v>
          </cell>
        </row>
        <row r="71">
          <cell r="A71" t="str">
            <v>80245</v>
          </cell>
          <cell r="B71" t="str">
            <v>000006</v>
          </cell>
        </row>
        <row r="72">
          <cell r="A72" t="str">
            <v>804C8</v>
          </cell>
          <cell r="B72" t="str">
            <v>000006</v>
          </cell>
        </row>
        <row r="73">
          <cell r="A73">
            <v>83630</v>
          </cell>
          <cell r="B73" t="str">
            <v>000006</v>
          </cell>
        </row>
        <row r="74">
          <cell r="A74" t="str">
            <v>868C7</v>
          </cell>
          <cell r="B74" t="str">
            <v>000006</v>
          </cell>
        </row>
        <row r="75">
          <cell r="A75" t="str">
            <v>902K9</v>
          </cell>
          <cell r="B75" t="str">
            <v>000006</v>
          </cell>
        </row>
        <row r="76">
          <cell r="A76" t="str">
            <v>90420</v>
          </cell>
          <cell r="B76" t="str">
            <v>000006</v>
          </cell>
        </row>
        <row r="77">
          <cell r="A77" t="str">
            <v>BAU50</v>
          </cell>
        </row>
        <row r="78">
          <cell r="A78" t="str">
            <v>BAU90</v>
          </cell>
        </row>
        <row r="79">
          <cell r="A79" t="str">
            <v>C0162</v>
          </cell>
          <cell r="B79" t="str">
            <v>000006</v>
          </cell>
        </row>
        <row r="80">
          <cell r="A80" t="str">
            <v>C0340</v>
          </cell>
          <cell r="B80" t="str">
            <v>000006</v>
          </cell>
        </row>
        <row r="81">
          <cell r="A81" t="str">
            <v>C0360</v>
          </cell>
          <cell r="B81" t="str">
            <v>000006</v>
          </cell>
        </row>
        <row r="82">
          <cell r="A82" t="str">
            <v>C0560</v>
          </cell>
          <cell r="B82" t="str">
            <v>000006</v>
          </cell>
        </row>
        <row r="83">
          <cell r="A83" t="str">
            <v>C0860</v>
          </cell>
          <cell r="B83" t="str">
            <v>000006</v>
          </cell>
        </row>
        <row r="84">
          <cell r="A84" t="str">
            <v>CC1</v>
          </cell>
          <cell r="B84" t="str">
            <v>000001</v>
          </cell>
        </row>
        <row r="85">
          <cell r="A85" t="str">
            <v>CH1</v>
          </cell>
          <cell r="B85" t="str">
            <v>000001</v>
          </cell>
        </row>
        <row r="86">
          <cell r="A86" t="str">
            <v>CTCT</v>
          </cell>
          <cell r="B86" t="str">
            <v>000001</v>
          </cell>
        </row>
        <row r="87">
          <cell r="A87" t="str">
            <v>D01A1</v>
          </cell>
          <cell r="B87" t="str">
            <v>000006</v>
          </cell>
        </row>
        <row r="88">
          <cell r="A88" t="str">
            <v>D01AS</v>
          </cell>
          <cell r="B88" t="str">
            <v>000006</v>
          </cell>
        </row>
        <row r="89">
          <cell r="A89" t="str">
            <v>D01S2</v>
          </cell>
          <cell r="B89" t="str">
            <v>000006</v>
          </cell>
        </row>
        <row r="90">
          <cell r="A90" t="str">
            <v>EVMG</v>
          </cell>
        </row>
        <row r="91">
          <cell r="A91" t="str">
            <v>EVVG</v>
          </cell>
        </row>
        <row r="92">
          <cell r="A92" t="str">
            <v>F01G1</v>
          </cell>
        </row>
        <row r="93">
          <cell r="A93" t="str">
            <v>G01K1</v>
          </cell>
        </row>
        <row r="94">
          <cell r="A94" t="str">
            <v>H0111</v>
          </cell>
          <cell r="B94" t="str">
            <v>000006</v>
          </cell>
        </row>
        <row r="95">
          <cell r="A95" t="str">
            <v>J0120</v>
          </cell>
          <cell r="B95" t="str">
            <v>000006</v>
          </cell>
        </row>
        <row r="96">
          <cell r="A96" t="str">
            <v>J01E2</v>
          </cell>
          <cell r="B96" t="str">
            <v>000006</v>
          </cell>
        </row>
        <row r="97">
          <cell r="A97" t="str">
            <v>K01E9</v>
          </cell>
          <cell r="B97" t="str">
            <v>000006</v>
          </cell>
        </row>
        <row r="98">
          <cell r="A98" t="str">
            <v>K01M3</v>
          </cell>
          <cell r="B98" t="str">
            <v>000006</v>
          </cell>
        </row>
        <row r="99">
          <cell r="A99" t="str">
            <v>KAQ</v>
          </cell>
        </row>
        <row r="100">
          <cell r="A100" t="str">
            <v>KOD47</v>
          </cell>
        </row>
        <row r="101">
          <cell r="A101" t="str">
            <v>KOD66</v>
          </cell>
        </row>
        <row r="102">
          <cell r="A102" t="str">
            <v>KOD72</v>
          </cell>
        </row>
        <row r="103">
          <cell r="A103" t="str">
            <v>KOD85</v>
          </cell>
        </row>
        <row r="104">
          <cell r="A104" t="str">
            <v>KOD86</v>
          </cell>
        </row>
        <row r="105">
          <cell r="A105" t="str">
            <v>KS  G</v>
          </cell>
        </row>
        <row r="106">
          <cell r="A106" t="str">
            <v>KXG</v>
          </cell>
        </row>
        <row r="107">
          <cell r="A107" t="str">
            <v>L03D1</v>
          </cell>
          <cell r="B107" t="str">
            <v>000006</v>
          </cell>
        </row>
        <row r="108">
          <cell r="A108" t="str">
            <v>L06V1</v>
          </cell>
          <cell r="B108" t="str">
            <v>000006</v>
          </cell>
        </row>
        <row r="109">
          <cell r="A109" t="str">
            <v>MON</v>
          </cell>
        </row>
        <row r="110">
          <cell r="A110" t="str">
            <v>MON G</v>
          </cell>
        </row>
        <row r="111">
          <cell r="A111" t="str">
            <v>MOT</v>
          </cell>
        </row>
        <row r="112">
          <cell r="A112" t="str">
            <v>MOT G</v>
          </cell>
        </row>
        <row r="113">
          <cell r="A113" t="str">
            <v>MOTOF</v>
          </cell>
        </row>
        <row r="114">
          <cell r="A114" t="str">
            <v>O010A</v>
          </cell>
          <cell r="B114" t="str">
            <v>000006</v>
          </cell>
        </row>
        <row r="115">
          <cell r="A115" t="str">
            <v>O01F3</v>
          </cell>
          <cell r="B115" t="str">
            <v>000006</v>
          </cell>
        </row>
        <row r="116">
          <cell r="A116" t="str">
            <v>P05A1</v>
          </cell>
          <cell r="B116" t="str">
            <v>000006</v>
          </cell>
        </row>
        <row r="117">
          <cell r="A117" t="str">
            <v>PST03</v>
          </cell>
        </row>
        <row r="118">
          <cell r="A118" t="str">
            <v>PT02</v>
          </cell>
        </row>
        <row r="119">
          <cell r="A119" t="str">
            <v>S1404</v>
          </cell>
          <cell r="B119" t="str">
            <v>000001</v>
          </cell>
        </row>
        <row r="120">
          <cell r="A120" t="str">
            <v>S1908</v>
          </cell>
          <cell r="B120" t="str">
            <v>000001</v>
          </cell>
        </row>
        <row r="121">
          <cell r="A121" t="str">
            <v>S2908</v>
          </cell>
        </row>
        <row r="122">
          <cell r="A122" t="str">
            <v>SL G</v>
          </cell>
        </row>
        <row r="123">
          <cell r="A123" t="str">
            <v>T5P51</v>
          </cell>
          <cell r="B123" t="str">
            <v>000001</v>
          </cell>
        </row>
        <row r="124">
          <cell r="A124" t="str">
            <v>UPSOR</v>
          </cell>
        </row>
        <row r="125">
          <cell r="A125" t="str">
            <v>VSL G</v>
          </cell>
        </row>
        <row r="126">
          <cell r="A126" t="str">
            <v>W01C0</v>
          </cell>
          <cell r="B126" t="str">
            <v>000006</v>
          </cell>
        </row>
        <row r="127">
          <cell r="A127" t="str">
            <v>Y0537</v>
          </cell>
          <cell r="B127" t="str">
            <v>000006</v>
          </cell>
        </row>
        <row r="128">
          <cell r="A128" t="str">
            <v>Y05D2</v>
          </cell>
          <cell r="B128" t="str">
            <v>000006</v>
          </cell>
        </row>
        <row r="129">
          <cell r="A129" t="str">
            <v>Y05S2</v>
          </cell>
          <cell r="B129" t="str">
            <v>000006</v>
          </cell>
        </row>
        <row r="130">
          <cell r="A130" t="str">
            <v>30331</v>
          </cell>
          <cell r="B130" t="str">
            <v>000006</v>
          </cell>
        </row>
        <row r="131">
          <cell r="A131" t="str">
            <v>303G1</v>
          </cell>
          <cell r="B131" t="str">
            <v>000006</v>
          </cell>
        </row>
        <row r="132">
          <cell r="A132" t="str">
            <v>303Q3</v>
          </cell>
          <cell r="B132" t="str">
            <v>000006</v>
          </cell>
        </row>
        <row r="133">
          <cell r="A133" t="str">
            <v>501A4</v>
          </cell>
          <cell r="B133" t="str">
            <v>000006</v>
          </cell>
        </row>
        <row r="134">
          <cell r="A134" t="str">
            <v>103H7</v>
          </cell>
          <cell r="B134" t="str">
            <v>000006</v>
          </cell>
        </row>
        <row r="135">
          <cell r="A135" t="str">
            <v>855I3</v>
          </cell>
          <cell r="B135" t="str">
            <v>000006</v>
          </cell>
        </row>
        <row r="136">
          <cell r="A136" t="str">
            <v>418F6</v>
          </cell>
          <cell r="B136" t="str">
            <v>000006</v>
          </cell>
        </row>
        <row r="137">
          <cell r="A137" t="str">
            <v>L02F1</v>
          </cell>
          <cell r="B137" t="str">
            <v>000006</v>
          </cell>
        </row>
        <row r="138">
          <cell r="A138" t="str">
            <v>889I7</v>
          </cell>
          <cell r="B138" t="str">
            <v>000006</v>
          </cell>
        </row>
        <row r="139">
          <cell r="A139" t="str">
            <v>103C9</v>
          </cell>
          <cell r="B139" t="str">
            <v>000006</v>
          </cell>
        </row>
        <row r="140">
          <cell r="A140" t="str">
            <v>L06S2</v>
          </cell>
          <cell r="B140" t="str">
            <v>000006</v>
          </cell>
        </row>
        <row r="141">
          <cell r="A141" t="str">
            <v>W010C</v>
          </cell>
          <cell r="B141" t="str">
            <v>000006</v>
          </cell>
        </row>
        <row r="142">
          <cell r="A142" t="str">
            <v>C1b</v>
          </cell>
          <cell r="B142" t="str">
            <v>000006</v>
          </cell>
        </row>
        <row r="143">
          <cell r="A143" t="str">
            <v>vs3</v>
          </cell>
          <cell r="B143" t="str">
            <v>000006</v>
          </cell>
        </row>
        <row r="144">
          <cell r="A144" t="str">
            <v>103z5</v>
          </cell>
          <cell r="B144" t="str">
            <v>000006</v>
          </cell>
        </row>
        <row r="145">
          <cell r="A145" t="str">
            <v>30367</v>
          </cell>
          <cell r="B145" t="str">
            <v>000006</v>
          </cell>
        </row>
        <row r="146">
          <cell r="A146" t="str">
            <v>y05s4</v>
          </cell>
          <cell r="B146" t="str">
            <v>000006</v>
          </cell>
        </row>
        <row r="147">
          <cell r="A147" t="str">
            <v>10329</v>
          </cell>
          <cell r="B147" t="str">
            <v>000006</v>
          </cell>
        </row>
        <row r="148">
          <cell r="A148" t="str">
            <v>106a4</v>
          </cell>
          <cell r="B148" t="str">
            <v>000006</v>
          </cell>
        </row>
        <row r="149">
          <cell r="A149" t="str">
            <v>214s0</v>
          </cell>
          <cell r="B149" t="str">
            <v>000006</v>
          </cell>
        </row>
        <row r="150">
          <cell r="A150" t="str">
            <v>MOTLC</v>
          </cell>
          <cell r="B150" t="str">
            <v>000006</v>
          </cell>
        </row>
        <row r="151">
          <cell r="A151" t="str">
            <v>103G7</v>
          </cell>
          <cell r="B151" t="str">
            <v>000006</v>
          </cell>
        </row>
        <row r="152">
          <cell r="A152" t="str">
            <v>21730</v>
          </cell>
          <cell r="B152" t="str">
            <v>000006</v>
          </cell>
        </row>
        <row r="153">
          <cell r="A153" t="str">
            <v>10363</v>
          </cell>
          <cell r="B153" t="str">
            <v>000006</v>
          </cell>
        </row>
        <row r="154">
          <cell r="A154" t="str">
            <v>103p8</v>
          </cell>
          <cell r="B154" t="str">
            <v>000006</v>
          </cell>
        </row>
        <row r="155">
          <cell r="A155" t="str">
            <v>C01F2</v>
          </cell>
          <cell r="B155" t="str">
            <v>000006</v>
          </cell>
        </row>
        <row r="156">
          <cell r="A156" t="str">
            <v>501a3</v>
          </cell>
          <cell r="B156" t="str">
            <v>000006</v>
          </cell>
        </row>
        <row r="157">
          <cell r="A157" t="str">
            <v>O01p2</v>
          </cell>
          <cell r="B157" t="str">
            <v>000006</v>
          </cell>
        </row>
        <row r="158">
          <cell r="A158" t="str">
            <v>vs1</v>
          </cell>
          <cell r="B158" t="str">
            <v>000006</v>
          </cell>
        </row>
        <row r="159">
          <cell r="A159" t="str">
            <v>902S6</v>
          </cell>
          <cell r="B159" t="str">
            <v>000006</v>
          </cell>
        </row>
        <row r="160">
          <cell r="A160" t="str">
            <v>y05n4</v>
          </cell>
          <cell r="B160" t="str">
            <v>000006</v>
          </cell>
        </row>
        <row r="161">
          <cell r="A161" t="str">
            <v>307q1</v>
          </cell>
          <cell r="B161" t="str">
            <v>000006</v>
          </cell>
        </row>
        <row r="162">
          <cell r="A162" t="str">
            <v>207s0</v>
          </cell>
          <cell r="B162" t="str">
            <v>000006</v>
          </cell>
        </row>
        <row r="163">
          <cell r="A163" t="str">
            <v>W01g2</v>
          </cell>
          <cell r="B163" t="str">
            <v>000006</v>
          </cell>
        </row>
        <row r="164">
          <cell r="A164" t="str">
            <v>ks g</v>
          </cell>
          <cell r="B164" t="str">
            <v>000006</v>
          </cell>
        </row>
        <row r="165">
          <cell r="A165" t="str">
            <v>50157</v>
          </cell>
          <cell r="B165" t="str">
            <v>000006</v>
          </cell>
        </row>
        <row r="166">
          <cell r="A166" t="str">
            <v>65542</v>
          </cell>
          <cell r="B166" t="str">
            <v>000006</v>
          </cell>
        </row>
        <row r="167">
          <cell r="A167" t="str">
            <v>04</v>
          </cell>
          <cell r="B167" t="str">
            <v>000006</v>
          </cell>
        </row>
        <row r="168">
          <cell r="A168" t="str">
            <v>209w1</v>
          </cell>
          <cell r="B168" t="str">
            <v>000006</v>
          </cell>
        </row>
        <row r="169">
          <cell r="A169" t="str">
            <v>507a3</v>
          </cell>
          <cell r="B169" t="str">
            <v>000006</v>
          </cell>
        </row>
        <row r="170">
          <cell r="A170" t="str">
            <v>50156</v>
          </cell>
          <cell r="B170" t="str">
            <v>000006</v>
          </cell>
        </row>
        <row r="171">
          <cell r="A171" t="str">
            <v>303p7</v>
          </cell>
          <cell r="B171" t="str">
            <v>000006</v>
          </cell>
        </row>
        <row r="172">
          <cell r="A172" t="str">
            <v>1ab</v>
          </cell>
          <cell r="B172" t="str">
            <v>000006</v>
          </cell>
        </row>
        <row r="173">
          <cell r="A173" t="str">
            <v>30332</v>
          </cell>
          <cell r="B173" t="str">
            <v>000006</v>
          </cell>
        </row>
        <row r="174">
          <cell r="A174" t="str">
            <v>ACHG</v>
          </cell>
          <cell r="B174" t="str">
            <v>000006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workbookViewId="0">
      <pane ySplit="1" topLeftCell="A53" activePane="bottomLeft" state="frozen"/>
      <selection pane="bottomLeft" activeCell="B70" sqref="B70"/>
    </sheetView>
  </sheetViews>
  <sheetFormatPr baseColWidth="10" defaultColWidth="9.140625" defaultRowHeight="15" x14ac:dyDescent="0.25"/>
  <cols>
    <col min="1" max="1" width="10" bestFit="1" customWidth="1"/>
    <col min="2" max="2" width="11" bestFit="1" customWidth="1"/>
  </cols>
  <sheetData>
    <row r="1" spans="1:2" x14ac:dyDescent="0.25">
      <c r="A1" s="5" t="s">
        <v>2</v>
      </c>
      <c r="B1" s="5" t="s">
        <v>1</v>
      </c>
    </row>
    <row r="2" spans="1:2" x14ac:dyDescent="0.25">
      <c r="A2" s="1">
        <v>100131700</v>
      </c>
      <c r="B2" s="3" t="s">
        <v>3</v>
      </c>
    </row>
    <row r="3" spans="1:2" x14ac:dyDescent="0.25">
      <c r="A3" s="1">
        <v>100299700</v>
      </c>
      <c r="B3" s="3" t="s">
        <v>4</v>
      </c>
    </row>
    <row r="4" spans="1:2" x14ac:dyDescent="0.25">
      <c r="A4" s="1">
        <v>100326600</v>
      </c>
      <c r="B4" s="3" t="s">
        <v>5</v>
      </c>
    </row>
    <row r="5" spans="1:2" x14ac:dyDescent="0.25">
      <c r="A5" s="1">
        <v>100326800</v>
      </c>
      <c r="B5" s="3" t="s">
        <v>6</v>
      </c>
    </row>
    <row r="6" spans="1:2" x14ac:dyDescent="0.25">
      <c r="A6" s="1">
        <v>100327000</v>
      </c>
      <c r="B6" s="3" t="s">
        <v>7</v>
      </c>
    </row>
    <row r="7" spans="1:2" x14ac:dyDescent="0.25">
      <c r="A7" s="1">
        <v>100328200</v>
      </c>
      <c r="B7" s="3" t="s">
        <v>8</v>
      </c>
    </row>
    <row r="8" spans="1:2" x14ac:dyDescent="0.25">
      <c r="A8" s="1">
        <v>100469100</v>
      </c>
      <c r="B8" s="3" t="s">
        <v>9</v>
      </c>
    </row>
    <row r="9" spans="1:2" x14ac:dyDescent="0.25">
      <c r="A9" s="1">
        <v>100501600</v>
      </c>
      <c r="B9" s="3" t="s">
        <v>10</v>
      </c>
    </row>
    <row r="10" spans="1:2" x14ac:dyDescent="0.25">
      <c r="A10" s="1">
        <v>100635300</v>
      </c>
      <c r="B10" s="3" t="s">
        <v>11</v>
      </c>
    </row>
    <row r="11" spans="1:2" x14ac:dyDescent="0.25">
      <c r="A11" s="1">
        <v>110000102</v>
      </c>
      <c r="B11" s="3" t="s">
        <v>12</v>
      </c>
    </row>
    <row r="12" spans="1:2" x14ac:dyDescent="0.25">
      <c r="A12" s="1">
        <v>110082700</v>
      </c>
      <c r="B12" s="3" t="s">
        <v>13</v>
      </c>
    </row>
    <row r="13" spans="1:2" x14ac:dyDescent="0.25">
      <c r="A13" s="1">
        <v>923520000</v>
      </c>
      <c r="B13" s="3" t="s">
        <v>14</v>
      </c>
    </row>
    <row r="14" spans="1:2" x14ac:dyDescent="0.25">
      <c r="A14" s="1">
        <v>924840000</v>
      </c>
      <c r="B14" s="3" t="s">
        <v>15</v>
      </c>
    </row>
    <row r="15" spans="1:2" x14ac:dyDescent="0.25">
      <c r="A15" s="1">
        <v>926128000</v>
      </c>
      <c r="B15" s="3" t="s">
        <v>16</v>
      </c>
    </row>
    <row r="16" spans="1:2" x14ac:dyDescent="0.25">
      <c r="A16" s="1">
        <v>930789003</v>
      </c>
      <c r="B16" s="3" t="s">
        <v>17</v>
      </c>
    </row>
    <row r="17" spans="1:2" x14ac:dyDescent="0.25">
      <c r="A17" s="1">
        <v>932764000</v>
      </c>
      <c r="B17" s="3" t="s">
        <v>18</v>
      </c>
    </row>
    <row r="18" spans="1:2" x14ac:dyDescent="0.25">
      <c r="A18" s="1">
        <v>932803000</v>
      </c>
      <c r="B18" s="3" t="s">
        <v>19</v>
      </c>
    </row>
    <row r="19" spans="1:2" x14ac:dyDescent="0.25">
      <c r="A19" s="1">
        <v>933036000</v>
      </c>
      <c r="B19" s="3" t="s">
        <v>20</v>
      </c>
    </row>
    <row r="20" spans="1:2" x14ac:dyDescent="0.25">
      <c r="A20" s="1">
        <v>936428000</v>
      </c>
      <c r="B20" s="3" t="s">
        <v>21</v>
      </c>
    </row>
    <row r="21" spans="1:2" x14ac:dyDescent="0.25">
      <c r="A21" s="1">
        <v>937273000</v>
      </c>
      <c r="B21" s="3" t="s">
        <v>22</v>
      </c>
    </row>
    <row r="22" spans="1:2" x14ac:dyDescent="0.25">
      <c r="A22" s="1">
        <v>940315000</v>
      </c>
      <c r="B22" s="3" t="s">
        <v>23</v>
      </c>
    </row>
    <row r="23" spans="1:2" x14ac:dyDescent="0.25">
      <c r="A23" s="1">
        <v>940328000</v>
      </c>
      <c r="B23" s="3" t="s">
        <v>24</v>
      </c>
    </row>
    <row r="24" spans="1:2" x14ac:dyDescent="0.25">
      <c r="A24" s="1">
        <v>966796000</v>
      </c>
      <c r="B24" s="3" t="s">
        <v>25</v>
      </c>
    </row>
    <row r="25" spans="1:2" x14ac:dyDescent="0.25">
      <c r="A25" s="1">
        <v>967156000</v>
      </c>
      <c r="B25" s="3" t="s">
        <v>26</v>
      </c>
    </row>
    <row r="26" spans="1:2" x14ac:dyDescent="0.25">
      <c r="A26" s="1">
        <v>969062000</v>
      </c>
      <c r="B26" s="3" t="s">
        <v>27</v>
      </c>
    </row>
    <row r="27" spans="1:2" x14ac:dyDescent="0.25">
      <c r="A27" s="1">
        <v>969063000</v>
      </c>
      <c r="B27" s="3" t="s">
        <v>28</v>
      </c>
    </row>
    <row r="28" spans="1:2" x14ac:dyDescent="0.25">
      <c r="A28" s="1">
        <v>970652000</v>
      </c>
      <c r="B28" s="3" t="s">
        <v>29</v>
      </c>
    </row>
    <row r="29" spans="1:2" x14ac:dyDescent="0.25">
      <c r="A29" s="1">
        <v>970695000</v>
      </c>
      <c r="B29" s="3" t="s">
        <v>30</v>
      </c>
    </row>
    <row r="30" spans="1:2" x14ac:dyDescent="0.25">
      <c r="A30" s="1">
        <v>970698000</v>
      </c>
      <c r="B30" s="3" t="s">
        <v>31</v>
      </c>
    </row>
    <row r="31" spans="1:2" x14ac:dyDescent="0.25">
      <c r="A31" s="1">
        <v>970723000</v>
      </c>
      <c r="B31" s="3" t="s">
        <v>32</v>
      </c>
    </row>
    <row r="32" spans="1:2" x14ac:dyDescent="0.25">
      <c r="A32" s="1">
        <v>970829000</v>
      </c>
      <c r="B32" s="3" t="s">
        <v>33</v>
      </c>
    </row>
    <row r="33" spans="1:2" x14ac:dyDescent="0.25">
      <c r="A33" s="1">
        <v>100197700</v>
      </c>
      <c r="B33" s="4" t="s">
        <v>34</v>
      </c>
    </row>
    <row r="34" spans="1:2" x14ac:dyDescent="0.25">
      <c r="A34" s="1">
        <v>100217000</v>
      </c>
      <c r="B34" s="4" t="s">
        <v>35</v>
      </c>
    </row>
    <row r="35" spans="1:2" x14ac:dyDescent="0.25">
      <c r="A35" s="1">
        <v>100252100</v>
      </c>
      <c r="B35" s="4" t="s">
        <v>36</v>
      </c>
    </row>
    <row r="36" spans="1:2" x14ac:dyDescent="0.25">
      <c r="A36" s="1">
        <v>100302300</v>
      </c>
      <c r="B36" s="4" t="s">
        <v>37</v>
      </c>
    </row>
    <row r="37" spans="1:2" x14ac:dyDescent="0.25">
      <c r="A37" s="1">
        <v>100313900</v>
      </c>
      <c r="B37" s="4" t="s">
        <v>38</v>
      </c>
    </row>
    <row r="38" spans="1:2" x14ac:dyDescent="0.25">
      <c r="A38" s="1">
        <v>100325100</v>
      </c>
      <c r="B38" s="4" t="s">
        <v>39</v>
      </c>
    </row>
    <row r="39" spans="1:2" x14ac:dyDescent="0.25">
      <c r="A39" s="1">
        <v>100325400</v>
      </c>
      <c r="B39" s="4" t="s">
        <v>40</v>
      </c>
    </row>
    <row r="40" spans="1:2" x14ac:dyDescent="0.25">
      <c r="A40" s="1">
        <v>100326400</v>
      </c>
      <c r="B40" s="4" t="s">
        <v>41</v>
      </c>
    </row>
    <row r="41" spans="1:2" x14ac:dyDescent="0.25">
      <c r="A41" s="1">
        <v>100326500</v>
      </c>
      <c r="B41" s="3" t="s">
        <v>42</v>
      </c>
    </row>
    <row r="42" spans="1:2" x14ac:dyDescent="0.25">
      <c r="A42" s="1">
        <v>100326700</v>
      </c>
      <c r="B42" s="3" t="s">
        <v>43</v>
      </c>
    </row>
    <row r="43" spans="1:2" x14ac:dyDescent="0.25">
      <c r="A43" s="1">
        <v>100327900</v>
      </c>
      <c r="B43" s="3" t="s">
        <v>44</v>
      </c>
    </row>
    <row r="44" spans="1:2" x14ac:dyDescent="0.25">
      <c r="A44" s="1">
        <v>100328400</v>
      </c>
      <c r="B44" s="3" t="s">
        <v>45</v>
      </c>
    </row>
    <row r="45" spans="1:2" x14ac:dyDescent="0.25">
      <c r="A45" s="1">
        <v>100331200</v>
      </c>
      <c r="B45" s="3" t="s">
        <v>46</v>
      </c>
    </row>
    <row r="46" spans="1:2" x14ac:dyDescent="0.25">
      <c r="A46" s="1">
        <v>100355700</v>
      </c>
      <c r="B46" s="3" t="s">
        <v>47</v>
      </c>
    </row>
    <row r="47" spans="1:2" x14ac:dyDescent="0.25">
      <c r="A47" s="1">
        <v>100548500</v>
      </c>
      <c r="B47" s="3" t="s">
        <v>48</v>
      </c>
    </row>
    <row r="48" spans="1:2" x14ac:dyDescent="0.25">
      <c r="A48" s="1">
        <v>100590000</v>
      </c>
      <c r="B48" s="3" t="s">
        <v>49</v>
      </c>
    </row>
    <row r="49" spans="1:2" x14ac:dyDescent="0.25">
      <c r="A49" s="1">
        <v>925194000</v>
      </c>
      <c r="B49" s="3" t="s">
        <v>50</v>
      </c>
    </row>
    <row r="50" spans="1:2" x14ac:dyDescent="0.25">
      <c r="A50" s="1">
        <v>925668000</v>
      </c>
      <c r="B50" s="3" t="s">
        <v>51</v>
      </c>
    </row>
    <row r="51" spans="1:2" x14ac:dyDescent="0.25">
      <c r="A51" s="1">
        <v>928032000</v>
      </c>
      <c r="B51" s="3" t="s">
        <v>52</v>
      </c>
    </row>
    <row r="52" spans="1:2" x14ac:dyDescent="0.25">
      <c r="A52" s="1">
        <v>930730000</v>
      </c>
      <c r="B52" s="3" t="s">
        <v>53</v>
      </c>
    </row>
    <row r="53" spans="1:2" x14ac:dyDescent="0.25">
      <c r="A53" s="1">
        <v>931781000</v>
      </c>
      <c r="B53" s="3" t="s">
        <v>54</v>
      </c>
    </row>
    <row r="54" spans="1:2" x14ac:dyDescent="0.25">
      <c r="A54" s="1">
        <v>932125000</v>
      </c>
      <c r="B54" s="3" t="s">
        <v>55</v>
      </c>
    </row>
    <row r="55" spans="1:2" x14ac:dyDescent="0.25">
      <c r="A55" s="1">
        <v>932226000</v>
      </c>
      <c r="B55" s="3" t="s">
        <v>56</v>
      </c>
    </row>
    <row r="56" spans="1:2" x14ac:dyDescent="0.25">
      <c r="A56" s="1">
        <v>932595000</v>
      </c>
      <c r="B56" s="3" t="s">
        <v>57</v>
      </c>
    </row>
    <row r="57" spans="1:2" x14ac:dyDescent="0.25">
      <c r="A57" s="1">
        <v>932765000</v>
      </c>
      <c r="B57" s="3" t="s">
        <v>58</v>
      </c>
    </row>
    <row r="58" spans="1:2" x14ac:dyDescent="0.25">
      <c r="A58" s="1">
        <v>934590000</v>
      </c>
      <c r="B58" s="3" t="s">
        <v>59</v>
      </c>
    </row>
    <row r="59" spans="1:2" x14ac:dyDescent="0.25">
      <c r="A59" s="1">
        <v>936809000</v>
      </c>
      <c r="B59" s="3" t="s">
        <v>60</v>
      </c>
    </row>
    <row r="60" spans="1:2" x14ac:dyDescent="0.25">
      <c r="A60" s="1">
        <v>940993000</v>
      </c>
      <c r="B60" s="3" t="s">
        <v>61</v>
      </c>
    </row>
    <row r="61" spans="1:2" x14ac:dyDescent="0.25">
      <c r="A61" s="1">
        <v>967230000</v>
      </c>
      <c r="B61" s="3" t="s">
        <v>62</v>
      </c>
    </row>
    <row r="62" spans="1:2" x14ac:dyDescent="0.25">
      <c r="A62" s="1">
        <v>968138000</v>
      </c>
      <c r="B62" s="3" t="s">
        <v>63</v>
      </c>
    </row>
    <row r="63" spans="1:2" x14ac:dyDescent="0.25">
      <c r="A63" s="1">
        <v>968160000</v>
      </c>
      <c r="B63" s="3" t="s">
        <v>64</v>
      </c>
    </row>
    <row r="64" spans="1:2" x14ac:dyDescent="0.25">
      <c r="A64" s="1">
        <v>968472001</v>
      </c>
      <c r="B64" s="3" t="s">
        <v>65</v>
      </c>
    </row>
    <row r="65" spans="1:2" x14ac:dyDescent="0.25">
      <c r="A65" s="1">
        <v>969061000</v>
      </c>
      <c r="B65" s="3" t="s">
        <v>66</v>
      </c>
    </row>
    <row r="66" spans="1:2" x14ac:dyDescent="0.25">
      <c r="A66" s="1">
        <v>969209000</v>
      </c>
      <c r="B66" s="3" t="s">
        <v>67</v>
      </c>
    </row>
    <row r="67" spans="1:2" x14ac:dyDescent="0.25">
      <c r="A67" s="1">
        <v>970411000</v>
      </c>
      <c r="B67" s="3" t="s">
        <v>68</v>
      </c>
    </row>
    <row r="68" spans="1:2" x14ac:dyDescent="0.25">
      <c r="A68" s="1">
        <v>970696000</v>
      </c>
      <c r="B68" s="3" t="s">
        <v>69</v>
      </c>
    </row>
    <row r="69" spans="1:2" x14ac:dyDescent="0.25">
      <c r="A69" s="1">
        <v>970697000</v>
      </c>
      <c r="B69" s="3" t="s">
        <v>70</v>
      </c>
    </row>
    <row r="70" spans="1:2" x14ac:dyDescent="0.25">
      <c r="A70" s="1" t="s">
        <v>0</v>
      </c>
      <c r="B70" s="3" t="s">
        <v>71</v>
      </c>
    </row>
    <row r="71" spans="1:2" x14ac:dyDescent="0.25">
      <c r="A71" s="1">
        <v>100288900</v>
      </c>
      <c r="B71" s="3" t="s">
        <v>72</v>
      </c>
    </row>
    <row r="72" spans="1:2" x14ac:dyDescent="0.25">
      <c r="A72" s="1">
        <v>100299600</v>
      </c>
      <c r="B72" s="3" t="s">
        <v>73</v>
      </c>
    </row>
    <row r="73" spans="1:2" x14ac:dyDescent="0.25">
      <c r="A73" s="1">
        <v>100325500</v>
      </c>
      <c r="B73" s="3" t="s">
        <v>74</v>
      </c>
    </row>
    <row r="74" spans="1:2" x14ac:dyDescent="0.25">
      <c r="A74" s="1">
        <v>100325900</v>
      </c>
      <c r="B74" s="3" t="s">
        <v>75</v>
      </c>
    </row>
    <row r="75" spans="1:2" x14ac:dyDescent="0.25">
      <c r="A75" s="1">
        <v>100326900</v>
      </c>
      <c r="B75" s="3" t="s">
        <v>76</v>
      </c>
    </row>
    <row r="76" spans="1:2" x14ac:dyDescent="0.25">
      <c r="A76" s="1">
        <v>100328300</v>
      </c>
      <c r="B76" s="3" t="s">
        <v>77</v>
      </c>
    </row>
    <row r="77" spans="1:2" x14ac:dyDescent="0.25">
      <c r="A77" s="1">
        <v>100409800</v>
      </c>
      <c r="B77" s="3" t="s">
        <v>78</v>
      </c>
    </row>
    <row r="78" spans="1:2" x14ac:dyDescent="0.25">
      <c r="A78" s="1">
        <v>100417700</v>
      </c>
      <c r="B78" s="3" t="s">
        <v>79</v>
      </c>
    </row>
    <row r="79" spans="1:2" x14ac:dyDescent="0.25">
      <c r="A79" s="1">
        <v>100449600</v>
      </c>
      <c r="B79" s="3" t="s">
        <v>80</v>
      </c>
    </row>
    <row r="80" spans="1:2" x14ac:dyDescent="0.25">
      <c r="A80" s="1">
        <v>100928800</v>
      </c>
      <c r="B80" s="3" t="s">
        <v>81</v>
      </c>
    </row>
    <row r="81" spans="1:2" x14ac:dyDescent="0.25">
      <c r="A81" s="1">
        <v>100931300</v>
      </c>
      <c r="B81" s="3" t="s">
        <v>82</v>
      </c>
    </row>
    <row r="82" spans="1:2" x14ac:dyDescent="0.25">
      <c r="A82" s="1">
        <v>932227000</v>
      </c>
      <c r="B82" s="3" t="s">
        <v>83</v>
      </c>
    </row>
    <row r="83" spans="1:2" x14ac:dyDescent="0.25">
      <c r="A83" s="1">
        <v>932228000</v>
      </c>
      <c r="B83" s="3" t="s">
        <v>84</v>
      </c>
    </row>
    <row r="84" spans="1:2" x14ac:dyDescent="0.25">
      <c r="A84" s="1">
        <v>932337000</v>
      </c>
      <c r="B84" s="3" t="s">
        <v>85</v>
      </c>
    </row>
    <row r="85" spans="1:2" x14ac:dyDescent="0.25">
      <c r="A85" s="1">
        <v>933879000</v>
      </c>
      <c r="B85" s="3" t="s">
        <v>86</v>
      </c>
    </row>
    <row r="86" spans="1:2" x14ac:dyDescent="0.25">
      <c r="A86" s="1">
        <v>933881000</v>
      </c>
      <c r="B86" s="3" t="s">
        <v>87</v>
      </c>
    </row>
    <row r="87" spans="1:2" x14ac:dyDescent="0.25">
      <c r="A87" s="1">
        <v>937627000</v>
      </c>
      <c r="B87" s="3" t="s">
        <v>88</v>
      </c>
    </row>
    <row r="88" spans="1:2" x14ac:dyDescent="0.25">
      <c r="A88" s="1">
        <v>939495000</v>
      </c>
      <c r="B88" s="3" t="s">
        <v>89</v>
      </c>
    </row>
    <row r="89" spans="1:2" x14ac:dyDescent="0.25">
      <c r="A89" s="1">
        <v>940893000</v>
      </c>
      <c r="B89" s="3" t="s">
        <v>90</v>
      </c>
    </row>
    <row r="90" spans="1:2" x14ac:dyDescent="0.25">
      <c r="A90" s="1">
        <v>100260400</v>
      </c>
      <c r="B90" s="3" t="s">
        <v>91</v>
      </c>
    </row>
    <row r="91" spans="1:2" x14ac:dyDescent="0.25">
      <c r="A91" s="1">
        <v>100325000</v>
      </c>
      <c r="B91" s="3" t="s">
        <v>92</v>
      </c>
    </row>
    <row r="92" spans="1:2" x14ac:dyDescent="0.25">
      <c r="A92" s="1">
        <v>100328100</v>
      </c>
      <c r="B92" s="3" t="s">
        <v>93</v>
      </c>
    </row>
    <row r="93" spans="1:2" x14ac:dyDescent="0.25">
      <c r="A93" s="1">
        <v>100458000</v>
      </c>
      <c r="B93" s="3" t="s">
        <v>94</v>
      </c>
    </row>
    <row r="94" spans="1:2" x14ac:dyDescent="0.25">
      <c r="A94" s="1">
        <v>100602000</v>
      </c>
      <c r="B94" s="3" t="s">
        <v>95</v>
      </c>
    </row>
    <row r="95" spans="1:2" x14ac:dyDescent="0.25">
      <c r="A95" s="1">
        <v>933739000</v>
      </c>
      <c r="B95" s="3" t="s">
        <v>96</v>
      </c>
    </row>
    <row r="96" spans="1:2" x14ac:dyDescent="0.25">
      <c r="A96" s="1">
        <v>933880000</v>
      </c>
      <c r="B96" s="3" t="s">
        <v>97</v>
      </c>
    </row>
    <row r="97" spans="1:2" x14ac:dyDescent="0.25">
      <c r="A97" s="1">
        <v>934309000</v>
      </c>
      <c r="B97" s="3" t="s">
        <v>98</v>
      </c>
    </row>
    <row r="98" spans="1:2" x14ac:dyDescent="0.25">
      <c r="A98" s="1">
        <v>934310000</v>
      </c>
      <c r="B98" s="3" t="s">
        <v>99</v>
      </c>
    </row>
    <row r="99" spans="1:2" x14ac:dyDescent="0.25">
      <c r="A99" s="1">
        <v>935287000</v>
      </c>
      <c r="B99" s="3" t="s">
        <v>100</v>
      </c>
    </row>
    <row r="100" spans="1:2" x14ac:dyDescent="0.25">
      <c r="A100" s="1">
        <v>935846000</v>
      </c>
      <c r="B100" s="3" t="s">
        <v>101</v>
      </c>
    </row>
    <row r="101" spans="1:2" x14ac:dyDescent="0.25">
      <c r="A101" s="1">
        <v>940724000</v>
      </c>
      <c r="B101" s="3" t="s">
        <v>102</v>
      </c>
    </row>
    <row r="102" spans="1:2" x14ac:dyDescent="0.25">
      <c r="A102" s="1">
        <v>969196000</v>
      </c>
      <c r="B102" s="3" t="s">
        <v>103</v>
      </c>
    </row>
    <row r="103" spans="1:2" x14ac:dyDescent="0.25">
      <c r="A103" s="1">
        <v>970677000</v>
      </c>
      <c r="B103" s="3" t="s">
        <v>104</v>
      </c>
    </row>
    <row r="104" spans="1:2" x14ac:dyDescent="0.25">
      <c r="A104" s="1">
        <v>970692000</v>
      </c>
      <c r="B104" s="4" t="s">
        <v>105</v>
      </c>
    </row>
    <row r="105" spans="1:2" x14ac:dyDescent="0.25">
      <c r="A105" s="1">
        <v>970693000</v>
      </c>
      <c r="B105" s="4" t="s">
        <v>106</v>
      </c>
    </row>
    <row r="106" spans="1:2" x14ac:dyDescent="0.25">
      <c r="A106" s="1">
        <v>970696000</v>
      </c>
      <c r="B106" s="4" t="s">
        <v>107</v>
      </c>
    </row>
    <row r="107" spans="1:2" x14ac:dyDescent="0.25">
      <c r="A107" s="1">
        <v>100169200</v>
      </c>
      <c r="B107" s="4" t="s">
        <v>108</v>
      </c>
    </row>
    <row r="108" spans="1:2" x14ac:dyDescent="0.25">
      <c r="A108" s="1">
        <v>100196400</v>
      </c>
      <c r="B108" s="4" t="s">
        <v>109</v>
      </c>
    </row>
    <row r="109" spans="1:2" x14ac:dyDescent="0.25">
      <c r="A109" s="1">
        <v>110021500</v>
      </c>
      <c r="B109" s="4" t="s">
        <v>110</v>
      </c>
    </row>
    <row r="110" spans="1:2" x14ac:dyDescent="0.25">
      <c r="A110" s="1">
        <v>110064500</v>
      </c>
      <c r="B110" s="4" t="s">
        <v>111</v>
      </c>
    </row>
    <row r="111" spans="1:2" x14ac:dyDescent="0.25">
      <c r="A111" s="1">
        <v>100328000</v>
      </c>
      <c r="B111" s="4" t="s">
        <v>112</v>
      </c>
    </row>
    <row r="112" spans="1:2" x14ac:dyDescent="0.25">
      <c r="A112" s="1">
        <v>926080000</v>
      </c>
      <c r="B112" s="3" t="s">
        <v>113</v>
      </c>
    </row>
    <row r="113" spans="1:2" x14ac:dyDescent="0.25">
      <c r="A113" s="1">
        <v>928446000</v>
      </c>
      <c r="B113" s="3" t="s">
        <v>114</v>
      </c>
    </row>
    <row r="114" spans="1:2" x14ac:dyDescent="0.25">
      <c r="A114" s="1">
        <v>932016000</v>
      </c>
      <c r="B114" s="3" t="s">
        <v>115</v>
      </c>
    </row>
    <row r="115" spans="1:2" x14ac:dyDescent="0.25">
      <c r="A115" s="1">
        <v>100325600</v>
      </c>
      <c r="B115" s="3" t="s">
        <v>116</v>
      </c>
    </row>
    <row r="116" spans="1:2" x14ac:dyDescent="0.25">
      <c r="A116" s="1">
        <v>100325700</v>
      </c>
      <c r="B116" s="3" t="s">
        <v>117</v>
      </c>
    </row>
    <row r="117" spans="1:2" x14ac:dyDescent="0.25">
      <c r="A117" s="1">
        <v>110004700</v>
      </c>
      <c r="B117" s="3" t="s">
        <v>118</v>
      </c>
    </row>
    <row r="118" spans="1:2" x14ac:dyDescent="0.25">
      <c r="A118" s="1">
        <v>923518000</v>
      </c>
      <c r="B118" s="3" t="s">
        <v>119</v>
      </c>
    </row>
    <row r="119" spans="1:2" x14ac:dyDescent="0.25">
      <c r="A119" s="1">
        <v>925198000</v>
      </c>
      <c r="B119" s="3" t="s">
        <v>120</v>
      </c>
    </row>
    <row r="120" spans="1:2" x14ac:dyDescent="0.25">
      <c r="A120" s="1">
        <v>936539000</v>
      </c>
      <c r="B120" s="3" t="s">
        <v>121</v>
      </c>
    </row>
    <row r="121" spans="1:2" x14ac:dyDescent="0.25">
      <c r="A121" s="1">
        <v>936101000</v>
      </c>
      <c r="B121" s="3" t="s">
        <v>122</v>
      </c>
    </row>
    <row r="122" spans="1:2" x14ac:dyDescent="0.25">
      <c r="A122" s="1">
        <v>936562000</v>
      </c>
      <c r="B122" s="3" t="s">
        <v>123</v>
      </c>
    </row>
    <row r="123" spans="1:2" x14ac:dyDescent="0.25">
      <c r="A123" s="1">
        <v>100324800</v>
      </c>
      <c r="B123" s="3" t="s">
        <v>124</v>
      </c>
    </row>
    <row r="124" spans="1:2" x14ac:dyDescent="0.25">
      <c r="A124" s="1">
        <v>932883000</v>
      </c>
      <c r="B124" s="3" t="s">
        <v>125</v>
      </c>
    </row>
    <row r="125" spans="1:2" x14ac:dyDescent="0.25">
      <c r="A125" s="1">
        <v>932885000</v>
      </c>
      <c r="B125" s="3" t="s">
        <v>126</v>
      </c>
    </row>
    <row r="126" spans="1:2" x14ac:dyDescent="0.25">
      <c r="A126" s="1">
        <v>936010001</v>
      </c>
      <c r="B126" s="3" t="s">
        <v>127</v>
      </c>
    </row>
    <row r="127" spans="1:2" x14ac:dyDescent="0.25">
      <c r="A127" s="1">
        <v>937292000</v>
      </c>
      <c r="B127" s="3" t="s">
        <v>128</v>
      </c>
    </row>
    <row r="128" spans="1:2" x14ac:dyDescent="0.25">
      <c r="A128" s="1"/>
      <c r="B128" s="2"/>
    </row>
    <row r="129" spans="1:2" x14ac:dyDescent="0.25">
      <c r="A129" s="1"/>
      <c r="B129" s="2"/>
    </row>
    <row r="130" spans="1:2" x14ac:dyDescent="0.25">
      <c r="A130" s="1"/>
      <c r="B130" s="2"/>
    </row>
    <row r="131" spans="1:2" x14ac:dyDescent="0.25">
      <c r="A131" s="1"/>
      <c r="B131" s="2"/>
    </row>
    <row r="132" spans="1:2" x14ac:dyDescent="0.25">
      <c r="A132" s="1"/>
      <c r="B132" s="2"/>
    </row>
    <row r="133" spans="1:2" x14ac:dyDescent="0.25">
      <c r="A133" s="1"/>
      <c r="B133" s="2"/>
    </row>
    <row r="134" spans="1:2" x14ac:dyDescent="0.25">
      <c r="A134" s="1"/>
      <c r="B134" s="2"/>
    </row>
    <row r="135" spans="1:2" x14ac:dyDescent="0.25">
      <c r="A135" s="1"/>
      <c r="B135" s="2"/>
    </row>
    <row r="136" spans="1:2" x14ac:dyDescent="0.25">
      <c r="A136" s="1"/>
      <c r="B136" s="2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2"/>
    </row>
    <row r="140" spans="1:2" x14ac:dyDescent="0.25">
      <c r="A140" s="1"/>
      <c r="B140" s="2"/>
    </row>
    <row r="141" spans="1:2" x14ac:dyDescent="0.25">
      <c r="A141" s="1"/>
      <c r="B141" s="2"/>
    </row>
    <row r="142" spans="1:2" x14ac:dyDescent="0.25">
      <c r="A142" s="1"/>
      <c r="B142" s="2"/>
    </row>
    <row r="143" spans="1:2" x14ac:dyDescent="0.25">
      <c r="A143" s="1"/>
      <c r="B143" s="2"/>
    </row>
    <row r="144" spans="1:2" x14ac:dyDescent="0.25">
      <c r="A144" s="1"/>
      <c r="B144" s="2"/>
    </row>
    <row r="145" spans="1:2" x14ac:dyDescent="0.25">
      <c r="A145" s="1"/>
      <c r="B145" s="2"/>
    </row>
    <row r="146" spans="1:2" x14ac:dyDescent="0.25">
      <c r="A146" s="1"/>
      <c r="B146" s="2"/>
    </row>
    <row r="147" spans="1:2" x14ac:dyDescent="0.25">
      <c r="A147" s="1"/>
      <c r="B147" s="2"/>
    </row>
    <row r="148" spans="1:2" x14ac:dyDescent="0.25">
      <c r="A148" s="1"/>
      <c r="B148" s="2"/>
    </row>
    <row r="149" spans="1:2" x14ac:dyDescent="0.25">
      <c r="A149" s="1"/>
      <c r="B149" s="2"/>
    </row>
    <row r="150" spans="1:2" x14ac:dyDescent="0.25">
      <c r="A150" s="1"/>
      <c r="B150" s="2"/>
    </row>
    <row r="151" spans="1:2" x14ac:dyDescent="0.25">
      <c r="A151" s="1"/>
      <c r="B151" s="2"/>
    </row>
    <row r="152" spans="1:2" x14ac:dyDescent="0.25">
      <c r="A152" s="1"/>
      <c r="B152" s="2"/>
    </row>
    <row r="153" spans="1:2" x14ac:dyDescent="0.25">
      <c r="A153" s="1"/>
      <c r="B153" s="2"/>
    </row>
    <row r="154" spans="1:2" x14ac:dyDescent="0.25">
      <c r="A154" s="1"/>
      <c r="B154" s="2"/>
    </row>
    <row r="155" spans="1:2" x14ac:dyDescent="0.25">
      <c r="A155" s="1"/>
      <c r="B155" s="2"/>
    </row>
    <row r="156" spans="1:2" x14ac:dyDescent="0.25">
      <c r="A156" s="1"/>
      <c r="B156" s="2"/>
    </row>
    <row r="157" spans="1:2" x14ac:dyDescent="0.25">
      <c r="A157" s="1"/>
      <c r="B157" s="2"/>
    </row>
    <row r="158" spans="1:2" x14ac:dyDescent="0.25">
      <c r="A158" s="1"/>
      <c r="B158" s="2"/>
    </row>
    <row r="159" spans="1:2" x14ac:dyDescent="0.25">
      <c r="A159" s="1"/>
      <c r="B159" s="2"/>
    </row>
    <row r="160" spans="1:2" x14ac:dyDescent="0.25">
      <c r="A160" s="1"/>
      <c r="B160" s="2"/>
    </row>
    <row r="161" spans="1:2" x14ac:dyDescent="0.25">
      <c r="A161" s="1"/>
      <c r="B161" s="2"/>
    </row>
    <row r="162" spans="1:2" x14ac:dyDescent="0.25">
      <c r="A162" s="1"/>
      <c r="B162" s="2"/>
    </row>
    <row r="163" spans="1:2" x14ac:dyDescent="0.25">
      <c r="A163" s="1"/>
      <c r="B163" s="2"/>
    </row>
    <row r="164" spans="1:2" x14ac:dyDescent="0.25">
      <c r="A164" s="1"/>
      <c r="B164" s="2"/>
    </row>
    <row r="165" spans="1:2" x14ac:dyDescent="0.25">
      <c r="A165" s="1"/>
      <c r="B165" s="2"/>
    </row>
    <row r="166" spans="1:2" x14ac:dyDescent="0.25">
      <c r="A166" s="1"/>
      <c r="B166" s="2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2"/>
    </row>
    <row r="176" spans="1:2" x14ac:dyDescent="0.25">
      <c r="A176" s="1"/>
      <c r="B176" s="2"/>
    </row>
    <row r="177" spans="1:2" x14ac:dyDescent="0.25">
      <c r="A177" s="1"/>
      <c r="B177" s="2"/>
    </row>
    <row r="178" spans="1:2" x14ac:dyDescent="0.25">
      <c r="A178" s="1"/>
      <c r="B178" s="2"/>
    </row>
    <row r="179" spans="1:2" x14ac:dyDescent="0.25">
      <c r="A179" s="1"/>
      <c r="B179" s="2"/>
    </row>
    <row r="180" spans="1:2" x14ac:dyDescent="0.25">
      <c r="A180" s="1"/>
      <c r="B180" s="2"/>
    </row>
    <row r="181" spans="1:2" x14ac:dyDescent="0.25">
      <c r="A181" s="1"/>
      <c r="B181" s="2"/>
    </row>
    <row r="182" spans="1:2" x14ac:dyDescent="0.25">
      <c r="A182" s="1"/>
      <c r="B182" s="2"/>
    </row>
    <row r="183" spans="1:2" x14ac:dyDescent="0.25">
      <c r="A183" s="1"/>
      <c r="B183" s="2"/>
    </row>
    <row r="184" spans="1:2" x14ac:dyDescent="0.25">
      <c r="A184" s="1"/>
      <c r="B184" s="2"/>
    </row>
    <row r="185" spans="1:2" x14ac:dyDescent="0.25">
      <c r="A185" s="1"/>
      <c r="B185" s="2"/>
    </row>
    <row r="186" spans="1:2" x14ac:dyDescent="0.25">
      <c r="A186" s="1"/>
      <c r="B186" s="2"/>
    </row>
    <row r="187" spans="1:2" x14ac:dyDescent="0.25">
      <c r="A187" s="1"/>
      <c r="B187" s="2"/>
    </row>
    <row r="188" spans="1:2" x14ac:dyDescent="0.25">
      <c r="A188" s="1"/>
      <c r="B188" s="2"/>
    </row>
    <row r="189" spans="1:2" x14ac:dyDescent="0.25">
      <c r="A189" s="1"/>
      <c r="B189" s="2"/>
    </row>
    <row r="190" spans="1:2" x14ac:dyDescent="0.25">
      <c r="A190" s="1"/>
      <c r="B190" s="2"/>
    </row>
    <row r="191" spans="1:2" x14ac:dyDescent="0.25">
      <c r="A191" s="1"/>
      <c r="B191" s="2"/>
    </row>
    <row r="192" spans="1:2" x14ac:dyDescent="0.25">
      <c r="A192" s="1"/>
      <c r="B192" s="2"/>
    </row>
    <row r="193" spans="1:2" x14ac:dyDescent="0.25">
      <c r="A193" s="1"/>
      <c r="B193" s="2"/>
    </row>
    <row r="194" spans="1:2" x14ac:dyDescent="0.25">
      <c r="A194" s="1"/>
      <c r="B194" s="2"/>
    </row>
    <row r="195" spans="1:2" x14ac:dyDescent="0.25">
      <c r="A195" s="1"/>
      <c r="B195" s="2"/>
    </row>
    <row r="196" spans="1:2" x14ac:dyDescent="0.25">
      <c r="A196" s="1"/>
      <c r="B196" s="2"/>
    </row>
    <row r="197" spans="1:2" x14ac:dyDescent="0.25">
      <c r="A197" s="1"/>
      <c r="B197" s="2"/>
    </row>
    <row r="198" spans="1:2" x14ac:dyDescent="0.25">
      <c r="A198" s="1"/>
      <c r="B198" s="2"/>
    </row>
    <row r="199" spans="1:2" x14ac:dyDescent="0.25">
      <c r="A199" s="1"/>
      <c r="B199" s="2"/>
    </row>
    <row r="200" spans="1:2" x14ac:dyDescent="0.25">
      <c r="A200" s="1"/>
      <c r="B200" s="2"/>
    </row>
    <row r="201" spans="1:2" x14ac:dyDescent="0.25">
      <c r="A201" s="1"/>
      <c r="B201" s="2"/>
    </row>
    <row r="202" spans="1:2" x14ac:dyDescent="0.25">
      <c r="A202" s="1"/>
      <c r="B202" s="2"/>
    </row>
    <row r="203" spans="1:2" x14ac:dyDescent="0.25">
      <c r="A203" s="1"/>
      <c r="B203" s="2"/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1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1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2"/>
    </row>
    <row r="403" spans="1:2" x14ac:dyDescent="0.25">
      <c r="A403" s="1"/>
      <c r="B403" s="2"/>
    </row>
    <row r="404" spans="1:2" x14ac:dyDescent="0.25">
      <c r="A404" s="1"/>
      <c r="B404" s="2"/>
    </row>
    <row r="405" spans="1:2" x14ac:dyDescent="0.25">
      <c r="A405" s="1"/>
      <c r="B405" s="2"/>
    </row>
    <row r="406" spans="1:2" x14ac:dyDescent="0.25">
      <c r="A406" s="1"/>
      <c r="B406" s="2"/>
    </row>
    <row r="407" spans="1:2" x14ac:dyDescent="0.25">
      <c r="A407" s="1"/>
      <c r="B407" s="2"/>
    </row>
    <row r="408" spans="1:2" x14ac:dyDescent="0.25">
      <c r="A408" s="1"/>
      <c r="B408" s="2"/>
    </row>
    <row r="409" spans="1:2" x14ac:dyDescent="0.25">
      <c r="A409" s="1"/>
      <c r="B409" s="2"/>
    </row>
    <row r="410" spans="1:2" x14ac:dyDescent="0.25">
      <c r="A410" s="1"/>
      <c r="B410" s="2"/>
    </row>
    <row r="411" spans="1:2" x14ac:dyDescent="0.25">
      <c r="A411" s="1"/>
      <c r="B411" s="2"/>
    </row>
    <row r="412" spans="1:2" x14ac:dyDescent="0.25">
      <c r="A412" s="1"/>
      <c r="B412" s="2"/>
    </row>
    <row r="413" spans="1:2" x14ac:dyDescent="0.25">
      <c r="A413" s="1"/>
      <c r="B413" s="2"/>
    </row>
    <row r="414" spans="1:2" x14ac:dyDescent="0.25">
      <c r="A414" s="1"/>
      <c r="B414" s="2"/>
    </row>
    <row r="415" spans="1:2" x14ac:dyDescent="0.25">
      <c r="A415" s="1"/>
      <c r="B415" s="2"/>
    </row>
    <row r="416" spans="1:2" x14ac:dyDescent="0.25">
      <c r="A416" s="1"/>
      <c r="B416" s="2"/>
    </row>
    <row r="417" spans="1:2" x14ac:dyDescent="0.25">
      <c r="A417" s="1"/>
      <c r="B417" s="2"/>
    </row>
    <row r="418" spans="1:2" x14ac:dyDescent="0.25">
      <c r="A418" s="1"/>
      <c r="B418" s="2"/>
    </row>
    <row r="419" spans="1:2" x14ac:dyDescent="0.25">
      <c r="A419" s="1"/>
      <c r="B419" s="2"/>
    </row>
    <row r="420" spans="1:2" x14ac:dyDescent="0.25">
      <c r="A420" s="1"/>
      <c r="B420" s="2"/>
    </row>
    <row r="421" spans="1:2" x14ac:dyDescent="0.25">
      <c r="A421" s="1"/>
      <c r="B421" s="2"/>
    </row>
    <row r="422" spans="1:2" x14ac:dyDescent="0.25">
      <c r="A422" s="1"/>
      <c r="B422" s="2"/>
    </row>
    <row r="423" spans="1:2" x14ac:dyDescent="0.25">
      <c r="A423" s="1"/>
      <c r="B423" s="2"/>
    </row>
    <row r="424" spans="1:2" x14ac:dyDescent="0.25">
      <c r="A424" s="1"/>
      <c r="B424" s="2"/>
    </row>
    <row r="425" spans="1:2" x14ac:dyDescent="0.25">
      <c r="A425" s="1"/>
      <c r="B425" s="2"/>
    </row>
    <row r="426" spans="1:2" x14ac:dyDescent="0.25">
      <c r="A426" s="1"/>
      <c r="B426" s="2"/>
    </row>
    <row r="427" spans="1:2" x14ac:dyDescent="0.25">
      <c r="A427" s="1"/>
      <c r="B427" s="2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2"/>
    </row>
    <row r="437" spans="1:2" x14ac:dyDescent="0.25">
      <c r="A437" s="1"/>
      <c r="B437" s="2"/>
    </row>
    <row r="438" spans="1:2" x14ac:dyDescent="0.25">
      <c r="A438" s="1"/>
      <c r="B438" s="2"/>
    </row>
    <row r="439" spans="1:2" x14ac:dyDescent="0.25">
      <c r="A439" s="1"/>
      <c r="B439" s="2"/>
    </row>
    <row r="440" spans="1:2" x14ac:dyDescent="0.25">
      <c r="A440" s="1"/>
      <c r="B440" s="2"/>
    </row>
    <row r="441" spans="1:2" x14ac:dyDescent="0.25">
      <c r="A441" s="1"/>
      <c r="B441" s="2"/>
    </row>
    <row r="442" spans="1:2" x14ac:dyDescent="0.25">
      <c r="A442" s="1"/>
      <c r="B442" s="2"/>
    </row>
    <row r="443" spans="1:2" x14ac:dyDescent="0.25">
      <c r="A443" s="1"/>
      <c r="B443" s="2"/>
    </row>
    <row r="444" spans="1:2" x14ac:dyDescent="0.25">
      <c r="A444" s="1"/>
      <c r="B444" s="2"/>
    </row>
    <row r="445" spans="1:2" x14ac:dyDescent="0.25">
      <c r="A445" s="1"/>
      <c r="B445" s="2"/>
    </row>
    <row r="446" spans="1:2" x14ac:dyDescent="0.25">
      <c r="A446" s="1"/>
      <c r="B446" s="2"/>
    </row>
    <row r="447" spans="1:2" x14ac:dyDescent="0.25">
      <c r="A447" s="1"/>
      <c r="B447" s="2"/>
    </row>
    <row r="448" spans="1:2" x14ac:dyDescent="0.25">
      <c r="A448" s="1"/>
      <c r="B448" s="2"/>
    </row>
    <row r="449" spans="1:2" x14ac:dyDescent="0.25">
      <c r="A449" s="1"/>
      <c r="B449" s="1"/>
    </row>
    <row r="450" spans="1:2" x14ac:dyDescent="0.25">
      <c r="A450" s="1"/>
      <c r="B450" s="2"/>
    </row>
    <row r="451" spans="1:2" x14ac:dyDescent="0.25">
      <c r="A451" s="1"/>
      <c r="B451" s="2"/>
    </row>
    <row r="452" spans="1:2" x14ac:dyDescent="0.25">
      <c r="A452" s="1"/>
      <c r="B452" s="2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  <c r="B455" s="2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  <c r="B458" s="2"/>
    </row>
    <row r="459" spans="1:2" x14ac:dyDescent="0.25">
      <c r="A459" s="1"/>
      <c r="B459" s="2"/>
    </row>
    <row r="460" spans="1:2" x14ac:dyDescent="0.25">
      <c r="A460" s="1"/>
      <c r="B460" s="2"/>
    </row>
    <row r="461" spans="1:2" x14ac:dyDescent="0.25">
      <c r="A461" s="1"/>
      <c r="B461" s="2"/>
    </row>
    <row r="462" spans="1:2" x14ac:dyDescent="0.25">
      <c r="A462" s="1"/>
      <c r="B462" s="2"/>
    </row>
    <row r="463" spans="1:2" x14ac:dyDescent="0.25">
      <c r="A463" s="1"/>
      <c r="B463" s="2"/>
    </row>
    <row r="464" spans="1:2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2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2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  <row r="493" spans="1:2" x14ac:dyDescent="0.25">
      <c r="A493" s="1"/>
      <c r="B493" s="2"/>
    </row>
    <row r="494" spans="1:2" x14ac:dyDescent="0.25">
      <c r="A494" s="1"/>
      <c r="B494" s="2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098B-70DF-4BFD-A931-5953B77A9149}">
  <dimension ref="A1:AM3362"/>
  <sheetViews>
    <sheetView tabSelected="1" zoomScale="60" zoomScaleNormal="60" workbookViewId="0">
      <selection activeCell="N11" sqref="N11"/>
    </sheetView>
  </sheetViews>
  <sheetFormatPr baseColWidth="10" defaultColWidth="9.140625" defaultRowHeight="19.5" x14ac:dyDescent="0.25"/>
  <cols>
    <col min="1" max="1" width="8.5703125" style="15" customWidth="1"/>
    <col min="2" max="2" width="26" style="15" customWidth="1"/>
    <col min="3" max="3" width="16.42578125" style="72" bestFit="1" customWidth="1"/>
    <col min="4" max="4" width="17.28515625" style="16" bestFit="1" customWidth="1"/>
    <col min="5" max="5" width="16.28515625" style="15" bestFit="1" customWidth="1"/>
    <col min="6" max="6" width="21.5703125" style="15" customWidth="1"/>
    <col min="7" max="7" width="14.42578125" style="74" bestFit="1" customWidth="1"/>
    <col min="8" max="9" width="13.28515625" style="16" customWidth="1"/>
    <col min="10" max="10" width="10.85546875" style="16" customWidth="1"/>
    <col min="11" max="11" width="14.140625" style="16" customWidth="1"/>
    <col min="12" max="12" width="25.7109375" style="76" bestFit="1" customWidth="1"/>
    <col min="13" max="13" width="25.7109375" style="16" customWidth="1"/>
    <col min="14" max="14" width="13.28515625" style="16" customWidth="1"/>
    <col min="15" max="15" width="48.7109375" style="15" bestFit="1" customWidth="1"/>
    <col min="16" max="16" width="14.5703125" style="16" customWidth="1"/>
    <col min="17" max="17" width="11.7109375" style="16" customWidth="1"/>
    <col min="18" max="18" width="10.5703125" style="15" customWidth="1"/>
    <col min="19" max="19" width="12.85546875" style="16" customWidth="1"/>
    <col min="20" max="20" width="13.28515625" style="16" customWidth="1"/>
    <col min="21" max="21" width="22.5703125" style="16" customWidth="1"/>
    <col min="22" max="22" width="23.85546875" style="26" customWidth="1"/>
    <col min="23" max="23" width="18.28515625" style="27" bestFit="1" customWidth="1"/>
    <col min="24" max="24" width="19.42578125" style="16" bestFit="1" customWidth="1"/>
    <col min="25" max="25" width="52.5703125" style="16" bestFit="1" customWidth="1"/>
    <col min="26" max="26" width="13" style="15" bestFit="1" customWidth="1"/>
    <col min="27" max="27" width="15.28515625" style="16" bestFit="1" customWidth="1"/>
    <col min="28" max="28" width="51.42578125" style="16" bestFit="1" customWidth="1"/>
    <col min="29" max="29" width="9.140625" style="15"/>
    <col min="30" max="30" width="9.140625" style="16"/>
    <col min="31" max="31" width="9.140625" style="15"/>
    <col min="32" max="16384" width="9.140625" style="16"/>
  </cols>
  <sheetData>
    <row r="1" spans="1:33" ht="48.2" customHeight="1" x14ac:dyDescent="0.25">
      <c r="A1" s="6" t="s">
        <v>129</v>
      </c>
      <c r="B1" s="7" t="s">
        <v>130</v>
      </c>
      <c r="C1" s="8" t="s">
        <v>131</v>
      </c>
      <c r="D1" s="9" t="s">
        <v>132</v>
      </c>
      <c r="E1" s="6" t="s">
        <v>133</v>
      </c>
      <c r="F1" s="6" t="s">
        <v>134</v>
      </c>
      <c r="G1" s="9" t="s">
        <v>135</v>
      </c>
      <c r="H1" s="9" t="s">
        <v>136</v>
      </c>
      <c r="I1" s="10" t="s">
        <v>137</v>
      </c>
      <c r="J1" s="9" t="s">
        <v>138</v>
      </c>
      <c r="K1" s="9" t="s">
        <v>139</v>
      </c>
      <c r="L1" s="10" t="s">
        <v>140</v>
      </c>
      <c r="M1" s="10" t="s">
        <v>141</v>
      </c>
      <c r="N1" s="9" t="s">
        <v>142</v>
      </c>
      <c r="O1" s="7" t="s">
        <v>143</v>
      </c>
      <c r="P1" s="9" t="s">
        <v>144</v>
      </c>
      <c r="Q1" s="9" t="s">
        <v>145</v>
      </c>
      <c r="R1" s="7" t="s">
        <v>146</v>
      </c>
      <c r="S1" s="9" t="s">
        <v>147</v>
      </c>
      <c r="T1" s="9" t="s">
        <v>148</v>
      </c>
      <c r="U1" s="9" t="s">
        <v>149</v>
      </c>
      <c r="V1" s="11" t="s">
        <v>150</v>
      </c>
      <c r="W1" s="12" t="s">
        <v>151</v>
      </c>
      <c r="X1" s="13"/>
      <c r="Y1" s="14" t="s">
        <v>152</v>
      </c>
    </row>
    <row r="2" spans="1:33" ht="48.2" customHeight="1" x14ac:dyDescent="0.25">
      <c r="A2" s="17" t="str">
        <f>VLOOKUP(C2,[1]Werke!$A$1:$C$168,3,0)</f>
        <v>K3</v>
      </c>
      <c r="B2" s="17">
        <f>VLOOKUP(C2,[1]Werke!$A$1:$C$168,2,0)</f>
        <v>501</v>
      </c>
      <c r="C2" s="18">
        <v>15501</v>
      </c>
      <c r="D2" s="17">
        <f>VLOOKUP(C2,[1]Maliteslimalan!$A$1:$B$210,2,0)</f>
        <v>8000012800</v>
      </c>
      <c r="E2" s="19">
        <v>6</v>
      </c>
      <c r="F2" s="20" t="str">
        <f t="shared" ref="F2:F22" si="0">VLOOKUP(G2,$U$1:$V$1730,2,0)</f>
        <v>N   910 968 01</v>
      </c>
      <c r="G2" s="21">
        <v>100217000</v>
      </c>
      <c r="H2" s="17">
        <f t="shared" ref="H2:H22" si="1">VLOOKUP(G2,Z$2:AA$1905,2,FALSE)</f>
        <v>7.0099999999999997E-3</v>
      </c>
      <c r="I2" s="20"/>
      <c r="J2" s="17" t="str">
        <f>VLOOKUP(G2,W$2:X$1905,2,FALSE)</f>
        <v>2000</v>
      </c>
      <c r="K2" s="17">
        <f t="shared" ref="K2:K22" si="2">I2/J2</f>
        <v>0</v>
      </c>
      <c r="L2" s="22">
        <v>10</v>
      </c>
      <c r="M2" s="22">
        <v>30</v>
      </c>
      <c r="N2" s="22">
        <v>111444</v>
      </c>
      <c r="O2" s="22" t="str">
        <f t="shared" ref="O2:O22" si="3">VLOOKUP(N2,$AL$1285:$AM$1310,2,FALSE)</f>
        <v>001006</v>
      </c>
      <c r="P2" s="22">
        <f t="shared" ref="P2:P22" si="4">VLOOKUP(N2,AC$2:AD$1905,2,FALSE)</f>
        <v>34</v>
      </c>
      <c r="Q2" s="22"/>
      <c r="R2" s="23" t="s">
        <v>153</v>
      </c>
      <c r="S2" s="22">
        <f t="shared" ref="S2:S22" si="5">VLOOKUP(R2,AC$2:AD$1905,2,FALSE)</f>
        <v>0.56999999999999995</v>
      </c>
      <c r="T2" s="24">
        <f t="shared" ref="T2:T22" si="6">(H2*I2)+P2*Q2+S2*K2</f>
        <v>0</v>
      </c>
      <c r="U2" s="25">
        <f t="shared" ref="U2:U22" si="7">IF(TRIM(N2&amp;"")="111444",
    IF(ROUNDUP(MAX(0,K2-(MAX(1,Q2)-1)*10)/10,0)=1,3,2),
    IF(TRIM(N2&amp;"")="VWPAL",
        IF(TRIM(R2&amp;"")="004147",1,2),
        ""
    )
)</f>
        <v>2</v>
      </c>
      <c r="V2" s="26" t="str">
        <f t="shared" ref="V2:V22" si="8">IF(OR(TRIM(N2&amp;"")="111444",TRIM(N2&amp;"")="VWPAL"),
    IF(K2&lt;=0,"",
        IF(
            MIN(3,ROUNDUP(MAX(0,K2-(MAX(1,Q2)-1)*IF(TRIM(N2&amp;"")="111444",10,20))/IF(TRIM(N2&amp;"")="111444",10,20),0))=1,
            300,
            IF(
                MIN(3,ROUNDUP(MAX(0,K2-(MAX(1,Q2)-1)*IF(TRIM(N2&amp;"")="111444",10,20))/IF(TRIM(N2&amp;"")="111444",10,20),0))=2,
                450,
                600
            )
        )
    ),
    ""
)</f>
        <v/>
      </c>
    </row>
    <row r="3" spans="1:33" ht="48.2" customHeight="1" x14ac:dyDescent="0.3">
      <c r="A3" s="17">
        <f>VLOOKUP(C3,[1]Werke!$A$1:$C$168,3,0)</f>
        <v>21</v>
      </c>
      <c r="B3" s="17" t="str">
        <f>VLOOKUP(C3,[1]Werke!$A$1:$C$168,2,0)</f>
        <v>GZD</v>
      </c>
      <c r="C3" s="18" t="s">
        <v>154</v>
      </c>
      <c r="D3" s="17" t="str">
        <f>VLOOKUP(C3,[1]Maliteslimalan!$A$1:$B$210,2,0)</f>
        <v>8000012572</v>
      </c>
      <c r="E3" s="19" t="str">
        <f>VLOOKUP(C3,[1]Bestellnr.!$A$1:$B$174,2,0)</f>
        <v>000006</v>
      </c>
      <c r="F3" s="20" t="str">
        <f t="shared" si="0"/>
        <v>N   910 968 01</v>
      </c>
      <c r="G3" s="21">
        <v>100217000</v>
      </c>
      <c r="H3" s="17">
        <f t="shared" si="1"/>
        <v>7.0099999999999997E-3</v>
      </c>
      <c r="I3" s="20"/>
      <c r="J3" s="17" t="str">
        <f>VLOOKUP(G3,W$2:X$1905,2,FALSE)</f>
        <v>2000</v>
      </c>
      <c r="K3" s="17">
        <f t="shared" si="2"/>
        <v>0</v>
      </c>
      <c r="L3" s="22">
        <v>20</v>
      </c>
      <c r="M3" s="22">
        <v>20</v>
      </c>
      <c r="N3" s="22" t="s">
        <v>155</v>
      </c>
      <c r="O3" s="22" t="str">
        <f t="shared" si="3"/>
        <v>001210</v>
      </c>
      <c r="P3" s="22">
        <f t="shared" si="4"/>
        <v>55</v>
      </c>
      <c r="Q3" s="22"/>
      <c r="R3" s="23" t="s">
        <v>153</v>
      </c>
      <c r="S3" s="22">
        <f t="shared" si="5"/>
        <v>0.56999999999999995</v>
      </c>
      <c r="T3" s="24">
        <f t="shared" si="6"/>
        <v>0</v>
      </c>
      <c r="U3" s="25">
        <f t="shared" si="7"/>
        <v>2</v>
      </c>
      <c r="V3" s="26" t="str">
        <f t="shared" si="8"/>
        <v/>
      </c>
      <c r="X3" s="28" t="s">
        <v>156</v>
      </c>
      <c r="Y3" s="28" t="s">
        <v>157</v>
      </c>
      <c r="Z3" s="28" t="s">
        <v>158</v>
      </c>
      <c r="AA3" s="28" t="s">
        <v>159</v>
      </c>
      <c r="AB3" s="28" t="s">
        <v>160</v>
      </c>
      <c r="AC3" s="28" t="s">
        <v>161</v>
      </c>
      <c r="AD3" s="28" t="s">
        <v>162</v>
      </c>
      <c r="AE3" s="29"/>
      <c r="AF3" s="29"/>
      <c r="AG3" s="29"/>
    </row>
    <row r="4" spans="1:33" ht="48.2" customHeight="1" x14ac:dyDescent="0.3">
      <c r="A4" s="17">
        <f>VLOOKUP(C4,[1]Werke!$A$1:$C$168,3,0)</f>
        <v>22</v>
      </c>
      <c r="B4" s="17" t="str">
        <f>VLOOKUP(C4,[1]Werke!$A$1:$C$168,2,0)</f>
        <v>13P</v>
      </c>
      <c r="C4" s="18" t="s">
        <v>163</v>
      </c>
      <c r="D4" s="17" t="str">
        <f>VLOOKUP(C4,[1]Maliteslimalan!$A$1:$B$210,2,0)</f>
        <v>8000013344</v>
      </c>
      <c r="E4" s="19" t="str">
        <f>VLOOKUP(C4,[1]Bestellnr.!$A$1:$B$174,2,0)</f>
        <v>000006</v>
      </c>
      <c r="F4" s="20" t="str">
        <f t="shared" si="0"/>
        <v>N   910 968 01</v>
      </c>
      <c r="G4" s="21">
        <v>100217000</v>
      </c>
      <c r="H4" s="17">
        <f t="shared" si="1"/>
        <v>7.0099999999999997E-3</v>
      </c>
      <c r="I4" s="20"/>
      <c r="J4" s="17">
        <v>2000</v>
      </c>
      <c r="K4" s="17">
        <f t="shared" si="2"/>
        <v>0</v>
      </c>
      <c r="L4" s="22">
        <v>10</v>
      </c>
      <c r="M4" s="22">
        <v>20</v>
      </c>
      <c r="N4" s="22">
        <v>111444</v>
      </c>
      <c r="O4" s="22" t="str">
        <f t="shared" si="3"/>
        <v>001006</v>
      </c>
      <c r="P4" s="22">
        <f t="shared" si="4"/>
        <v>34</v>
      </c>
      <c r="Q4" s="22"/>
      <c r="R4" s="23" t="s">
        <v>153</v>
      </c>
      <c r="S4" s="22">
        <f t="shared" si="5"/>
        <v>0.56999999999999995</v>
      </c>
      <c r="T4" s="24">
        <f t="shared" si="6"/>
        <v>0</v>
      </c>
      <c r="U4" s="25">
        <f t="shared" si="7"/>
        <v>2</v>
      </c>
      <c r="V4" s="26" t="str">
        <f t="shared" si="8"/>
        <v/>
      </c>
      <c r="X4" s="29">
        <v>8000012561</v>
      </c>
      <c r="Y4" s="29">
        <v>932226000</v>
      </c>
      <c r="Z4" s="30" t="s">
        <v>164</v>
      </c>
      <c r="AA4" s="29" t="s">
        <v>165</v>
      </c>
      <c r="AB4" s="29" t="s">
        <v>165</v>
      </c>
      <c r="AC4" s="29">
        <v>0</v>
      </c>
      <c r="AD4" s="29">
        <v>0</v>
      </c>
      <c r="AE4" s="29"/>
      <c r="AF4" s="29"/>
      <c r="AG4" s="29"/>
    </row>
    <row r="5" spans="1:33" ht="48.2" customHeight="1" x14ac:dyDescent="0.3">
      <c r="A5" s="17">
        <v>17</v>
      </c>
      <c r="B5" s="17" t="str">
        <f>VLOOKUP(C5,[1]Werke!$A$1:$C$168,2,0)</f>
        <v>H2B</v>
      </c>
      <c r="C5" s="20" t="s">
        <v>166</v>
      </c>
      <c r="D5" s="17" t="str">
        <f>VLOOKUP(C5,[1]Maliteslimalan!$A$1:$B$210,2,0)</f>
        <v>8000012626</v>
      </c>
      <c r="E5" s="19" t="str">
        <f>VLOOKUP(C5,[1]Bestellnr.!$A$1:$B$174,2,0)</f>
        <v>000006</v>
      </c>
      <c r="F5" s="20" t="str">
        <f t="shared" si="0"/>
        <v>N   910 968 01</v>
      </c>
      <c r="G5" s="21">
        <v>100217000</v>
      </c>
      <c r="H5" s="17">
        <f t="shared" si="1"/>
        <v>7.0099999999999997E-3</v>
      </c>
      <c r="I5" s="20"/>
      <c r="J5" s="17" t="str">
        <f t="shared" ref="J5:J10" si="9">VLOOKUP(G5,W$2:X$1905,2,FALSE)</f>
        <v>2000</v>
      </c>
      <c r="K5" s="17">
        <f t="shared" si="2"/>
        <v>0</v>
      </c>
      <c r="L5" s="22">
        <v>10</v>
      </c>
      <c r="M5" s="22">
        <v>30</v>
      </c>
      <c r="N5" s="22">
        <v>111444</v>
      </c>
      <c r="O5" s="22" t="str">
        <f t="shared" si="3"/>
        <v>001006</v>
      </c>
      <c r="P5" s="22">
        <f t="shared" si="4"/>
        <v>34</v>
      </c>
      <c r="Q5" s="22"/>
      <c r="R5" s="23" t="s">
        <v>153</v>
      </c>
      <c r="S5" s="22">
        <f t="shared" si="5"/>
        <v>0.56999999999999995</v>
      </c>
      <c r="T5" s="24">
        <f t="shared" si="6"/>
        <v>0</v>
      </c>
      <c r="U5" s="25">
        <f t="shared" si="7"/>
        <v>2</v>
      </c>
      <c r="V5" s="26" t="str">
        <f t="shared" si="8"/>
        <v/>
      </c>
      <c r="X5" s="29">
        <v>8000012561</v>
      </c>
      <c r="Y5" s="29">
        <v>932226000</v>
      </c>
      <c r="Z5" s="30" t="s">
        <v>167</v>
      </c>
      <c r="AA5" s="29" t="s">
        <v>168</v>
      </c>
      <c r="AB5" s="29" t="s">
        <v>168</v>
      </c>
      <c r="AC5" s="29">
        <v>0</v>
      </c>
      <c r="AD5" s="29">
        <v>0</v>
      </c>
      <c r="AE5" s="29"/>
      <c r="AF5" s="29"/>
      <c r="AG5" s="29"/>
    </row>
    <row r="6" spans="1:33" ht="48.2" customHeight="1" x14ac:dyDescent="0.3">
      <c r="A6" s="17">
        <f>VLOOKUP(C6,[1]Werke!$A$1:$C$168,3,0)</f>
        <v>14</v>
      </c>
      <c r="B6" s="17" t="str">
        <f>VLOOKUP(C6,[1]Werke!$A$1:$C$168,2,0)</f>
        <v>D72</v>
      </c>
      <c r="C6" s="18" t="s">
        <v>169</v>
      </c>
      <c r="D6" s="17" t="str">
        <f>VLOOKUP(C6,[1]Maliteslimalan!$A$1:$B$210,2,0)</f>
        <v>8000013493</v>
      </c>
      <c r="E6" s="19">
        <f>VLOOKUP(C6,[1]Bestellnr.!$A$1:$B$174,2,0)</f>
        <v>0</v>
      </c>
      <c r="F6" s="20" t="str">
        <f t="shared" si="0"/>
        <v>N   910 968 01</v>
      </c>
      <c r="G6" s="21">
        <v>100217000</v>
      </c>
      <c r="H6" s="17">
        <f t="shared" si="1"/>
        <v>7.0099999999999997E-3</v>
      </c>
      <c r="I6" s="20"/>
      <c r="J6" s="17" t="str">
        <f t="shared" si="9"/>
        <v>2000</v>
      </c>
      <c r="K6" s="17">
        <f t="shared" si="2"/>
        <v>0</v>
      </c>
      <c r="L6" s="22">
        <v>10</v>
      </c>
      <c r="M6" s="22">
        <v>30</v>
      </c>
      <c r="N6" s="22">
        <v>111444</v>
      </c>
      <c r="O6" s="22" t="str">
        <f t="shared" si="3"/>
        <v>001006</v>
      </c>
      <c r="P6" s="22">
        <f t="shared" si="4"/>
        <v>34</v>
      </c>
      <c r="Q6" s="22"/>
      <c r="R6" s="23" t="s">
        <v>153</v>
      </c>
      <c r="S6" s="22">
        <f t="shared" si="5"/>
        <v>0.56999999999999995</v>
      </c>
      <c r="T6" s="24">
        <f t="shared" si="6"/>
        <v>0</v>
      </c>
      <c r="U6" s="25">
        <f t="shared" si="7"/>
        <v>2</v>
      </c>
      <c r="V6" s="26" t="str">
        <f t="shared" si="8"/>
        <v/>
      </c>
      <c r="X6" s="29">
        <v>8000012561</v>
      </c>
      <c r="Y6" s="29">
        <v>932226000</v>
      </c>
      <c r="Z6" s="30" t="s">
        <v>170</v>
      </c>
      <c r="AA6" s="29" t="s">
        <v>171</v>
      </c>
      <c r="AB6" s="29" t="s">
        <v>171</v>
      </c>
      <c r="AC6" s="29">
        <v>1</v>
      </c>
      <c r="AD6" s="29">
        <v>1</v>
      </c>
      <c r="AE6" s="29"/>
      <c r="AF6" s="29"/>
      <c r="AG6" s="29"/>
    </row>
    <row r="7" spans="1:33" ht="48.2" customHeight="1" x14ac:dyDescent="0.3">
      <c r="A7" s="17" t="str">
        <f>VLOOKUP(C7,[1]Werke!$A$1:$C$168,3,0)</f>
        <v>26D</v>
      </c>
      <c r="B7" s="17" t="str">
        <f>VLOOKUP(C7,[1]Werke!$A$1:$C$168,2,0)</f>
        <v>G18</v>
      </c>
      <c r="C7" s="18" t="s">
        <v>172</v>
      </c>
      <c r="D7" s="17" t="str">
        <f>VLOOKUP(C7,[1]Maliteslimalan!$A$1:$B$210,2,0)</f>
        <v>8000012600</v>
      </c>
      <c r="E7" s="19">
        <f>VLOOKUP(C7,[1]Bestellnr.!$A$1:$B$174,2,0)</f>
        <v>0</v>
      </c>
      <c r="F7" s="20" t="str">
        <f t="shared" si="0"/>
        <v>N   910 968 01</v>
      </c>
      <c r="G7" s="21">
        <v>100217000</v>
      </c>
      <c r="H7" s="17">
        <f t="shared" si="1"/>
        <v>7.0099999999999997E-3</v>
      </c>
      <c r="I7" s="20"/>
      <c r="J7" s="17" t="str">
        <f t="shared" si="9"/>
        <v>2000</v>
      </c>
      <c r="K7" s="17">
        <f t="shared" si="2"/>
        <v>0</v>
      </c>
      <c r="L7" s="22">
        <v>10</v>
      </c>
      <c r="M7" s="22">
        <v>30</v>
      </c>
      <c r="N7" s="22">
        <v>111444</v>
      </c>
      <c r="O7" s="22" t="str">
        <f t="shared" si="3"/>
        <v>001006</v>
      </c>
      <c r="P7" s="22">
        <f t="shared" si="4"/>
        <v>34</v>
      </c>
      <c r="Q7" s="22"/>
      <c r="R7" s="23" t="s">
        <v>153</v>
      </c>
      <c r="S7" s="22">
        <f t="shared" si="5"/>
        <v>0.56999999999999995</v>
      </c>
      <c r="T7" s="24">
        <f t="shared" si="6"/>
        <v>0</v>
      </c>
      <c r="U7" s="25">
        <f t="shared" si="7"/>
        <v>2</v>
      </c>
      <c r="V7" s="26" t="str">
        <f t="shared" si="8"/>
        <v/>
      </c>
      <c r="X7" s="29"/>
      <c r="Y7" s="29"/>
      <c r="Z7" s="29"/>
      <c r="AA7" s="29"/>
      <c r="AB7" s="29"/>
      <c r="AC7" s="29"/>
      <c r="AD7" s="29"/>
      <c r="AE7" s="29"/>
      <c r="AF7" s="29" t="s">
        <v>173</v>
      </c>
      <c r="AG7" s="30" t="s">
        <v>153</v>
      </c>
    </row>
    <row r="8" spans="1:33" ht="48.2" customHeight="1" x14ac:dyDescent="0.3">
      <c r="A8" s="17">
        <f>VLOOKUP(C8,[1]Werke!$A$1:$C$168,3,0)</f>
        <v>27</v>
      </c>
      <c r="B8" s="17" t="str">
        <f>VLOOKUP(C8,[1]Werke!$A$1:$C$168,2,0)</f>
        <v>EFL</v>
      </c>
      <c r="C8" s="18" t="s">
        <v>174</v>
      </c>
      <c r="D8" s="17" t="str">
        <f>VLOOKUP(C8,[1]Maliteslimalan!$A$1:$B$210,2,0)</f>
        <v>8000012573</v>
      </c>
      <c r="E8" s="19" t="str">
        <f>VLOOKUP(C8,[1]Bestellnr.!$A$1:$B$174,2,0)</f>
        <v>000006</v>
      </c>
      <c r="F8" s="20" t="str">
        <f t="shared" si="0"/>
        <v>N   910 968 01</v>
      </c>
      <c r="G8" s="21">
        <v>100217000</v>
      </c>
      <c r="H8" s="17">
        <f t="shared" si="1"/>
        <v>7.0099999999999997E-3</v>
      </c>
      <c r="I8" s="20"/>
      <c r="J8" s="17" t="str">
        <f t="shared" si="9"/>
        <v>2000</v>
      </c>
      <c r="K8" s="17">
        <f t="shared" si="2"/>
        <v>0</v>
      </c>
      <c r="L8" s="22">
        <v>20</v>
      </c>
      <c r="M8" s="22">
        <v>60</v>
      </c>
      <c r="N8" s="22" t="s">
        <v>155</v>
      </c>
      <c r="O8" s="22" t="str">
        <f t="shared" si="3"/>
        <v>001210</v>
      </c>
      <c r="P8" s="22">
        <f t="shared" si="4"/>
        <v>55</v>
      </c>
      <c r="Q8" s="22"/>
      <c r="R8" s="23" t="s">
        <v>153</v>
      </c>
      <c r="S8" s="22">
        <f t="shared" si="5"/>
        <v>0.56999999999999995</v>
      </c>
      <c r="T8" s="24">
        <f t="shared" si="6"/>
        <v>0</v>
      </c>
      <c r="U8" s="25">
        <f t="shared" si="7"/>
        <v>2</v>
      </c>
      <c r="V8" s="26" t="str">
        <f t="shared" si="8"/>
        <v/>
      </c>
      <c r="X8" s="29"/>
      <c r="Y8" s="29"/>
      <c r="Z8" s="29"/>
      <c r="AA8" s="29"/>
      <c r="AB8" s="29"/>
      <c r="AC8" s="29"/>
      <c r="AD8" s="29"/>
      <c r="AE8" s="29"/>
      <c r="AF8" s="29" t="s">
        <v>171</v>
      </c>
      <c r="AG8" s="30" t="s">
        <v>175</v>
      </c>
    </row>
    <row r="9" spans="1:33" ht="48.2" customHeight="1" x14ac:dyDescent="0.25">
      <c r="A9" s="17">
        <f>VLOOKUP(C9,[1]Werke!$A$1:$C$168,3,0)</f>
        <v>34</v>
      </c>
      <c r="B9" s="17" t="str">
        <f>VLOOKUP(C9,[1]Werke!$A$1:$C$168,2,0)</f>
        <v>01</v>
      </c>
      <c r="C9" s="18" t="s">
        <v>176</v>
      </c>
      <c r="D9" s="17" t="str">
        <f>VLOOKUP(C9,[1]Maliteslimalan!$A$1:$B$210,2,0)</f>
        <v>8000012622</v>
      </c>
      <c r="E9" s="19">
        <f>VLOOKUP(C9,[1]Bestellnr.!$A$1:$B$174,2,0)</f>
        <v>0</v>
      </c>
      <c r="F9" s="20" t="str">
        <f t="shared" si="0"/>
        <v>N   910 968 01</v>
      </c>
      <c r="G9" s="21">
        <v>100217000</v>
      </c>
      <c r="H9" s="17">
        <f t="shared" si="1"/>
        <v>7.0099999999999997E-3</v>
      </c>
      <c r="I9" s="20"/>
      <c r="J9" s="17" t="str">
        <f t="shared" si="9"/>
        <v>2000</v>
      </c>
      <c r="K9" s="17">
        <f t="shared" si="2"/>
        <v>0</v>
      </c>
      <c r="L9" s="22">
        <v>10</v>
      </c>
      <c r="M9" s="22">
        <v>30</v>
      </c>
      <c r="N9" s="22">
        <v>111444</v>
      </c>
      <c r="O9" s="22" t="str">
        <f t="shared" si="3"/>
        <v>001006</v>
      </c>
      <c r="P9" s="22">
        <f t="shared" si="4"/>
        <v>34</v>
      </c>
      <c r="Q9" s="22"/>
      <c r="R9" s="23" t="s">
        <v>153</v>
      </c>
      <c r="S9" s="22">
        <f t="shared" si="5"/>
        <v>0.56999999999999995</v>
      </c>
      <c r="T9" s="24">
        <f t="shared" si="6"/>
        <v>0</v>
      </c>
      <c r="U9" s="25">
        <f t="shared" si="7"/>
        <v>2</v>
      </c>
      <c r="V9" s="26" t="str">
        <f t="shared" si="8"/>
        <v/>
      </c>
    </row>
    <row r="10" spans="1:33" ht="46.5" customHeight="1" x14ac:dyDescent="0.3">
      <c r="A10" s="17">
        <f>VLOOKUP(C10,[1]Werke!$A$1:$C$168,3,0)</f>
        <v>42</v>
      </c>
      <c r="B10" s="17" t="str">
        <f>VLOOKUP(C10,[1]Werke!$A$1:$C$168,2,0)</f>
        <v>CC1</v>
      </c>
      <c r="C10" s="18" t="s">
        <v>177</v>
      </c>
      <c r="D10" s="17" t="str">
        <f>VLOOKUP(C10,[1]Maliteslimalan!$A$1:$B$210,2,0)</f>
        <v>8000012577</v>
      </c>
      <c r="E10" s="19" t="str">
        <f>VLOOKUP(C10,[1]Bestellnr.!$A$1:$B$174,2,0)</f>
        <v>000001</v>
      </c>
      <c r="F10" s="20" t="str">
        <f t="shared" si="0"/>
        <v>N   910 968 01</v>
      </c>
      <c r="G10" s="21">
        <v>100217000</v>
      </c>
      <c r="H10" s="17">
        <f t="shared" si="1"/>
        <v>7.0099999999999997E-3</v>
      </c>
      <c r="I10" s="20"/>
      <c r="J10" s="17" t="str">
        <f t="shared" si="9"/>
        <v>2000</v>
      </c>
      <c r="K10" s="17">
        <f t="shared" si="2"/>
        <v>0</v>
      </c>
      <c r="L10" s="22">
        <v>20</v>
      </c>
      <c r="M10" s="22">
        <v>60</v>
      </c>
      <c r="N10" s="22" t="s">
        <v>155</v>
      </c>
      <c r="O10" s="22" t="str">
        <f t="shared" si="3"/>
        <v>001210</v>
      </c>
      <c r="P10" s="22">
        <f t="shared" si="4"/>
        <v>55</v>
      </c>
      <c r="Q10" s="22"/>
      <c r="R10" s="23" t="s">
        <v>153</v>
      </c>
      <c r="S10" s="22">
        <f t="shared" si="5"/>
        <v>0.56999999999999995</v>
      </c>
      <c r="T10" s="24">
        <f t="shared" si="6"/>
        <v>0</v>
      </c>
      <c r="U10" s="25">
        <f t="shared" si="7"/>
        <v>2</v>
      </c>
      <c r="V10" s="26" t="str">
        <f t="shared" si="8"/>
        <v/>
      </c>
      <c r="X10" s="29"/>
      <c r="Y10" s="29"/>
      <c r="Z10" s="29"/>
      <c r="AA10" s="29"/>
      <c r="AB10" s="29"/>
      <c r="AC10" s="29"/>
      <c r="AD10" s="29"/>
      <c r="AE10" s="29"/>
      <c r="AF10" s="29" t="s">
        <v>178</v>
      </c>
      <c r="AG10" s="29">
        <v>111444</v>
      </c>
    </row>
    <row r="11" spans="1:33" ht="46.5" customHeight="1" x14ac:dyDescent="0.3">
      <c r="A11" s="17">
        <f>VLOOKUP(C11,[1]Werke!$A$1:$C$168,3,0)</f>
        <v>15</v>
      </c>
      <c r="B11" s="17" t="str">
        <f>VLOOKUP(C11,[1]Werke!$A$1:$C$168,2,0)</f>
        <v>H9A</v>
      </c>
      <c r="C11" s="18" t="s">
        <v>179</v>
      </c>
      <c r="D11" s="17">
        <f>VLOOKUP(C11,[1]Maliteslimalan!$A$1:$B$210,2,0)</f>
        <v>8000017580</v>
      </c>
      <c r="E11" s="19">
        <v>6</v>
      </c>
      <c r="F11" s="20" t="str">
        <f t="shared" si="0"/>
        <v>N   910 968 01</v>
      </c>
      <c r="G11" s="21">
        <v>100217000</v>
      </c>
      <c r="H11" s="17">
        <f t="shared" si="1"/>
        <v>7.0099999999999997E-3</v>
      </c>
      <c r="I11" s="20"/>
      <c r="J11" s="17">
        <v>2000</v>
      </c>
      <c r="K11" s="17">
        <f t="shared" si="2"/>
        <v>0</v>
      </c>
      <c r="L11" s="22">
        <v>10</v>
      </c>
      <c r="M11" s="22">
        <v>10</v>
      </c>
      <c r="N11" s="22">
        <v>111444</v>
      </c>
      <c r="O11" s="22" t="str">
        <f t="shared" si="3"/>
        <v>001006</v>
      </c>
      <c r="P11" s="22">
        <f t="shared" si="4"/>
        <v>34</v>
      </c>
      <c r="Q11" s="22"/>
      <c r="R11" s="23" t="s">
        <v>153</v>
      </c>
      <c r="S11" s="22">
        <f t="shared" si="5"/>
        <v>0.56999999999999995</v>
      </c>
      <c r="T11" s="24">
        <f t="shared" si="6"/>
        <v>0</v>
      </c>
      <c r="U11" s="25">
        <f t="shared" si="7"/>
        <v>2</v>
      </c>
      <c r="V11" s="26" t="str">
        <f t="shared" si="8"/>
        <v/>
      </c>
      <c r="X11" s="29"/>
      <c r="Y11" s="29"/>
      <c r="Z11" s="29"/>
      <c r="AA11" s="29"/>
      <c r="AB11" s="29"/>
      <c r="AC11" s="29"/>
      <c r="AD11" s="29"/>
      <c r="AE11" s="29"/>
      <c r="AF11" s="29" t="s">
        <v>180</v>
      </c>
      <c r="AG11" s="29" t="s">
        <v>181</v>
      </c>
    </row>
    <row r="12" spans="1:33" ht="46.5" customHeight="1" x14ac:dyDescent="0.25">
      <c r="A12" s="17" t="str">
        <f>VLOOKUP(C12,[1]Werke!$A$1:$C$168,3,0)</f>
        <v>16D</v>
      </c>
      <c r="B12" s="17">
        <f>VLOOKUP(C12,[1]Werke!$A$1:$C$168,2,0)</f>
        <v>210</v>
      </c>
      <c r="C12" s="18" t="s">
        <v>182</v>
      </c>
      <c r="D12" s="17" t="str">
        <f>VLOOKUP(C12,[1]Maliteslimalan!$A$1:$B$210,2,0)</f>
        <v>8000012565</v>
      </c>
      <c r="E12" s="19">
        <f>VLOOKUP(C12,[1]Bestellnr.!$A$1:$B$174,2,0)</f>
        <v>0</v>
      </c>
      <c r="F12" s="20" t="str">
        <f t="shared" si="0"/>
        <v>N   910 968 01</v>
      </c>
      <c r="G12" s="21">
        <v>100217000</v>
      </c>
      <c r="H12" s="17">
        <f t="shared" si="1"/>
        <v>7.0099999999999997E-3</v>
      </c>
      <c r="I12" s="20"/>
      <c r="J12" s="17" t="str">
        <f t="shared" ref="J12:J22" si="10">VLOOKUP(G12,W$2:X$1905,2,FALSE)</f>
        <v>2000</v>
      </c>
      <c r="K12" s="17">
        <f t="shared" si="2"/>
        <v>0</v>
      </c>
      <c r="L12" s="22">
        <v>10</v>
      </c>
      <c r="M12" s="22">
        <v>10</v>
      </c>
      <c r="N12" s="22">
        <v>111444</v>
      </c>
      <c r="O12" s="22" t="str">
        <f t="shared" si="3"/>
        <v>001006</v>
      </c>
      <c r="P12" s="22">
        <f t="shared" si="4"/>
        <v>34</v>
      </c>
      <c r="Q12" s="22"/>
      <c r="R12" s="23" t="s">
        <v>153</v>
      </c>
      <c r="S12" s="22">
        <f t="shared" si="5"/>
        <v>0.56999999999999995</v>
      </c>
      <c r="T12" s="24">
        <f t="shared" si="6"/>
        <v>0</v>
      </c>
      <c r="U12" s="25">
        <f t="shared" si="7"/>
        <v>2</v>
      </c>
      <c r="V12" s="26" t="str">
        <f t="shared" si="8"/>
        <v/>
      </c>
      <c r="X12" s="31"/>
    </row>
    <row r="13" spans="1:33" ht="46.5" customHeight="1" x14ac:dyDescent="0.3">
      <c r="A13" s="17">
        <f>VLOOKUP(C13,[1]Werke!$A$1:$C$168,3,0)</f>
        <v>11</v>
      </c>
      <c r="B13" s="17" t="str">
        <f>VLOOKUP(C13,[1]Werke!$A$1:$C$168,2,0)</f>
        <v>AKL</v>
      </c>
      <c r="C13" s="18" t="s">
        <v>183</v>
      </c>
      <c r="D13" s="17" t="str">
        <f>VLOOKUP(C13,[1]Maliteslimalan!$A$1:$B$210,2,0)</f>
        <v>8000012570</v>
      </c>
      <c r="E13" s="19" t="str">
        <f>VLOOKUP(C13,[1]Bestellnr.!$A$1:$B$174,2,0)</f>
        <v>000006</v>
      </c>
      <c r="F13" s="20" t="str">
        <f t="shared" si="0"/>
        <v>N   910 968 01</v>
      </c>
      <c r="G13" s="21">
        <v>100217000</v>
      </c>
      <c r="H13" s="17">
        <f t="shared" si="1"/>
        <v>7.0099999999999997E-3</v>
      </c>
      <c r="I13" s="20"/>
      <c r="J13" s="17" t="str">
        <f t="shared" si="10"/>
        <v>2000</v>
      </c>
      <c r="K13" s="17">
        <f t="shared" si="2"/>
        <v>0</v>
      </c>
      <c r="L13" s="22">
        <v>20</v>
      </c>
      <c r="M13" s="22">
        <v>20</v>
      </c>
      <c r="N13" s="22" t="s">
        <v>155</v>
      </c>
      <c r="O13" s="22" t="str">
        <f t="shared" si="3"/>
        <v>001210</v>
      </c>
      <c r="P13" s="22">
        <f t="shared" si="4"/>
        <v>55</v>
      </c>
      <c r="Q13" s="22"/>
      <c r="R13" s="23" t="s">
        <v>153</v>
      </c>
      <c r="S13" s="22">
        <f t="shared" si="5"/>
        <v>0.56999999999999995</v>
      </c>
      <c r="T13" s="24">
        <f t="shared" si="6"/>
        <v>0</v>
      </c>
      <c r="U13" s="25">
        <f t="shared" si="7"/>
        <v>2</v>
      </c>
      <c r="V13" s="26" t="str">
        <f t="shared" si="8"/>
        <v/>
      </c>
      <c r="X13" s="29"/>
      <c r="Y13" s="29"/>
      <c r="Z13" s="29"/>
      <c r="AA13" s="29"/>
      <c r="AB13" s="29"/>
      <c r="AC13" s="29"/>
      <c r="AD13" s="29"/>
      <c r="AE13" s="29"/>
      <c r="AF13" s="29" t="s">
        <v>165</v>
      </c>
      <c r="AG13" s="29" t="s">
        <v>155</v>
      </c>
    </row>
    <row r="14" spans="1:33" ht="46.5" customHeight="1" x14ac:dyDescent="0.3">
      <c r="A14" s="17">
        <f>VLOOKUP(C14,[1]Werke!$A$1:$C$168,3,0)</f>
        <v>37</v>
      </c>
      <c r="B14" s="17" t="str">
        <f>VLOOKUP(C14,[1]Werke!$A$1:$C$168,2,0)</f>
        <v>AKL</v>
      </c>
      <c r="C14" s="18" t="s">
        <v>184</v>
      </c>
      <c r="D14" s="17" t="str">
        <f>VLOOKUP(C14,[1]Maliteslimalan!$A$1:$B$210,2,0)</f>
        <v>8000012562</v>
      </c>
      <c r="E14" s="19" t="str">
        <f>VLOOKUP(C14,[1]Bestellnr.!$A$1:$B$174,2,0)</f>
        <v>000006</v>
      </c>
      <c r="F14" s="20" t="str">
        <f t="shared" si="0"/>
        <v>N   910 968 01</v>
      </c>
      <c r="G14" s="21">
        <v>100217000</v>
      </c>
      <c r="H14" s="17">
        <f t="shared" si="1"/>
        <v>7.0099999999999997E-3</v>
      </c>
      <c r="I14" s="20"/>
      <c r="J14" s="17" t="str">
        <f t="shared" si="10"/>
        <v>2000</v>
      </c>
      <c r="K14" s="17">
        <f t="shared" si="2"/>
        <v>0</v>
      </c>
      <c r="L14" s="22">
        <v>20</v>
      </c>
      <c r="M14" s="22">
        <v>20</v>
      </c>
      <c r="N14" s="22" t="s">
        <v>155</v>
      </c>
      <c r="O14" s="22" t="str">
        <f t="shared" si="3"/>
        <v>001210</v>
      </c>
      <c r="P14" s="22">
        <f t="shared" si="4"/>
        <v>55</v>
      </c>
      <c r="Q14" s="22"/>
      <c r="R14" s="23" t="s">
        <v>153</v>
      </c>
      <c r="S14" s="22">
        <f t="shared" si="5"/>
        <v>0.56999999999999995</v>
      </c>
      <c r="T14" s="24">
        <f t="shared" si="6"/>
        <v>0</v>
      </c>
      <c r="U14" s="25">
        <f t="shared" si="7"/>
        <v>2</v>
      </c>
      <c r="V14" s="26" t="str">
        <f t="shared" si="8"/>
        <v/>
      </c>
      <c r="X14" s="29"/>
      <c r="Y14" s="29"/>
      <c r="Z14" s="29"/>
      <c r="AA14" s="29"/>
      <c r="AB14" s="29"/>
      <c r="AC14" s="29"/>
      <c r="AD14" s="29"/>
      <c r="AE14" s="29"/>
      <c r="AF14" s="29" t="s">
        <v>168</v>
      </c>
      <c r="AG14" s="29" t="s">
        <v>181</v>
      </c>
    </row>
    <row r="15" spans="1:33" ht="46.5" customHeight="1" x14ac:dyDescent="0.25">
      <c r="A15" s="17">
        <f>VLOOKUP(C15,[1]Werke!$A$1:$C$168,3,0)</f>
        <v>33</v>
      </c>
      <c r="B15" s="17" t="str">
        <f>VLOOKUP(C15,[1]Werke!$A$1:$C$168,2,0)</f>
        <v>KK2</v>
      </c>
      <c r="C15" s="18" t="s">
        <v>185</v>
      </c>
      <c r="D15" s="17" t="str">
        <f>VLOOKUP(C15,[1]Maliteslimalan!$A$1:$B$210,2,0)</f>
        <v>8000012709</v>
      </c>
      <c r="E15" s="19" t="str">
        <f>VLOOKUP(C15,[1]Bestellnr.!$A$1:$B$174,2,0)</f>
        <v>000055</v>
      </c>
      <c r="F15" s="20" t="str">
        <f t="shared" si="0"/>
        <v>N   910 968 01</v>
      </c>
      <c r="G15" s="21">
        <v>100217000</v>
      </c>
      <c r="H15" s="17">
        <f t="shared" si="1"/>
        <v>7.0099999999999997E-3</v>
      </c>
      <c r="I15" s="20"/>
      <c r="J15" s="17" t="str">
        <f t="shared" si="10"/>
        <v>2000</v>
      </c>
      <c r="K15" s="17">
        <f t="shared" si="2"/>
        <v>0</v>
      </c>
      <c r="L15" s="22">
        <v>20</v>
      </c>
      <c r="M15" s="22">
        <v>20</v>
      </c>
      <c r="N15" s="22" t="s">
        <v>155</v>
      </c>
      <c r="O15" s="22" t="str">
        <f t="shared" si="3"/>
        <v>001210</v>
      </c>
      <c r="P15" s="22">
        <f t="shared" si="4"/>
        <v>55</v>
      </c>
      <c r="Q15" s="22"/>
      <c r="R15" s="23" t="s">
        <v>153</v>
      </c>
      <c r="S15" s="22">
        <f t="shared" si="5"/>
        <v>0.56999999999999995</v>
      </c>
      <c r="T15" s="24">
        <f t="shared" si="6"/>
        <v>0</v>
      </c>
      <c r="U15" s="25">
        <f t="shared" si="7"/>
        <v>2</v>
      </c>
      <c r="V15" s="26" t="str">
        <f t="shared" si="8"/>
        <v/>
      </c>
    </row>
    <row r="16" spans="1:33" ht="46.5" customHeight="1" x14ac:dyDescent="0.25">
      <c r="A16" s="17">
        <f>VLOOKUP(C16,[1]Werke!$A$1:$C$168,3,0)</f>
        <v>31</v>
      </c>
      <c r="B16" s="17" t="str">
        <f>VLOOKUP(C16,[1]Werke!$A$1:$C$168,2,0)</f>
        <v>BH7</v>
      </c>
      <c r="C16" s="18" t="s">
        <v>186</v>
      </c>
      <c r="D16" s="17">
        <f>VLOOKUP(C16,[1]Maliteslimalan!$A$1:$B$210,2,0)</f>
        <v>8000015577</v>
      </c>
      <c r="E16" s="19">
        <v>6</v>
      </c>
      <c r="F16" s="20" t="str">
        <f t="shared" si="0"/>
        <v>N   910 968 01</v>
      </c>
      <c r="G16" s="21">
        <v>100217000</v>
      </c>
      <c r="H16" s="17">
        <f t="shared" si="1"/>
        <v>7.0099999999999997E-3</v>
      </c>
      <c r="I16" s="20"/>
      <c r="J16" s="17" t="str">
        <f t="shared" si="10"/>
        <v>2000</v>
      </c>
      <c r="K16" s="17">
        <f t="shared" si="2"/>
        <v>0</v>
      </c>
      <c r="L16" s="22">
        <v>20</v>
      </c>
      <c r="M16" s="22">
        <v>20</v>
      </c>
      <c r="N16" s="22" t="s">
        <v>155</v>
      </c>
      <c r="O16" s="22" t="str">
        <f t="shared" si="3"/>
        <v>001210</v>
      </c>
      <c r="P16" s="22">
        <f t="shared" si="4"/>
        <v>55</v>
      </c>
      <c r="Q16" s="22"/>
      <c r="R16" s="23" t="s">
        <v>153</v>
      </c>
      <c r="S16" s="22">
        <f t="shared" si="5"/>
        <v>0.56999999999999995</v>
      </c>
      <c r="T16" s="24">
        <f t="shared" si="6"/>
        <v>0</v>
      </c>
      <c r="U16" s="25">
        <f t="shared" si="7"/>
        <v>2</v>
      </c>
      <c r="V16" s="26" t="str">
        <f t="shared" si="8"/>
        <v/>
      </c>
    </row>
    <row r="17" spans="1:22" ht="46.5" customHeight="1" x14ac:dyDescent="0.25">
      <c r="A17" s="17" t="str">
        <f>VLOOKUP(C17,[1]Werke!$A$1:$C$168,3,0)</f>
        <v>LD</v>
      </c>
      <c r="B17" s="17" t="str">
        <f>VLOOKUP(C17,[1]Werke!$A$1:$C$168,2,0)</f>
        <v>SLD</v>
      </c>
      <c r="C17" s="18">
        <v>83630</v>
      </c>
      <c r="D17" s="17" t="str">
        <f>VLOOKUP(C17,[1]Maliteslimalan!$A$1:$B$210,2,0)</f>
        <v>8000012862</v>
      </c>
      <c r="E17" s="19" t="str">
        <f>VLOOKUP(C17,[1]Bestellnr.!$A$1:$B$174,2,0)</f>
        <v>000006</v>
      </c>
      <c r="F17" s="20" t="str">
        <f t="shared" si="0"/>
        <v>N   910 968 01</v>
      </c>
      <c r="G17" s="21">
        <v>100217000</v>
      </c>
      <c r="H17" s="17">
        <f t="shared" si="1"/>
        <v>7.0099999999999997E-3</v>
      </c>
      <c r="I17" s="20"/>
      <c r="J17" s="17" t="str">
        <f t="shared" si="10"/>
        <v>2000</v>
      </c>
      <c r="K17" s="17">
        <f t="shared" si="2"/>
        <v>0</v>
      </c>
      <c r="L17" s="22">
        <v>20</v>
      </c>
      <c r="M17" s="22">
        <v>60</v>
      </c>
      <c r="N17" s="22" t="s">
        <v>155</v>
      </c>
      <c r="O17" s="22" t="str">
        <f t="shared" si="3"/>
        <v>001210</v>
      </c>
      <c r="P17" s="22">
        <f t="shared" si="4"/>
        <v>55</v>
      </c>
      <c r="Q17" s="22"/>
      <c r="R17" s="23" t="s">
        <v>153</v>
      </c>
      <c r="S17" s="22">
        <f t="shared" si="5"/>
        <v>0.56999999999999995</v>
      </c>
      <c r="T17" s="24">
        <f t="shared" si="6"/>
        <v>0</v>
      </c>
      <c r="U17" s="25">
        <f t="shared" si="7"/>
        <v>2</v>
      </c>
      <c r="V17" s="26" t="str">
        <f t="shared" si="8"/>
        <v/>
      </c>
    </row>
    <row r="18" spans="1:22" ht="46.5" customHeight="1" x14ac:dyDescent="0.25">
      <c r="A18" s="17">
        <f>VLOOKUP(C18,[1]Werke!$A$1:$C$168,3,0)</f>
        <v>15</v>
      </c>
      <c r="B18" s="17" t="str">
        <f>VLOOKUP(C18,[1]Werke!$A$1:$C$168,2,0)</f>
        <v>H9A</v>
      </c>
      <c r="C18" s="18" t="s">
        <v>179</v>
      </c>
      <c r="D18" s="17">
        <f>VLOOKUP(C18,[1]Maliteslimalan!$A$1:$B$210,2,0)</f>
        <v>8000017580</v>
      </c>
      <c r="E18" s="19">
        <v>6</v>
      </c>
      <c r="F18" s="20" t="str">
        <f t="shared" si="0"/>
        <v>N   910 968 01</v>
      </c>
      <c r="G18" s="21">
        <v>100217000</v>
      </c>
      <c r="H18" s="17">
        <f t="shared" si="1"/>
        <v>7.0099999999999997E-3</v>
      </c>
      <c r="I18" s="20"/>
      <c r="J18" s="17" t="str">
        <f t="shared" si="10"/>
        <v>2000</v>
      </c>
      <c r="K18" s="17">
        <f t="shared" si="2"/>
        <v>0</v>
      </c>
      <c r="L18" s="22">
        <v>10</v>
      </c>
      <c r="M18" s="22">
        <v>10</v>
      </c>
      <c r="N18" s="22">
        <v>111444</v>
      </c>
      <c r="O18" s="22" t="str">
        <f t="shared" si="3"/>
        <v>001006</v>
      </c>
      <c r="P18" s="22">
        <f t="shared" si="4"/>
        <v>34</v>
      </c>
      <c r="Q18" s="22"/>
      <c r="R18" s="23" t="s">
        <v>153</v>
      </c>
      <c r="S18" s="22">
        <f t="shared" si="5"/>
        <v>0.56999999999999995</v>
      </c>
      <c r="T18" s="24">
        <f t="shared" si="6"/>
        <v>0</v>
      </c>
      <c r="U18" s="25">
        <f t="shared" si="7"/>
        <v>2</v>
      </c>
      <c r="V18" s="26" t="str">
        <f t="shared" si="8"/>
        <v/>
      </c>
    </row>
    <row r="19" spans="1:22" ht="46.5" customHeight="1" x14ac:dyDescent="0.25">
      <c r="A19" s="17" t="str">
        <f>VLOOKUP(C19,[1]Werke!$A$1:$C$168,3,0)</f>
        <v>14S</v>
      </c>
      <c r="B19" s="17" t="str">
        <f>VLOOKUP(C19,[1]Werke!$A$1:$C$168,2,0)</f>
        <v>LZG</v>
      </c>
      <c r="C19" s="18" t="s">
        <v>187</v>
      </c>
      <c r="D19" s="17" t="str">
        <f>VLOOKUP(C19,[1]Maliteslimalan!$A$1:$B$210,2,0)</f>
        <v>8000014767</v>
      </c>
      <c r="E19" s="19" t="str">
        <f>VLOOKUP(C19,[1]Bestellnr.!$A$1:$B$174,2,0)</f>
        <v>000006</v>
      </c>
      <c r="F19" s="20" t="str">
        <f t="shared" si="0"/>
        <v>N   910 968 01</v>
      </c>
      <c r="G19" s="21">
        <v>100217000</v>
      </c>
      <c r="H19" s="17">
        <f t="shared" si="1"/>
        <v>7.0099999999999997E-3</v>
      </c>
      <c r="I19" s="20"/>
      <c r="J19" s="17" t="str">
        <f t="shared" si="10"/>
        <v>2000</v>
      </c>
      <c r="K19" s="17">
        <f t="shared" si="2"/>
        <v>0</v>
      </c>
      <c r="L19" s="22">
        <v>10</v>
      </c>
      <c r="M19" s="22">
        <v>30</v>
      </c>
      <c r="N19" s="22">
        <v>111444</v>
      </c>
      <c r="O19" s="22" t="str">
        <f t="shared" si="3"/>
        <v>001006</v>
      </c>
      <c r="P19" s="22">
        <f t="shared" si="4"/>
        <v>34</v>
      </c>
      <c r="Q19" s="22"/>
      <c r="R19" s="23" t="s">
        <v>153</v>
      </c>
      <c r="S19" s="22">
        <f t="shared" si="5"/>
        <v>0.56999999999999995</v>
      </c>
      <c r="T19" s="24">
        <f t="shared" si="6"/>
        <v>0</v>
      </c>
      <c r="U19" s="25">
        <f t="shared" si="7"/>
        <v>2</v>
      </c>
      <c r="V19" s="26" t="str">
        <f t="shared" si="8"/>
        <v/>
      </c>
    </row>
    <row r="20" spans="1:22" ht="46.5" customHeight="1" x14ac:dyDescent="0.25">
      <c r="A20" s="17">
        <f>VLOOKUP(C20,[1]Werke!$A$1:$C$168,3,0)</f>
        <v>24</v>
      </c>
      <c r="B20" s="17" t="str">
        <f>VLOOKUP(C20,[1]Werke!$A$1:$C$168,2,0)</f>
        <v>CKS</v>
      </c>
      <c r="C20" s="18" t="s">
        <v>188</v>
      </c>
      <c r="D20" s="17" t="str">
        <f>VLOOKUP(C20,[1]Maliteslimalan!$A$1:$B$210,2,0)</f>
        <v>8000012647</v>
      </c>
      <c r="E20" s="19" t="str">
        <f>VLOOKUP(C20,[1]Bestellnr.!$A$1:$B$174,2,0)</f>
        <v>000006</v>
      </c>
      <c r="F20" s="20" t="str">
        <f t="shared" si="0"/>
        <v>N   910 968 01</v>
      </c>
      <c r="G20" s="21">
        <v>100217000</v>
      </c>
      <c r="H20" s="17">
        <f t="shared" si="1"/>
        <v>7.0099999999999997E-3</v>
      </c>
      <c r="I20" s="20"/>
      <c r="J20" s="17" t="str">
        <f t="shared" si="10"/>
        <v>2000</v>
      </c>
      <c r="K20" s="17">
        <f t="shared" si="2"/>
        <v>0</v>
      </c>
      <c r="L20" s="22">
        <v>10</v>
      </c>
      <c r="M20" s="22">
        <v>30</v>
      </c>
      <c r="N20" s="22">
        <v>111444</v>
      </c>
      <c r="O20" s="22" t="str">
        <f t="shared" si="3"/>
        <v>001006</v>
      </c>
      <c r="P20" s="22">
        <f t="shared" si="4"/>
        <v>34</v>
      </c>
      <c r="Q20" s="22"/>
      <c r="R20" s="23" t="s">
        <v>153</v>
      </c>
      <c r="S20" s="22">
        <f t="shared" si="5"/>
        <v>0.56999999999999995</v>
      </c>
      <c r="T20" s="24">
        <f t="shared" si="6"/>
        <v>0</v>
      </c>
      <c r="U20" s="25">
        <f t="shared" si="7"/>
        <v>2</v>
      </c>
      <c r="V20" s="26" t="str">
        <f t="shared" si="8"/>
        <v/>
      </c>
    </row>
    <row r="21" spans="1:22" ht="46.5" customHeight="1" x14ac:dyDescent="0.25">
      <c r="A21" s="17" t="str">
        <f>VLOOKUP(C21,[1]Werke!$A$1:$C$168,3,0)</f>
        <v>HT</v>
      </c>
      <c r="B21" s="17">
        <f>VLOOKUP(C21,[1]Werke!$A$1:$C$168,2,0)</f>
        <v>34</v>
      </c>
      <c r="C21" s="18">
        <v>80245</v>
      </c>
      <c r="D21" s="17">
        <f>VLOOKUP(C21,[1]Maliteslimalan!$A$1:$B$210,2,0)</f>
        <v>8000012604</v>
      </c>
      <c r="E21" s="19">
        <v>6</v>
      </c>
      <c r="F21" s="20" t="str">
        <f t="shared" si="0"/>
        <v>N   910 968 01</v>
      </c>
      <c r="G21" s="21">
        <v>100217000</v>
      </c>
      <c r="H21" s="17">
        <f t="shared" si="1"/>
        <v>7.0099999999999997E-3</v>
      </c>
      <c r="I21" s="20"/>
      <c r="J21" s="17" t="str">
        <f t="shared" si="10"/>
        <v>2000</v>
      </c>
      <c r="K21" s="17">
        <f t="shared" si="2"/>
        <v>0</v>
      </c>
      <c r="L21" s="22">
        <v>20</v>
      </c>
      <c r="M21" s="22">
        <v>60</v>
      </c>
      <c r="N21" s="22" t="s">
        <v>155</v>
      </c>
      <c r="O21" s="22" t="str">
        <f t="shared" si="3"/>
        <v>001210</v>
      </c>
      <c r="P21" s="22">
        <f t="shared" si="4"/>
        <v>55</v>
      </c>
      <c r="Q21" s="22"/>
      <c r="R21" s="23" t="s">
        <v>153</v>
      </c>
      <c r="S21" s="22">
        <f t="shared" si="5"/>
        <v>0.56999999999999995</v>
      </c>
      <c r="T21" s="24">
        <f t="shared" si="6"/>
        <v>0</v>
      </c>
      <c r="U21" s="25">
        <f t="shared" si="7"/>
        <v>2</v>
      </c>
      <c r="V21" s="26" t="str">
        <f t="shared" si="8"/>
        <v/>
      </c>
    </row>
    <row r="22" spans="1:22" ht="46.5" customHeight="1" x14ac:dyDescent="0.25">
      <c r="A22" s="17" t="str">
        <f>VLOOKUP(C22,[1]Werke!$A$1:$C$168,3,0)</f>
        <v>MU</v>
      </c>
      <c r="B22" s="17">
        <f>VLOOKUP(C22,[1]Werke!$A$1:$C$168,2,0)</f>
        <v>188</v>
      </c>
      <c r="C22" s="18" t="s">
        <v>189</v>
      </c>
      <c r="D22" s="17">
        <f>VLOOKUP(C22,[1]Maliteslimalan!$A$1:$B$210,2,0)</f>
        <v>8000014056</v>
      </c>
      <c r="E22" s="19">
        <v>6</v>
      </c>
      <c r="F22" s="20" t="str">
        <f t="shared" si="0"/>
        <v>N   910 968 01</v>
      </c>
      <c r="G22" s="21">
        <v>100217000</v>
      </c>
      <c r="H22" s="17">
        <f t="shared" si="1"/>
        <v>7.0099999999999997E-3</v>
      </c>
      <c r="I22" s="20"/>
      <c r="J22" s="17" t="str">
        <f t="shared" si="10"/>
        <v>2000</v>
      </c>
      <c r="K22" s="17">
        <f t="shared" si="2"/>
        <v>0</v>
      </c>
      <c r="L22" s="22">
        <v>10</v>
      </c>
      <c r="M22" s="22">
        <v>30</v>
      </c>
      <c r="N22" s="22">
        <v>111444</v>
      </c>
      <c r="O22" s="22" t="str">
        <f t="shared" si="3"/>
        <v>001006</v>
      </c>
      <c r="P22" s="22">
        <f t="shared" si="4"/>
        <v>34</v>
      </c>
      <c r="Q22" s="22"/>
      <c r="R22" s="23" t="s">
        <v>153</v>
      </c>
      <c r="S22" s="22">
        <f t="shared" si="5"/>
        <v>0.56999999999999995</v>
      </c>
      <c r="T22" s="24">
        <f t="shared" si="6"/>
        <v>0</v>
      </c>
      <c r="U22" s="25">
        <f t="shared" si="7"/>
        <v>2</v>
      </c>
      <c r="V22" s="26" t="str">
        <f t="shared" si="8"/>
        <v/>
      </c>
    </row>
    <row r="23" spans="1:22" ht="46.5" customHeight="1" x14ac:dyDescent="0.25">
      <c r="A23" s="17"/>
      <c r="B23" s="17"/>
      <c r="C23" s="18"/>
      <c r="D23" s="17"/>
      <c r="E23" s="19"/>
      <c r="F23" s="20"/>
      <c r="G23" s="21"/>
      <c r="H23" s="17"/>
      <c r="I23" s="20"/>
      <c r="J23" s="17"/>
      <c r="K23" s="17"/>
      <c r="L23" s="22"/>
      <c r="M23" s="22"/>
      <c r="N23" s="22"/>
      <c r="O23" s="22"/>
      <c r="P23" s="22"/>
      <c r="Q23" s="22"/>
      <c r="R23" s="23"/>
      <c r="S23" s="22"/>
      <c r="T23" s="24"/>
      <c r="U23" s="25"/>
    </row>
    <row r="24" spans="1:22" ht="48.2" customHeight="1" x14ac:dyDescent="0.25">
      <c r="A24" s="17">
        <f>VLOOKUP(C24,[1]Werke!$A$1:$C$168,3,0)</f>
        <v>14</v>
      </c>
      <c r="B24" s="17" t="str">
        <f>VLOOKUP(C24,[1]Werke!$A$1:$C$168,2,0)</f>
        <v>D66</v>
      </c>
      <c r="C24" s="18" t="s">
        <v>190</v>
      </c>
      <c r="D24" s="17" t="str">
        <f>VLOOKUP(C24,[1]Maliteslimalan!$A$1:$B$210,2,0)</f>
        <v>8000012561</v>
      </c>
      <c r="E24" s="19">
        <f>VLOOKUP(C24,[1]Bestellnr.!$A$1:$B$174,2,0)</f>
        <v>0</v>
      </c>
      <c r="F24" s="20" t="str">
        <f>VLOOKUP(G24,$U$1:$V$1730,2,0)</f>
        <v>N   010 237 16</v>
      </c>
      <c r="G24" s="21">
        <v>928446000</v>
      </c>
      <c r="H24" s="17">
        <f>VLOOKUP(G24,Z$2:AA$1905,2,FALSE)</f>
        <v>9.1599999999999997E-3</v>
      </c>
      <c r="I24" s="20"/>
      <c r="J24" s="17">
        <f>VLOOKUP(G24,W$2:X$1905,2,FALSE)</f>
        <v>1300</v>
      </c>
      <c r="K24" s="17">
        <f>I24/J24</f>
        <v>0</v>
      </c>
      <c r="L24" s="22">
        <v>10</v>
      </c>
      <c r="M24" s="22">
        <v>30</v>
      </c>
      <c r="N24" s="22">
        <v>111444</v>
      </c>
      <c r="O24" s="22" t="str">
        <f>VLOOKUP(N24,$AL$1285:$AM$1310,2,FALSE)</f>
        <v>001006</v>
      </c>
      <c r="P24" s="22">
        <f>VLOOKUP(N24,AC$2:AD$1905,2,FALSE)</f>
        <v>34</v>
      </c>
      <c r="Q24" s="22"/>
      <c r="R24" s="23" t="s">
        <v>153</v>
      </c>
      <c r="S24" s="22">
        <f>VLOOKUP(R24,AC$2:AD$1905,2,FALSE)</f>
        <v>0.56999999999999995</v>
      </c>
      <c r="T24" s="24">
        <f>(H24*I24)+P24*Q24+S24*K24</f>
        <v>0</v>
      </c>
      <c r="U24" s="25">
        <f>IF(TRIM(N24&amp;"")="111444",
    IF(ROUNDUP(MAX(0,K24-(MAX(1,Q24)-1)*10)/10,0)=1,3,2),
    IF(TRIM(N24&amp;"")="VWPAL",
        IF(TRIM(R24&amp;"")="004147",1,2),
        ""
    )
)</f>
        <v>2</v>
      </c>
      <c r="V24" s="26" t="str">
        <f>IF(OR(TRIM(N24&amp;"")="111444",TRIM(N24&amp;"")="VWPAL"),
    IF(K24&lt;=0,"",
        IF(
            MIN(3,ROUNDUP(MAX(0,K24-(MAX(1,Q24)-1)*IF(TRIM(N24&amp;"")="111444",10,20))/IF(TRIM(N24&amp;"")="111444",10,20),0))=1,
            300,
            IF(
                MIN(3,ROUNDUP(MAX(0,K24-(MAX(1,Q24)-1)*IF(TRIM(N24&amp;"")="111444",10,20))/IF(TRIM(N24&amp;"")="111444",10,20),0))=2,
                450,
                600
            )
        )
    ),
    ""
)</f>
        <v/>
      </c>
    </row>
    <row r="25" spans="1:22" ht="48.2" customHeight="1" x14ac:dyDescent="0.25">
      <c r="A25" s="17"/>
      <c r="B25" s="17"/>
      <c r="C25" s="18"/>
      <c r="D25" s="17"/>
      <c r="E25" s="19"/>
      <c r="F25" s="20"/>
      <c r="G25" s="21"/>
      <c r="H25" s="17"/>
      <c r="I25" s="20"/>
      <c r="J25" s="17"/>
      <c r="K25" s="17"/>
      <c r="L25" s="22"/>
      <c r="M25" s="22"/>
      <c r="N25" s="22"/>
      <c r="O25" s="22"/>
      <c r="P25" s="22"/>
      <c r="Q25" s="22"/>
      <c r="R25" s="23"/>
      <c r="S25" s="22"/>
      <c r="T25" s="24"/>
      <c r="U25" s="25"/>
    </row>
    <row r="26" spans="1:22" ht="48.2" customHeight="1" x14ac:dyDescent="0.25">
      <c r="A26" s="17" t="str">
        <f>VLOOKUP(C26,[1]Werke!$A$1:$C$168,3,0)</f>
        <v>LD</v>
      </c>
      <c r="B26" s="17" t="str">
        <f>VLOOKUP(C26,[1]Werke!$A$1:$C$168,2,0)</f>
        <v>SLD</v>
      </c>
      <c r="C26" s="18">
        <v>83630</v>
      </c>
      <c r="D26" s="17" t="str">
        <f>VLOOKUP(C26,[1]Maliteslimalan!$A$1:$B$210,2,0)</f>
        <v>8000012862</v>
      </c>
      <c r="E26" s="19" t="str">
        <f>VLOOKUP(C26,[1]Bestellnr.!$A$1:$B$174,2,0)</f>
        <v>000006</v>
      </c>
      <c r="F26" s="20" t="str">
        <f t="shared" ref="F26:F33" si="11">VLOOKUP(G26,$U$1:$V$1730,2,0)</f>
        <v>N   010 244 26</v>
      </c>
      <c r="G26" s="21">
        <v>925194000</v>
      </c>
      <c r="H26" s="17">
        <f t="shared" ref="H26:H33" si="12">VLOOKUP(G26,Z$2:AA$1905,2,FALSE)</f>
        <v>1.508E-2</v>
      </c>
      <c r="I26" s="20"/>
      <c r="J26" s="17" t="str">
        <f>VLOOKUP(G26,W$2:X$1905,2,FALSE)</f>
        <v>900</v>
      </c>
      <c r="K26" s="17">
        <f t="shared" ref="K26:K33" si="13">I26/J26</f>
        <v>0</v>
      </c>
      <c r="L26" s="22">
        <v>10</v>
      </c>
      <c r="M26" s="22">
        <v>30</v>
      </c>
      <c r="N26" s="22">
        <v>111444</v>
      </c>
      <c r="O26" s="22" t="str">
        <f t="shared" ref="O26:O33" si="14">VLOOKUP(N26,$AL$1285:$AM$1310,2,FALSE)</f>
        <v>001006</v>
      </c>
      <c r="P26" s="22">
        <f t="shared" ref="P26:P33" si="15">VLOOKUP(N26,AC$2:AD$1905,2,FALSE)</f>
        <v>34</v>
      </c>
      <c r="Q26" s="22"/>
      <c r="R26" s="23" t="s">
        <v>153</v>
      </c>
      <c r="S26" s="22">
        <f t="shared" ref="S26:S33" si="16">VLOOKUP(R26,AC$2:AD$1905,2,FALSE)</f>
        <v>0.56999999999999995</v>
      </c>
      <c r="T26" s="24">
        <f t="shared" ref="T26:T33" si="17">(H26*I26)+P26*Q26+S26*K26</f>
        <v>0</v>
      </c>
      <c r="U26" s="25">
        <f t="shared" ref="U26:U33" si="18">IF(TRIM(N26&amp;"")="111444",
    IF(ROUNDUP(MAX(0,K26-(MAX(1,Q26)-1)*10)/10,0)=1,3,2),
    IF(TRIM(N26&amp;"")="VWPAL",
        IF(TRIM(R26&amp;"")="004147",1,2),
        ""
    )
)</f>
        <v>2</v>
      </c>
      <c r="V26" s="26" t="str">
        <f t="shared" ref="V26:V33" si="19">IF(OR(TRIM(N26&amp;"")="111444",TRIM(N26&amp;"")="VWPAL"),
    IF(K26&lt;=0,"",
        IF(
            MIN(3,ROUNDUP(MAX(0,K26-(MAX(1,Q26)-1)*IF(TRIM(N26&amp;"")="111444",10,20))/IF(TRIM(N26&amp;"")="111444",10,20),0))=1,
            300,
            IF(
                MIN(3,ROUNDUP(MAX(0,K26-(MAX(1,Q26)-1)*IF(TRIM(N26&amp;"")="111444",10,20))/IF(TRIM(N26&amp;"")="111444",10,20),0))=2,
                450,
                600
            )
        )
    ),
    ""
)</f>
        <v/>
      </c>
    </row>
    <row r="27" spans="1:22" ht="48.2" customHeight="1" x14ac:dyDescent="0.25">
      <c r="A27" s="17" t="str">
        <f>VLOOKUP(C27,[1]Werke!$A$1:$C$168,3,0)</f>
        <v>26C</v>
      </c>
      <c r="B27" s="17" t="str">
        <f>VLOOKUP(C27,[1]Werke!$A$1:$C$168,2,0)</f>
        <v>CKD</v>
      </c>
      <c r="C27" s="18" t="s">
        <v>191</v>
      </c>
      <c r="D27" s="17" t="str">
        <f>VLOOKUP(C27,[1]Maliteslimalan!$A$1:$B$210,2,0)</f>
        <v>8000012767</v>
      </c>
      <c r="E27" s="19">
        <f>VLOOKUP(C27,[1]Bestellnr.!$A$1:$B$174,2,0)</f>
        <v>0</v>
      </c>
      <c r="F27" s="20" t="str">
        <f t="shared" si="11"/>
        <v>N   010 244 26</v>
      </c>
      <c r="G27" s="21">
        <v>925194000</v>
      </c>
      <c r="H27" s="17">
        <f t="shared" si="12"/>
        <v>1.508E-2</v>
      </c>
      <c r="I27" s="20"/>
      <c r="J27" s="17" t="str">
        <f>VLOOKUP(G27,W$2:X$1905,2,FALSE)</f>
        <v>900</v>
      </c>
      <c r="K27" s="17">
        <f t="shared" si="13"/>
        <v>0</v>
      </c>
      <c r="L27" s="22">
        <v>10</v>
      </c>
      <c r="M27" s="22">
        <v>30</v>
      </c>
      <c r="N27" s="22">
        <v>111444</v>
      </c>
      <c r="O27" s="22" t="str">
        <f t="shared" si="14"/>
        <v>001006</v>
      </c>
      <c r="P27" s="22">
        <f t="shared" si="15"/>
        <v>34</v>
      </c>
      <c r="Q27" s="22"/>
      <c r="R27" s="23" t="s">
        <v>153</v>
      </c>
      <c r="S27" s="22">
        <f t="shared" si="16"/>
        <v>0.56999999999999995</v>
      </c>
      <c r="T27" s="24">
        <f t="shared" si="17"/>
        <v>0</v>
      </c>
      <c r="U27" s="25">
        <f t="shared" si="18"/>
        <v>2</v>
      </c>
      <c r="V27" s="26" t="str">
        <f t="shared" si="19"/>
        <v/>
      </c>
    </row>
    <row r="28" spans="1:22" ht="48.2" customHeight="1" x14ac:dyDescent="0.25">
      <c r="A28" s="17">
        <f>VLOOKUP(C28,[1]Werke!$A$1:$C$168,3,0)</f>
        <v>27</v>
      </c>
      <c r="B28" s="17" t="str">
        <f>VLOOKUP(C28,[1]Werke!$A$1:$C$168,2,0)</f>
        <v>EFL</v>
      </c>
      <c r="C28" s="18" t="s">
        <v>174</v>
      </c>
      <c r="D28" s="17" t="str">
        <f>VLOOKUP(C28,[1]Maliteslimalan!$A$1:$B$210,2,0)</f>
        <v>8000012573</v>
      </c>
      <c r="E28" s="19" t="str">
        <f>VLOOKUP(C28,[1]Bestellnr.!$A$1:$B$174,2,0)</f>
        <v>000006</v>
      </c>
      <c r="F28" s="20" t="str">
        <f t="shared" si="11"/>
        <v>N   010 244 26</v>
      </c>
      <c r="G28" s="21">
        <v>925194000</v>
      </c>
      <c r="H28" s="17">
        <f t="shared" si="12"/>
        <v>1.508E-2</v>
      </c>
      <c r="I28" s="20"/>
      <c r="J28" s="17" t="str">
        <f>VLOOKUP(G28,W$2:X$1905,2,FALSE)</f>
        <v>900</v>
      </c>
      <c r="K28" s="17">
        <f t="shared" si="13"/>
        <v>0</v>
      </c>
      <c r="L28" s="22">
        <v>10</v>
      </c>
      <c r="M28" s="22">
        <v>30</v>
      </c>
      <c r="N28" s="22">
        <v>111444</v>
      </c>
      <c r="O28" s="22" t="str">
        <f t="shared" si="14"/>
        <v>001006</v>
      </c>
      <c r="P28" s="22">
        <f t="shared" si="15"/>
        <v>34</v>
      </c>
      <c r="Q28" s="22"/>
      <c r="R28" s="23" t="s">
        <v>153</v>
      </c>
      <c r="S28" s="22">
        <f t="shared" si="16"/>
        <v>0.56999999999999995</v>
      </c>
      <c r="T28" s="24">
        <f t="shared" si="17"/>
        <v>0</v>
      </c>
      <c r="U28" s="25">
        <f t="shared" si="18"/>
        <v>2</v>
      </c>
      <c r="V28" s="26" t="str">
        <f t="shared" si="19"/>
        <v/>
      </c>
    </row>
    <row r="29" spans="1:22" ht="48.2" customHeight="1" x14ac:dyDescent="0.25">
      <c r="A29" s="17">
        <f>VLOOKUP(C29,[1]Werke!$A$1:$C$168,3,0)</f>
        <v>31</v>
      </c>
      <c r="B29" s="17" t="str">
        <f>VLOOKUP(C29,[1]Werke!$A$1:$C$168,2,0)</f>
        <v>BH7</v>
      </c>
      <c r="C29" s="18" t="s">
        <v>186</v>
      </c>
      <c r="D29" s="17">
        <f>VLOOKUP(C29,[1]Maliteslimalan!$A$1:$B$210,2,0)</f>
        <v>8000015577</v>
      </c>
      <c r="E29" s="19">
        <v>6</v>
      </c>
      <c r="F29" s="20" t="str">
        <f t="shared" si="11"/>
        <v>N   010 244 26</v>
      </c>
      <c r="G29" s="21">
        <v>925194000</v>
      </c>
      <c r="H29" s="17">
        <f t="shared" si="12"/>
        <v>1.508E-2</v>
      </c>
      <c r="I29" s="20"/>
      <c r="J29" s="17" t="str">
        <f>VLOOKUP(G29,W$2:X$1905,2,FALSE)</f>
        <v>900</v>
      </c>
      <c r="K29" s="17">
        <f t="shared" si="13"/>
        <v>0</v>
      </c>
      <c r="L29" s="22">
        <v>10</v>
      </c>
      <c r="M29" s="22">
        <v>30</v>
      </c>
      <c r="N29" s="22">
        <v>111444</v>
      </c>
      <c r="O29" s="22" t="str">
        <f t="shared" si="14"/>
        <v>001006</v>
      </c>
      <c r="P29" s="22">
        <f t="shared" si="15"/>
        <v>34</v>
      </c>
      <c r="Q29" s="22"/>
      <c r="R29" s="23" t="s">
        <v>153</v>
      </c>
      <c r="S29" s="22">
        <f t="shared" si="16"/>
        <v>0.56999999999999995</v>
      </c>
      <c r="T29" s="24">
        <f t="shared" si="17"/>
        <v>0</v>
      </c>
      <c r="U29" s="25">
        <f t="shared" si="18"/>
        <v>2</v>
      </c>
      <c r="V29" s="26" t="str">
        <f t="shared" si="19"/>
        <v/>
      </c>
    </row>
    <row r="30" spans="1:22" ht="48.2" customHeight="1" x14ac:dyDescent="0.25">
      <c r="A30" s="17">
        <f>VLOOKUP(C30,[1]Werke!$A$1:$C$168,3,0)</f>
        <v>14</v>
      </c>
      <c r="B30" s="17" t="str">
        <f>VLOOKUP(C30,[1]Werke!$A$1:$C$168,2,0)</f>
        <v>D66</v>
      </c>
      <c r="C30" s="18" t="s">
        <v>190</v>
      </c>
      <c r="D30" s="17" t="str">
        <f>VLOOKUP(C30,[1]Maliteslimalan!$A$1:$B$210,2,0)</f>
        <v>8000012561</v>
      </c>
      <c r="E30" s="19">
        <f>VLOOKUP(C30,[1]Bestellnr.!$A$1:$B$174,2,0)</f>
        <v>0</v>
      </c>
      <c r="F30" s="20" t="str">
        <f t="shared" si="11"/>
        <v>N   010 244 26</v>
      </c>
      <c r="G30" s="21">
        <v>925194000</v>
      </c>
      <c r="H30" s="17">
        <f t="shared" si="12"/>
        <v>1.508E-2</v>
      </c>
      <c r="I30" s="20"/>
      <c r="J30" s="17">
        <v>900</v>
      </c>
      <c r="K30" s="17">
        <f t="shared" si="13"/>
        <v>0</v>
      </c>
      <c r="L30" s="22">
        <v>10</v>
      </c>
      <c r="M30" s="22">
        <v>10</v>
      </c>
      <c r="N30" s="22">
        <v>111444</v>
      </c>
      <c r="O30" s="22" t="str">
        <f t="shared" si="14"/>
        <v>001006</v>
      </c>
      <c r="P30" s="22">
        <f t="shared" si="15"/>
        <v>34</v>
      </c>
      <c r="Q30" s="22"/>
      <c r="R30" s="23" t="s">
        <v>153</v>
      </c>
      <c r="S30" s="22">
        <f t="shared" si="16"/>
        <v>0.56999999999999995</v>
      </c>
      <c r="T30" s="24">
        <f t="shared" si="17"/>
        <v>0</v>
      </c>
      <c r="U30" s="25">
        <f t="shared" si="18"/>
        <v>2</v>
      </c>
      <c r="V30" s="26" t="str">
        <f t="shared" si="19"/>
        <v/>
      </c>
    </row>
    <row r="31" spans="1:22" ht="48.2" customHeight="1" x14ac:dyDescent="0.25">
      <c r="A31" s="17">
        <f>VLOOKUP(C31,[1]Werke!$A$1:$C$168,3,0)</f>
        <v>17</v>
      </c>
      <c r="B31" s="17" t="str">
        <f>VLOOKUP(C31,[1]Werke!$A$1:$C$168,2,0)</f>
        <v>H2B</v>
      </c>
      <c r="C31" s="20" t="s">
        <v>192</v>
      </c>
      <c r="D31" s="17" t="str">
        <f>VLOOKUP(C31,[1]Maliteslimalan!$A$1:$B$210,2,0)</f>
        <v>8000012624</v>
      </c>
      <c r="E31" s="19" t="str">
        <f>VLOOKUP(C31,[1]Bestellnr.!$A$1:$B$174,2,0)</f>
        <v>000006</v>
      </c>
      <c r="F31" s="20" t="str">
        <f t="shared" si="11"/>
        <v>N   010 244 26</v>
      </c>
      <c r="G31" s="21">
        <v>925194000</v>
      </c>
      <c r="H31" s="17">
        <f t="shared" si="12"/>
        <v>1.508E-2</v>
      </c>
      <c r="I31" s="20"/>
      <c r="J31" s="17" t="str">
        <f>VLOOKUP(G31,W$2:X$1905,2,FALSE)</f>
        <v>900</v>
      </c>
      <c r="K31" s="17">
        <f t="shared" si="13"/>
        <v>0</v>
      </c>
      <c r="L31" s="22">
        <v>10</v>
      </c>
      <c r="M31" s="22">
        <v>10</v>
      </c>
      <c r="N31" s="22">
        <v>111444</v>
      </c>
      <c r="O31" s="22" t="str">
        <f t="shared" si="14"/>
        <v>001006</v>
      </c>
      <c r="P31" s="22">
        <f t="shared" si="15"/>
        <v>34</v>
      </c>
      <c r="Q31" s="22"/>
      <c r="R31" s="23" t="s">
        <v>153</v>
      </c>
      <c r="S31" s="22">
        <f t="shared" si="16"/>
        <v>0.56999999999999995</v>
      </c>
      <c r="T31" s="24">
        <f t="shared" si="17"/>
        <v>0</v>
      </c>
      <c r="U31" s="25">
        <f t="shared" si="18"/>
        <v>2</v>
      </c>
      <c r="V31" s="26" t="str">
        <f t="shared" si="19"/>
        <v/>
      </c>
    </row>
    <row r="32" spans="1:22" ht="48.2" customHeight="1" x14ac:dyDescent="0.25">
      <c r="A32" s="17" t="str">
        <f>VLOOKUP(C32,[1]Werke!$A$1:$C$168,3,0)</f>
        <v>26D</v>
      </c>
      <c r="B32" s="17" t="str">
        <f>VLOOKUP(C32,[1]Werke!$A$1:$C$168,2,0)</f>
        <v>G18</v>
      </c>
      <c r="C32" s="18" t="s">
        <v>193</v>
      </c>
      <c r="D32" s="17" t="str">
        <f>VLOOKUP(C32,[1]Maliteslimalan!$A$1:$B$210,2,0)</f>
        <v>8000012580</v>
      </c>
      <c r="E32" s="19">
        <f>VLOOKUP(C32,[1]Bestellnr.!$A$1:$B$174,2,0)</f>
        <v>0</v>
      </c>
      <c r="F32" s="20" t="str">
        <f t="shared" si="11"/>
        <v>N   010 244 26</v>
      </c>
      <c r="G32" s="21">
        <v>925194000</v>
      </c>
      <c r="H32" s="17">
        <f t="shared" si="12"/>
        <v>1.508E-2</v>
      </c>
      <c r="I32" s="20"/>
      <c r="J32" s="17" t="str">
        <f>VLOOKUP(G32,W$2:X$1905,2,FALSE)</f>
        <v>900</v>
      </c>
      <c r="K32" s="17">
        <f t="shared" si="13"/>
        <v>0</v>
      </c>
      <c r="L32" s="22">
        <v>10</v>
      </c>
      <c r="M32" s="22">
        <v>10</v>
      </c>
      <c r="N32" s="22">
        <v>111444</v>
      </c>
      <c r="O32" s="22" t="str">
        <f t="shared" si="14"/>
        <v>001006</v>
      </c>
      <c r="P32" s="22">
        <f t="shared" si="15"/>
        <v>34</v>
      </c>
      <c r="Q32" s="22"/>
      <c r="R32" s="23" t="s">
        <v>153</v>
      </c>
      <c r="S32" s="22">
        <f t="shared" si="16"/>
        <v>0.56999999999999995</v>
      </c>
      <c r="T32" s="24">
        <f t="shared" si="17"/>
        <v>0</v>
      </c>
      <c r="U32" s="25">
        <f t="shared" si="18"/>
        <v>2</v>
      </c>
      <c r="V32" s="26" t="str">
        <f t="shared" si="19"/>
        <v/>
      </c>
    </row>
    <row r="33" spans="1:22" ht="48.2" customHeight="1" x14ac:dyDescent="0.25">
      <c r="A33" s="17" t="str">
        <f>VLOOKUP(C33,[1]Werke!$A$1:$C$168,3,0)</f>
        <v>14S</v>
      </c>
      <c r="B33" s="17" t="str">
        <f>VLOOKUP(C33,[1]Werke!$A$1:$C$168,2,0)</f>
        <v>H26</v>
      </c>
      <c r="C33" s="18" t="s">
        <v>194</v>
      </c>
      <c r="D33" s="17">
        <f>VLOOKUP(C33,[1]Maliteslimalan!$A$1:$B$210,2,0)</f>
        <v>8000012915</v>
      </c>
      <c r="E33" s="19">
        <v>6</v>
      </c>
      <c r="F33" s="20" t="str">
        <f t="shared" si="11"/>
        <v>N   010 244 26</v>
      </c>
      <c r="G33" s="21">
        <v>925194000</v>
      </c>
      <c r="H33" s="17">
        <f t="shared" si="12"/>
        <v>1.508E-2</v>
      </c>
      <c r="I33" s="20"/>
      <c r="J33" s="17" t="str">
        <f>VLOOKUP(G33,W$2:X$1905,2,FALSE)</f>
        <v>900</v>
      </c>
      <c r="K33" s="17">
        <f t="shared" si="13"/>
        <v>0</v>
      </c>
      <c r="L33" s="22">
        <v>10</v>
      </c>
      <c r="M33" s="22">
        <v>30</v>
      </c>
      <c r="N33" s="22">
        <v>111444</v>
      </c>
      <c r="O33" s="22" t="str">
        <f t="shared" si="14"/>
        <v>001006</v>
      </c>
      <c r="P33" s="22">
        <f t="shared" si="15"/>
        <v>34</v>
      </c>
      <c r="Q33" s="22"/>
      <c r="R33" s="23" t="s">
        <v>153</v>
      </c>
      <c r="S33" s="22">
        <f t="shared" si="16"/>
        <v>0.56999999999999995</v>
      </c>
      <c r="T33" s="24">
        <f t="shared" si="17"/>
        <v>0</v>
      </c>
      <c r="U33" s="25">
        <f t="shared" si="18"/>
        <v>2</v>
      </c>
      <c r="V33" s="26" t="str">
        <f t="shared" si="19"/>
        <v/>
      </c>
    </row>
    <row r="34" spans="1:22" ht="48.2" customHeight="1" x14ac:dyDescent="0.25">
      <c r="A34" s="17"/>
      <c r="B34" s="17"/>
      <c r="C34" s="18"/>
      <c r="D34" s="17"/>
      <c r="E34" s="19"/>
      <c r="F34" s="20"/>
      <c r="G34" s="21"/>
      <c r="H34" s="17"/>
      <c r="I34" s="20"/>
      <c r="J34" s="17"/>
      <c r="K34" s="17"/>
      <c r="L34" s="22"/>
      <c r="M34" s="22"/>
      <c r="N34" s="22"/>
      <c r="O34" s="22"/>
      <c r="P34" s="22"/>
      <c r="Q34" s="22"/>
      <c r="R34" s="23"/>
      <c r="S34" s="22"/>
      <c r="T34" s="24"/>
      <c r="U34" s="25"/>
    </row>
    <row r="35" spans="1:22" ht="48.2" customHeight="1" x14ac:dyDescent="0.25">
      <c r="A35" s="17">
        <f>VLOOKUP(C35,[1]Werke!$A$1:$C$168,3,0)</f>
        <v>24</v>
      </c>
      <c r="B35" s="17" t="str">
        <f>VLOOKUP(C35,[1]Werke!$A$1:$C$168,2,0)</f>
        <v>CKH</v>
      </c>
      <c r="C35" s="18" t="s">
        <v>195</v>
      </c>
      <c r="D35" s="17">
        <f>VLOOKUP(C35,[1]Maliteslimalan!$A$1:$B$210,2,0)</f>
        <v>8000013551</v>
      </c>
      <c r="E35" s="19">
        <v>6</v>
      </c>
      <c r="F35" s="20" t="str">
        <f t="shared" ref="F35:F40" si="20">VLOOKUP(G35,$U$1:$V$1730,2,0)</f>
        <v>N   010 574 06</v>
      </c>
      <c r="G35" s="21">
        <v>925197000</v>
      </c>
      <c r="H35" s="17">
        <f t="shared" ref="H35:H40" si="21">VLOOKUP(G35,Z$2:AA$1905,2,FALSE)</f>
        <v>1.077E-2</v>
      </c>
      <c r="I35" s="20"/>
      <c r="J35" s="17">
        <f t="shared" ref="J35:J40" si="22">VLOOKUP(G35,W$2:X$1905,2,FALSE)</f>
        <v>1000</v>
      </c>
      <c r="K35" s="17">
        <f t="shared" ref="K35:K40" si="23">I35/J35</f>
        <v>0</v>
      </c>
      <c r="L35" s="22">
        <v>10</v>
      </c>
      <c r="M35" s="22">
        <v>30</v>
      </c>
      <c r="N35" s="22">
        <v>111444</v>
      </c>
      <c r="O35" s="22" t="str">
        <f t="shared" ref="O35:O40" si="24">VLOOKUP(N35,$AL$1285:$AM$1310,2,FALSE)</f>
        <v>001006</v>
      </c>
      <c r="P35" s="22">
        <f t="shared" ref="P35:P40" si="25">VLOOKUP(N35,AC$2:AD$1905,2,FALSE)</f>
        <v>34</v>
      </c>
      <c r="Q35" s="22"/>
      <c r="R35" s="23" t="s">
        <v>153</v>
      </c>
      <c r="S35" s="22">
        <f t="shared" ref="S35:S40" si="26">VLOOKUP(R35,AC$2:AD$1905,2,FALSE)</f>
        <v>0.56999999999999995</v>
      </c>
      <c r="T35" s="24">
        <f t="shared" ref="T35:T40" si="27">(H35*I35)+P35*Q35+S35*K35</f>
        <v>0</v>
      </c>
      <c r="U35" s="25">
        <f t="shared" ref="U35:U40" si="28">IF(TRIM(N35&amp;"")="111444",
    IF(ROUNDUP(MAX(0,K35-(MAX(1,Q35)-1)*10)/10,0)=1,3,2),
    IF(TRIM(N35&amp;"")="VWPAL",
        IF(TRIM(R35&amp;"")="004147",1,2),
        ""
    )
)</f>
        <v>2</v>
      </c>
      <c r="V35" s="26" t="str">
        <f t="shared" ref="V35:V40" si="29">IF(OR(TRIM(N35&amp;"")="111444",TRIM(N35&amp;"")="VWPAL"),
    IF(K35&lt;=0,"",
        IF(
            MIN(3,ROUNDUP(MAX(0,K35-(MAX(1,Q35)-1)*IF(TRIM(N35&amp;"")="111444",10,20))/IF(TRIM(N35&amp;"")="111444",10,20),0))=1,
            300,
            IF(
                MIN(3,ROUNDUP(MAX(0,K35-(MAX(1,Q35)-1)*IF(TRIM(N35&amp;"")="111444",10,20))/IF(TRIM(N35&amp;"")="111444",10,20),0))=2,
                450,
                600
            )
        )
    ),
    ""
)</f>
        <v/>
      </c>
    </row>
    <row r="36" spans="1:22" ht="48.2" customHeight="1" x14ac:dyDescent="0.25">
      <c r="A36" s="17">
        <f>VLOOKUP(C36,[1]Werke!$A$1:$C$168,3,0)</f>
        <v>22</v>
      </c>
      <c r="B36" s="17" t="str">
        <f>VLOOKUP(C36,[1]Werke!$A$1:$C$168,2,0)</f>
        <v>13P</v>
      </c>
      <c r="C36" s="18" t="s">
        <v>163</v>
      </c>
      <c r="D36" s="17" t="str">
        <f>VLOOKUP(C36,[1]Maliteslimalan!$A$1:$B$210,2,0)</f>
        <v>8000013344</v>
      </c>
      <c r="E36" s="19" t="str">
        <f>VLOOKUP(C36,[1]Bestellnr.!$A$1:$B$174,2,0)</f>
        <v>000006</v>
      </c>
      <c r="F36" s="20" t="str">
        <f t="shared" si="20"/>
        <v>N   010 574 06</v>
      </c>
      <c r="G36" s="21">
        <v>925197000</v>
      </c>
      <c r="H36" s="17">
        <f t="shared" si="21"/>
        <v>1.077E-2</v>
      </c>
      <c r="I36" s="20"/>
      <c r="J36" s="17">
        <f t="shared" si="22"/>
        <v>1000</v>
      </c>
      <c r="K36" s="17">
        <f t="shared" si="23"/>
        <v>0</v>
      </c>
      <c r="L36" s="22">
        <v>10</v>
      </c>
      <c r="M36" s="22">
        <v>20</v>
      </c>
      <c r="N36" s="22">
        <v>111444</v>
      </c>
      <c r="O36" s="22" t="str">
        <f t="shared" si="24"/>
        <v>001006</v>
      </c>
      <c r="P36" s="22">
        <f t="shared" si="25"/>
        <v>34</v>
      </c>
      <c r="Q36" s="22"/>
      <c r="R36" s="23" t="s">
        <v>153</v>
      </c>
      <c r="S36" s="22">
        <f t="shared" si="26"/>
        <v>0.56999999999999995</v>
      </c>
      <c r="T36" s="24">
        <f t="shared" si="27"/>
        <v>0</v>
      </c>
      <c r="U36" s="25">
        <f t="shared" si="28"/>
        <v>2</v>
      </c>
      <c r="V36" s="26" t="str">
        <f t="shared" si="29"/>
        <v/>
      </c>
    </row>
    <row r="37" spans="1:22" ht="48.2" customHeight="1" x14ac:dyDescent="0.25">
      <c r="A37" s="17">
        <f>VLOOKUP(C37,[1]Werke!$A$1:$C$168,3,0)</f>
        <v>37</v>
      </c>
      <c r="B37" s="17" t="str">
        <f>VLOOKUP(C37,[1]Werke!$A$1:$C$168,2,0)</f>
        <v>AKL</v>
      </c>
      <c r="C37" s="18" t="s">
        <v>184</v>
      </c>
      <c r="D37" s="17" t="str">
        <f>VLOOKUP(C37,[1]Maliteslimalan!$A$1:$B$210,2,0)</f>
        <v>8000012562</v>
      </c>
      <c r="E37" s="19" t="str">
        <f>VLOOKUP(C37,[1]Bestellnr.!$A$1:$B$174,2,0)</f>
        <v>000006</v>
      </c>
      <c r="F37" s="20" t="str">
        <f t="shared" si="20"/>
        <v>N   010 574 06</v>
      </c>
      <c r="G37" s="21">
        <v>925197000</v>
      </c>
      <c r="H37" s="17">
        <f t="shared" si="21"/>
        <v>1.077E-2</v>
      </c>
      <c r="I37" s="20"/>
      <c r="J37" s="17">
        <f t="shared" si="22"/>
        <v>1000</v>
      </c>
      <c r="K37" s="17">
        <f t="shared" si="23"/>
        <v>0</v>
      </c>
      <c r="L37" s="22">
        <v>10</v>
      </c>
      <c r="M37" s="22">
        <v>10</v>
      </c>
      <c r="N37" s="22">
        <v>111444</v>
      </c>
      <c r="O37" s="22" t="str">
        <f t="shared" si="24"/>
        <v>001006</v>
      </c>
      <c r="P37" s="22">
        <f t="shared" si="25"/>
        <v>34</v>
      </c>
      <c r="Q37" s="22"/>
      <c r="R37" s="23" t="s">
        <v>153</v>
      </c>
      <c r="S37" s="22">
        <f t="shared" si="26"/>
        <v>0.56999999999999995</v>
      </c>
      <c r="T37" s="24">
        <f t="shared" si="27"/>
        <v>0</v>
      </c>
      <c r="U37" s="25">
        <f t="shared" si="28"/>
        <v>2</v>
      </c>
      <c r="V37" s="26" t="str">
        <f t="shared" si="29"/>
        <v/>
      </c>
    </row>
    <row r="38" spans="1:22" ht="48.2" customHeight="1" x14ac:dyDescent="0.25">
      <c r="A38" s="17" t="str">
        <f>VLOOKUP(C38,[1]Werke!$A$1:$C$168,3,0)</f>
        <v>3U</v>
      </c>
      <c r="B38" s="17" t="str">
        <f>VLOOKUP(C38,[1]Werke!$A$1:$C$168,2,0)</f>
        <v>BZ2</v>
      </c>
      <c r="C38" s="18" t="s">
        <v>196</v>
      </c>
      <c r="D38" s="17" t="str">
        <f>VLOOKUP(C38,[1]Maliteslimalan!$A$1:$B$210,2,0)</f>
        <v>8000012860</v>
      </c>
      <c r="E38" s="19" t="str">
        <f>VLOOKUP(C38,[1]Bestellnr.!$A$1:$B$174,2,0)</f>
        <v>000055</v>
      </c>
      <c r="F38" s="20" t="str">
        <f t="shared" si="20"/>
        <v>N   010 574 06</v>
      </c>
      <c r="G38" s="21">
        <v>925197000</v>
      </c>
      <c r="H38" s="17">
        <f t="shared" si="21"/>
        <v>1.077E-2</v>
      </c>
      <c r="I38" s="20"/>
      <c r="J38" s="17">
        <f t="shared" si="22"/>
        <v>1000</v>
      </c>
      <c r="K38" s="17">
        <f t="shared" si="23"/>
        <v>0</v>
      </c>
      <c r="L38" s="22">
        <v>10</v>
      </c>
      <c r="M38" s="22">
        <v>30</v>
      </c>
      <c r="N38" s="22">
        <v>111444</v>
      </c>
      <c r="O38" s="22" t="str">
        <f t="shared" si="24"/>
        <v>001006</v>
      </c>
      <c r="P38" s="22">
        <f t="shared" si="25"/>
        <v>34</v>
      </c>
      <c r="Q38" s="22"/>
      <c r="R38" s="23" t="s">
        <v>153</v>
      </c>
      <c r="S38" s="22">
        <f t="shared" si="26"/>
        <v>0.56999999999999995</v>
      </c>
      <c r="T38" s="24">
        <f t="shared" si="27"/>
        <v>0</v>
      </c>
      <c r="U38" s="25">
        <f t="shared" si="28"/>
        <v>2</v>
      </c>
      <c r="V38" s="26" t="str">
        <f t="shared" si="29"/>
        <v/>
      </c>
    </row>
    <row r="39" spans="1:22" ht="48.2" customHeight="1" x14ac:dyDescent="0.25">
      <c r="A39" s="17">
        <f>VLOOKUP(C39,[1]Werke!$A$1:$C$168,3,0)</f>
        <v>14</v>
      </c>
      <c r="B39" s="17" t="str">
        <f>VLOOKUP(C39,[1]Werke!$A$1:$C$168,2,0)</f>
        <v>D72</v>
      </c>
      <c r="C39" s="18" t="s">
        <v>169</v>
      </c>
      <c r="D39" s="17" t="str">
        <f>VLOOKUP(C39,[1]Maliteslimalan!$A$1:$B$210,2,0)</f>
        <v>8000013493</v>
      </c>
      <c r="E39" s="19">
        <f>VLOOKUP(C39,[1]Bestellnr.!$A$1:$B$174,2,0)</f>
        <v>0</v>
      </c>
      <c r="F39" s="20" t="str">
        <f t="shared" si="20"/>
        <v>N   010 574 06</v>
      </c>
      <c r="G39" s="21">
        <v>925197000</v>
      </c>
      <c r="H39" s="17">
        <f t="shared" si="21"/>
        <v>1.077E-2</v>
      </c>
      <c r="I39" s="20"/>
      <c r="J39" s="17">
        <f t="shared" si="22"/>
        <v>1000</v>
      </c>
      <c r="K39" s="17">
        <f t="shared" si="23"/>
        <v>0</v>
      </c>
      <c r="L39" s="22">
        <v>10</v>
      </c>
      <c r="M39" s="22">
        <v>30</v>
      </c>
      <c r="N39" s="22">
        <v>111444</v>
      </c>
      <c r="O39" s="22" t="str">
        <f t="shared" si="24"/>
        <v>001006</v>
      </c>
      <c r="P39" s="22">
        <f t="shared" si="25"/>
        <v>34</v>
      </c>
      <c r="Q39" s="22"/>
      <c r="R39" s="23" t="s">
        <v>153</v>
      </c>
      <c r="S39" s="22">
        <f t="shared" si="26"/>
        <v>0.56999999999999995</v>
      </c>
      <c r="T39" s="24">
        <f t="shared" si="27"/>
        <v>0</v>
      </c>
      <c r="U39" s="25">
        <f t="shared" si="28"/>
        <v>2</v>
      </c>
      <c r="V39" s="26" t="str">
        <f t="shared" si="29"/>
        <v/>
      </c>
    </row>
    <row r="40" spans="1:22" ht="48.2" customHeight="1" x14ac:dyDescent="0.25">
      <c r="A40" s="17">
        <f>VLOOKUP(C40,[1]Werke!$A$1:$C$168,3,0)</f>
        <v>24</v>
      </c>
      <c r="B40" s="17" t="str">
        <f>VLOOKUP(C40,[1]Werke!$A$1:$C$168,2,0)</f>
        <v>CKS</v>
      </c>
      <c r="C40" s="18" t="s">
        <v>188</v>
      </c>
      <c r="D40" s="17" t="str">
        <f>VLOOKUP(C40,[1]Maliteslimalan!$A$1:$B$210,2,0)</f>
        <v>8000012647</v>
      </c>
      <c r="E40" s="19" t="str">
        <f>VLOOKUP(C40,[1]Bestellnr.!$A$1:$B$174,2,0)</f>
        <v>000006</v>
      </c>
      <c r="F40" s="20" t="str">
        <f t="shared" si="20"/>
        <v>N   010 574 06</v>
      </c>
      <c r="G40" s="21">
        <v>925197000</v>
      </c>
      <c r="H40" s="17">
        <f t="shared" si="21"/>
        <v>1.077E-2</v>
      </c>
      <c r="I40" s="20"/>
      <c r="J40" s="17">
        <f t="shared" si="22"/>
        <v>1000</v>
      </c>
      <c r="K40" s="17">
        <f t="shared" si="23"/>
        <v>0</v>
      </c>
      <c r="L40" s="22">
        <v>10</v>
      </c>
      <c r="M40" s="22">
        <v>30</v>
      </c>
      <c r="N40" s="22">
        <v>111444</v>
      </c>
      <c r="O40" s="22" t="str">
        <f t="shared" si="24"/>
        <v>001006</v>
      </c>
      <c r="P40" s="22">
        <f t="shared" si="25"/>
        <v>34</v>
      </c>
      <c r="Q40" s="22"/>
      <c r="R40" s="23" t="s">
        <v>153</v>
      </c>
      <c r="S40" s="22">
        <f t="shared" si="26"/>
        <v>0.56999999999999995</v>
      </c>
      <c r="T40" s="24">
        <f t="shared" si="27"/>
        <v>0</v>
      </c>
      <c r="U40" s="25">
        <f t="shared" si="28"/>
        <v>2</v>
      </c>
      <c r="V40" s="26" t="str">
        <f t="shared" si="29"/>
        <v/>
      </c>
    </row>
    <row r="41" spans="1:22" ht="48.2" customHeight="1" x14ac:dyDescent="0.25">
      <c r="A41" s="17"/>
      <c r="B41" s="17"/>
      <c r="C41" s="18"/>
      <c r="D41" s="17"/>
      <c r="E41" s="19"/>
      <c r="F41" s="20"/>
      <c r="G41" s="21"/>
      <c r="H41" s="17"/>
      <c r="I41" s="20"/>
      <c r="J41" s="17"/>
      <c r="K41" s="17"/>
      <c r="L41" s="22"/>
      <c r="M41" s="22"/>
      <c r="N41" s="22"/>
      <c r="O41" s="22"/>
      <c r="P41" s="22"/>
      <c r="Q41" s="22"/>
      <c r="R41" s="23"/>
      <c r="S41" s="22"/>
      <c r="T41" s="24"/>
      <c r="U41" s="25"/>
    </row>
    <row r="42" spans="1:22" ht="48.2" customHeight="1" x14ac:dyDescent="0.25">
      <c r="A42" s="17">
        <f>VLOOKUP(C42,[1]Werke!$A$1:$C$168,3,0)</f>
        <v>24</v>
      </c>
      <c r="B42" s="17" t="str">
        <f>VLOOKUP(C42,[1]Werke!$A$1:$C$168,2,0)</f>
        <v>CKH</v>
      </c>
      <c r="C42" s="18" t="s">
        <v>195</v>
      </c>
      <c r="D42" s="17">
        <f>VLOOKUP(C42,[1]Maliteslimalan!$A$1:$B$210,2,0)</f>
        <v>8000013551</v>
      </c>
      <c r="E42" s="19">
        <v>6</v>
      </c>
      <c r="F42" s="20" t="str">
        <f t="shared" ref="F42:F61" si="30">VLOOKUP(G42,$U$1:$V$1730,2,0)</f>
        <v>N   101 064 03</v>
      </c>
      <c r="G42" s="21">
        <v>968472001</v>
      </c>
      <c r="H42" s="17">
        <f t="shared" ref="H42:H61" si="31">VLOOKUP(G42,Z$2:AA$1905,2,FALSE)</f>
        <v>2.2970000000000001E-2</v>
      </c>
      <c r="I42" s="20"/>
      <c r="J42" s="17">
        <f t="shared" ref="J42:J47" si="32">VLOOKUP(G42,W$2:X$1905,2,FALSE)</f>
        <v>500</v>
      </c>
      <c r="K42" s="17">
        <f t="shared" ref="K42:K61" si="33">I42/J42</f>
        <v>0</v>
      </c>
      <c r="L42" s="22">
        <v>20</v>
      </c>
      <c r="M42" s="22">
        <v>60</v>
      </c>
      <c r="N42" s="22" t="s">
        <v>155</v>
      </c>
      <c r="O42" s="22" t="str">
        <f t="shared" ref="O42:O61" si="34">VLOOKUP(N42,$AL$1285:$AM$1310,2,FALSE)</f>
        <v>001210</v>
      </c>
      <c r="P42" s="22">
        <f t="shared" ref="P42:P61" si="35">VLOOKUP(N42,AC$2:AD$1905,2,FALSE)</f>
        <v>55</v>
      </c>
      <c r="Q42" s="22"/>
      <c r="R42" s="23" t="s">
        <v>153</v>
      </c>
      <c r="S42" s="22">
        <f t="shared" ref="S42:S61" si="36">VLOOKUP(R42,AC$2:AD$1905,2,FALSE)</f>
        <v>0.56999999999999995</v>
      </c>
      <c r="T42" s="24">
        <f t="shared" ref="T42:T61" si="37">(H42*I42)+P42*Q42+S42*K42</f>
        <v>0</v>
      </c>
      <c r="U42" s="25">
        <f t="shared" ref="U42:U61" si="38">IF(TRIM(N42&amp;"")="111444",
    IF(ROUNDUP(MAX(0,K42-(MAX(1,Q42)-1)*10)/10,0)=1,3,2),
    IF(TRIM(N42&amp;"")="VWPAL",
        IF(TRIM(R42&amp;"")="004147",1,2),
        ""
    )
)</f>
        <v>2</v>
      </c>
      <c r="V42" s="26" t="str">
        <f t="shared" ref="V42:V61" si="39">IF(OR(TRIM(N42&amp;"")="111444",TRIM(N42&amp;"")="VWPAL"),
    IF(K42&lt;=0,"",
        IF(
            MIN(3,ROUNDUP(MAX(0,K42-(MAX(1,Q42)-1)*IF(TRIM(N42&amp;"")="111444",10,20))/IF(TRIM(N42&amp;"")="111444",10,20),0))=1,
            300,
            IF(
                MIN(3,ROUNDUP(MAX(0,K42-(MAX(1,Q42)-1)*IF(TRIM(N42&amp;"")="111444",10,20))/IF(TRIM(N42&amp;"")="111444",10,20),0))=2,
                450,
                600
            )
        )
    ),
    ""
)</f>
        <v/>
      </c>
    </row>
    <row r="43" spans="1:22" ht="48.2" customHeight="1" x14ac:dyDescent="0.25">
      <c r="A43" s="17">
        <f>VLOOKUP(C43,[1]Werke!$A$1:$C$168,3,0)</f>
        <v>21</v>
      </c>
      <c r="B43" s="17" t="str">
        <f>VLOOKUP(C43,[1]Werke!$A$1:$C$168,2,0)</f>
        <v>GZD</v>
      </c>
      <c r="C43" s="18" t="s">
        <v>154</v>
      </c>
      <c r="D43" s="17" t="str">
        <f>VLOOKUP(C43,[1]Maliteslimalan!$A$1:$B$210,2,0)</f>
        <v>8000012572</v>
      </c>
      <c r="E43" s="19" t="str">
        <f>VLOOKUP(C43,[1]Bestellnr.!$A$1:$B$174,2,0)</f>
        <v>000006</v>
      </c>
      <c r="F43" s="20" t="str">
        <f t="shared" si="30"/>
        <v>N   101 064 03</v>
      </c>
      <c r="G43" s="21">
        <v>968472001</v>
      </c>
      <c r="H43" s="17">
        <f t="shared" si="31"/>
        <v>2.2970000000000001E-2</v>
      </c>
      <c r="I43" s="20"/>
      <c r="J43" s="17">
        <f t="shared" si="32"/>
        <v>500</v>
      </c>
      <c r="K43" s="17">
        <f t="shared" si="33"/>
        <v>0</v>
      </c>
      <c r="L43" s="22">
        <v>20</v>
      </c>
      <c r="M43" s="22">
        <v>60</v>
      </c>
      <c r="N43" s="22" t="s">
        <v>155</v>
      </c>
      <c r="O43" s="22" t="str">
        <f t="shared" si="34"/>
        <v>001210</v>
      </c>
      <c r="P43" s="22">
        <f t="shared" si="35"/>
        <v>55</v>
      </c>
      <c r="Q43" s="22"/>
      <c r="R43" s="23" t="s">
        <v>153</v>
      </c>
      <c r="S43" s="22">
        <f t="shared" si="36"/>
        <v>0.56999999999999995</v>
      </c>
      <c r="T43" s="24">
        <f t="shared" si="37"/>
        <v>0</v>
      </c>
      <c r="U43" s="25">
        <f t="shared" si="38"/>
        <v>2</v>
      </c>
      <c r="V43" s="26" t="str">
        <f t="shared" si="39"/>
        <v/>
      </c>
    </row>
    <row r="44" spans="1:22" ht="48.2" customHeight="1" x14ac:dyDescent="0.25">
      <c r="A44" s="17">
        <f>VLOOKUP(C44,[1]Werke!$A$1:$C$168,3,0)</f>
        <v>14</v>
      </c>
      <c r="B44" s="17" t="str">
        <f>VLOOKUP(C44,[1]Werke!$A$1:$C$168,2,0)</f>
        <v>D72</v>
      </c>
      <c r="C44" s="18" t="s">
        <v>169</v>
      </c>
      <c r="D44" s="17" t="str">
        <f>VLOOKUP(C44,[1]Maliteslimalan!$A$1:$B$210,2,0)</f>
        <v>8000013493</v>
      </c>
      <c r="E44" s="19">
        <f>VLOOKUP(C44,[1]Bestellnr.!$A$1:$B$174,2,0)</f>
        <v>0</v>
      </c>
      <c r="F44" s="20" t="str">
        <f t="shared" si="30"/>
        <v>N   101 064 03</v>
      </c>
      <c r="G44" s="21">
        <v>968472001</v>
      </c>
      <c r="H44" s="17">
        <f t="shared" si="31"/>
        <v>2.2970000000000001E-2</v>
      </c>
      <c r="I44" s="20"/>
      <c r="J44" s="17">
        <f t="shared" si="32"/>
        <v>500</v>
      </c>
      <c r="K44" s="17">
        <f t="shared" si="33"/>
        <v>0</v>
      </c>
      <c r="L44" s="22">
        <v>10</v>
      </c>
      <c r="M44" s="22">
        <v>30</v>
      </c>
      <c r="N44" s="22">
        <v>111444</v>
      </c>
      <c r="O44" s="22" t="str">
        <f t="shared" si="34"/>
        <v>001006</v>
      </c>
      <c r="P44" s="22">
        <f t="shared" si="35"/>
        <v>34</v>
      </c>
      <c r="Q44" s="22"/>
      <c r="R44" s="23" t="s">
        <v>153</v>
      </c>
      <c r="S44" s="22">
        <f t="shared" si="36"/>
        <v>0.56999999999999995</v>
      </c>
      <c r="T44" s="24">
        <f t="shared" si="37"/>
        <v>0</v>
      </c>
      <c r="U44" s="25">
        <f t="shared" si="38"/>
        <v>2</v>
      </c>
      <c r="V44" s="26" t="str">
        <f t="shared" si="39"/>
        <v/>
      </c>
    </row>
    <row r="45" spans="1:22" ht="48.2" customHeight="1" x14ac:dyDescent="0.25">
      <c r="A45" s="17" t="str">
        <f>VLOOKUP(C45,[1]Werke!$A$1:$C$168,3,0)</f>
        <v>MU</v>
      </c>
      <c r="B45" s="17">
        <f>VLOOKUP(C45,[1]Werke!$A$1:$C$168,2,0)</f>
        <v>188</v>
      </c>
      <c r="C45" s="18" t="s">
        <v>189</v>
      </c>
      <c r="D45" s="17">
        <f>VLOOKUP(C45,[1]Maliteslimalan!$A$1:$B$210,2,0)</f>
        <v>8000014056</v>
      </c>
      <c r="E45" s="19">
        <v>6</v>
      </c>
      <c r="F45" s="20" t="str">
        <f t="shared" si="30"/>
        <v>N   101 064 03</v>
      </c>
      <c r="G45" s="21">
        <v>968472001</v>
      </c>
      <c r="H45" s="17">
        <f t="shared" si="31"/>
        <v>2.2970000000000001E-2</v>
      </c>
      <c r="I45" s="20"/>
      <c r="J45" s="17">
        <f t="shared" si="32"/>
        <v>500</v>
      </c>
      <c r="K45" s="17">
        <f t="shared" si="33"/>
        <v>0</v>
      </c>
      <c r="L45" s="22">
        <v>10</v>
      </c>
      <c r="M45" s="22">
        <v>30</v>
      </c>
      <c r="N45" s="22">
        <v>111444</v>
      </c>
      <c r="O45" s="22" t="str">
        <f t="shared" si="34"/>
        <v>001006</v>
      </c>
      <c r="P45" s="22">
        <f t="shared" si="35"/>
        <v>34</v>
      </c>
      <c r="Q45" s="22"/>
      <c r="R45" s="23" t="s">
        <v>153</v>
      </c>
      <c r="S45" s="22">
        <f t="shared" si="36"/>
        <v>0.56999999999999995</v>
      </c>
      <c r="T45" s="24">
        <f t="shared" si="37"/>
        <v>0</v>
      </c>
      <c r="U45" s="25">
        <f t="shared" si="38"/>
        <v>2</v>
      </c>
      <c r="V45" s="26" t="str">
        <f t="shared" si="39"/>
        <v/>
      </c>
    </row>
    <row r="46" spans="1:22" ht="48.2" customHeight="1" x14ac:dyDescent="0.25">
      <c r="A46" s="17" t="str">
        <f>VLOOKUP(C46,[1]Werke!$A$1:$C$168,3,0)</f>
        <v>IM</v>
      </c>
      <c r="B46" s="17">
        <f>VLOOKUP(C46,[1]Werke!$A$1:$C$168,2,0)</f>
        <v>889</v>
      </c>
      <c r="C46" s="18" t="s">
        <v>197</v>
      </c>
      <c r="D46" s="17">
        <f>VLOOKUP(C46,[1]Maliteslimalan!$A$1:$B$210,2,0)</f>
        <v>8000017117</v>
      </c>
      <c r="E46" s="19">
        <v>6</v>
      </c>
      <c r="F46" s="20" t="str">
        <f t="shared" si="30"/>
        <v>N   101 064 03</v>
      </c>
      <c r="G46" s="21">
        <v>968472001</v>
      </c>
      <c r="H46" s="17">
        <f t="shared" si="31"/>
        <v>2.2970000000000001E-2</v>
      </c>
      <c r="I46" s="20"/>
      <c r="J46" s="17">
        <f t="shared" si="32"/>
        <v>500</v>
      </c>
      <c r="K46" s="17">
        <f t="shared" si="33"/>
        <v>0</v>
      </c>
      <c r="L46" s="22">
        <v>10</v>
      </c>
      <c r="M46" s="22">
        <v>30</v>
      </c>
      <c r="N46" s="22">
        <v>111444</v>
      </c>
      <c r="O46" s="22" t="str">
        <f t="shared" si="34"/>
        <v>001006</v>
      </c>
      <c r="P46" s="22">
        <f t="shared" si="35"/>
        <v>34</v>
      </c>
      <c r="Q46" s="22"/>
      <c r="R46" s="23" t="s">
        <v>153</v>
      </c>
      <c r="S46" s="22">
        <f t="shared" si="36"/>
        <v>0.56999999999999995</v>
      </c>
      <c r="T46" s="24">
        <f t="shared" si="37"/>
        <v>0</v>
      </c>
      <c r="U46" s="25">
        <f t="shared" si="38"/>
        <v>2</v>
      </c>
      <c r="V46" s="26" t="str">
        <f t="shared" si="39"/>
        <v/>
      </c>
    </row>
    <row r="47" spans="1:22" ht="48.2" customHeight="1" x14ac:dyDescent="0.25">
      <c r="A47" s="17" t="str">
        <f>VLOOKUP(C47,[1]Werke!$A$1:$C$168,3,0)</f>
        <v>LD</v>
      </c>
      <c r="B47" s="17" t="str">
        <f>VLOOKUP(C47,[1]Werke!$A$1:$C$168,2,0)</f>
        <v>SLD</v>
      </c>
      <c r="C47" s="18">
        <v>83630</v>
      </c>
      <c r="D47" s="17" t="str">
        <f>VLOOKUP(C47,[1]Maliteslimalan!$A$1:$B$210,2,0)</f>
        <v>8000012862</v>
      </c>
      <c r="E47" s="19" t="str">
        <f>VLOOKUP(C47,[1]Bestellnr.!$A$1:$B$174,2,0)</f>
        <v>000006</v>
      </c>
      <c r="F47" s="20" t="str">
        <f t="shared" si="30"/>
        <v>N   101 064 03</v>
      </c>
      <c r="G47" s="21">
        <v>968472001</v>
      </c>
      <c r="H47" s="17">
        <f t="shared" si="31"/>
        <v>2.2970000000000001E-2</v>
      </c>
      <c r="I47" s="20"/>
      <c r="J47" s="17">
        <f t="shared" si="32"/>
        <v>500</v>
      </c>
      <c r="K47" s="17">
        <f t="shared" si="33"/>
        <v>0</v>
      </c>
      <c r="L47" s="22">
        <v>20</v>
      </c>
      <c r="M47" s="22">
        <v>60</v>
      </c>
      <c r="N47" s="22" t="s">
        <v>155</v>
      </c>
      <c r="O47" s="22" t="str">
        <f t="shared" si="34"/>
        <v>001210</v>
      </c>
      <c r="P47" s="22">
        <f t="shared" si="35"/>
        <v>55</v>
      </c>
      <c r="Q47" s="22"/>
      <c r="R47" s="23" t="s">
        <v>153</v>
      </c>
      <c r="S47" s="22">
        <f t="shared" si="36"/>
        <v>0.56999999999999995</v>
      </c>
      <c r="T47" s="24">
        <f t="shared" si="37"/>
        <v>0</v>
      </c>
      <c r="U47" s="25">
        <f t="shared" si="38"/>
        <v>2</v>
      </c>
      <c r="V47" s="26" t="str">
        <f t="shared" si="39"/>
        <v/>
      </c>
    </row>
    <row r="48" spans="1:22" ht="48.2" customHeight="1" x14ac:dyDescent="0.25">
      <c r="A48" s="17">
        <f>VLOOKUP(C48,[1]Werke!$A$1:$C$168,3,0)</f>
        <v>11</v>
      </c>
      <c r="B48" s="17" t="str">
        <f>VLOOKUP(C48,[1]Werke!$A$1:$C$168,2,0)</f>
        <v>AKL</v>
      </c>
      <c r="C48" s="18" t="s">
        <v>183</v>
      </c>
      <c r="D48" s="17" t="str">
        <f>VLOOKUP(C48,[1]Maliteslimalan!$A$1:$B$210,2,0)</f>
        <v>8000012570</v>
      </c>
      <c r="E48" s="19" t="str">
        <f>VLOOKUP(C48,[1]Bestellnr.!$A$1:$B$174,2,0)</f>
        <v>000006</v>
      </c>
      <c r="F48" s="20" t="str">
        <f t="shared" si="30"/>
        <v>N   101 064 03</v>
      </c>
      <c r="G48" s="21">
        <v>968472001</v>
      </c>
      <c r="H48" s="17">
        <f t="shared" si="31"/>
        <v>2.2970000000000001E-2</v>
      </c>
      <c r="I48" s="20"/>
      <c r="J48" s="17">
        <v>500</v>
      </c>
      <c r="K48" s="17">
        <f t="shared" si="33"/>
        <v>0</v>
      </c>
      <c r="L48" s="22">
        <v>20</v>
      </c>
      <c r="M48" s="22">
        <v>60</v>
      </c>
      <c r="N48" s="22" t="s">
        <v>155</v>
      </c>
      <c r="O48" s="22" t="str">
        <f t="shared" si="34"/>
        <v>001210</v>
      </c>
      <c r="P48" s="22">
        <f t="shared" si="35"/>
        <v>55</v>
      </c>
      <c r="Q48" s="22"/>
      <c r="R48" s="23" t="s">
        <v>153</v>
      </c>
      <c r="S48" s="22">
        <f t="shared" si="36"/>
        <v>0.56999999999999995</v>
      </c>
      <c r="T48" s="24">
        <f t="shared" si="37"/>
        <v>0</v>
      </c>
      <c r="U48" s="25">
        <f t="shared" si="38"/>
        <v>2</v>
      </c>
      <c r="V48" s="26" t="str">
        <f t="shared" si="39"/>
        <v/>
      </c>
    </row>
    <row r="49" spans="1:22" ht="48.2" customHeight="1" x14ac:dyDescent="0.25">
      <c r="A49" s="17">
        <f>VLOOKUP(C49,[1]Werke!$A$1:$C$168,3,0)</f>
        <v>11</v>
      </c>
      <c r="B49" s="17" t="str">
        <f>VLOOKUP(C49,[1]Werke!$A$1:$C$168,2,0)</f>
        <v>AKL</v>
      </c>
      <c r="C49" s="18" t="s">
        <v>198</v>
      </c>
      <c r="D49" s="17" t="str">
        <f>VLOOKUP(C49,[1]Maliteslimalan!$A$1:$B$210,2,0)</f>
        <v>8000012831</v>
      </c>
      <c r="E49" s="19" t="str">
        <f>VLOOKUP(C49,[1]Bestellnr.!$A$1:$B$174,2,0)</f>
        <v>000006</v>
      </c>
      <c r="F49" s="20" t="str">
        <f t="shared" si="30"/>
        <v>N   101 064 03</v>
      </c>
      <c r="G49" s="21">
        <v>968472001</v>
      </c>
      <c r="H49" s="17">
        <f t="shared" si="31"/>
        <v>2.2970000000000001E-2</v>
      </c>
      <c r="I49" s="20"/>
      <c r="J49" s="17">
        <v>500</v>
      </c>
      <c r="K49" s="17">
        <f t="shared" si="33"/>
        <v>0</v>
      </c>
      <c r="L49" s="22">
        <v>20</v>
      </c>
      <c r="M49" s="22">
        <v>60</v>
      </c>
      <c r="N49" s="22" t="s">
        <v>155</v>
      </c>
      <c r="O49" s="22" t="str">
        <f t="shared" si="34"/>
        <v>001210</v>
      </c>
      <c r="P49" s="22">
        <f t="shared" si="35"/>
        <v>55</v>
      </c>
      <c r="Q49" s="22"/>
      <c r="R49" s="23" t="s">
        <v>153</v>
      </c>
      <c r="S49" s="22">
        <f t="shared" si="36"/>
        <v>0.56999999999999995</v>
      </c>
      <c r="T49" s="24">
        <f t="shared" si="37"/>
        <v>0</v>
      </c>
      <c r="U49" s="25">
        <f t="shared" si="38"/>
        <v>2</v>
      </c>
      <c r="V49" s="26" t="str">
        <f t="shared" si="39"/>
        <v/>
      </c>
    </row>
    <row r="50" spans="1:22" ht="48.2" customHeight="1" x14ac:dyDescent="0.25">
      <c r="A50" s="17">
        <f>VLOOKUP(C50,[1]Werke!$A$1:$C$168,3,0)</f>
        <v>22</v>
      </c>
      <c r="B50" s="17" t="str">
        <f>VLOOKUP(C50,[1]Werke!$A$1:$C$168,2,0)</f>
        <v>13P</v>
      </c>
      <c r="C50" s="18" t="s">
        <v>163</v>
      </c>
      <c r="D50" s="17" t="str">
        <f>VLOOKUP(C50,[1]Maliteslimalan!$A$1:$B$210,2,0)</f>
        <v>8000013344</v>
      </c>
      <c r="E50" s="19" t="str">
        <f>VLOOKUP(C50,[1]Bestellnr.!$A$1:$B$174,2,0)</f>
        <v>000006</v>
      </c>
      <c r="F50" s="20" t="str">
        <f t="shared" si="30"/>
        <v>N   101 064 03</v>
      </c>
      <c r="G50" s="21">
        <v>968472001</v>
      </c>
      <c r="H50" s="17">
        <f t="shared" si="31"/>
        <v>2.2970000000000001E-2</v>
      </c>
      <c r="I50" s="20"/>
      <c r="J50" s="17">
        <f t="shared" ref="J50:J57" si="40">VLOOKUP(G50,W$2:X$1905,2,FALSE)</f>
        <v>500</v>
      </c>
      <c r="K50" s="17">
        <f t="shared" si="33"/>
        <v>0</v>
      </c>
      <c r="L50" s="22">
        <v>10</v>
      </c>
      <c r="M50" s="22">
        <v>30</v>
      </c>
      <c r="N50" s="22">
        <v>111444</v>
      </c>
      <c r="O50" s="22" t="str">
        <f t="shared" si="34"/>
        <v>001006</v>
      </c>
      <c r="P50" s="22">
        <f t="shared" si="35"/>
        <v>34</v>
      </c>
      <c r="Q50" s="22"/>
      <c r="R50" s="23" t="s">
        <v>153</v>
      </c>
      <c r="S50" s="22">
        <f t="shared" si="36"/>
        <v>0.56999999999999995</v>
      </c>
      <c r="T50" s="24">
        <f t="shared" si="37"/>
        <v>0</v>
      </c>
      <c r="U50" s="25">
        <f t="shared" si="38"/>
        <v>2</v>
      </c>
      <c r="V50" s="26" t="str">
        <f t="shared" si="39"/>
        <v/>
      </c>
    </row>
    <row r="51" spans="1:22" ht="48.2" customHeight="1" x14ac:dyDescent="0.25">
      <c r="A51" s="17">
        <f>VLOOKUP(C51,[1]Werke!$A$1:$C$168,3,0)</f>
        <v>37</v>
      </c>
      <c r="B51" s="17" t="str">
        <f>VLOOKUP(C51,[1]Werke!$A$1:$C$168,2,0)</f>
        <v>AKL</v>
      </c>
      <c r="C51" s="18" t="s">
        <v>184</v>
      </c>
      <c r="D51" s="17" t="str">
        <f>VLOOKUP(C51,[1]Maliteslimalan!$A$1:$B$210,2,0)</f>
        <v>8000012562</v>
      </c>
      <c r="E51" s="19" t="str">
        <f>VLOOKUP(C51,[1]Bestellnr.!$A$1:$B$174,2,0)</f>
        <v>000006</v>
      </c>
      <c r="F51" s="20" t="str">
        <f t="shared" si="30"/>
        <v>N   101 064 03</v>
      </c>
      <c r="G51" s="21">
        <v>968472001</v>
      </c>
      <c r="H51" s="17">
        <f t="shared" si="31"/>
        <v>2.2970000000000001E-2</v>
      </c>
      <c r="I51" s="20"/>
      <c r="J51" s="17">
        <f t="shared" si="40"/>
        <v>500</v>
      </c>
      <c r="K51" s="17">
        <f t="shared" si="33"/>
        <v>0</v>
      </c>
      <c r="L51" s="22">
        <v>20</v>
      </c>
      <c r="M51" s="22">
        <v>40</v>
      </c>
      <c r="N51" s="22" t="s">
        <v>155</v>
      </c>
      <c r="O51" s="22" t="str">
        <f t="shared" si="34"/>
        <v>001210</v>
      </c>
      <c r="P51" s="22">
        <f t="shared" si="35"/>
        <v>55</v>
      </c>
      <c r="Q51" s="22"/>
      <c r="R51" s="23" t="s">
        <v>153</v>
      </c>
      <c r="S51" s="22">
        <f t="shared" si="36"/>
        <v>0.56999999999999995</v>
      </c>
      <c r="T51" s="24">
        <f t="shared" si="37"/>
        <v>0</v>
      </c>
      <c r="U51" s="25">
        <f t="shared" si="38"/>
        <v>2</v>
      </c>
      <c r="V51" s="26" t="str">
        <f t="shared" si="39"/>
        <v/>
      </c>
    </row>
    <row r="52" spans="1:22" ht="48.2" customHeight="1" x14ac:dyDescent="0.25">
      <c r="A52" s="17">
        <f>VLOOKUP(C52,[1]Werke!$A$1:$C$168,3,0)</f>
        <v>31</v>
      </c>
      <c r="B52" s="17" t="str">
        <f>VLOOKUP(C52,[1]Werke!$A$1:$C$168,2,0)</f>
        <v>BH7</v>
      </c>
      <c r="C52" s="18" t="s">
        <v>186</v>
      </c>
      <c r="D52" s="17">
        <f>VLOOKUP(C52,[1]Maliteslimalan!$A$1:$B$210,2,0)</f>
        <v>8000015577</v>
      </c>
      <c r="E52" s="19">
        <v>6</v>
      </c>
      <c r="F52" s="20" t="str">
        <f t="shared" si="30"/>
        <v>N   101 064 03</v>
      </c>
      <c r="G52" s="21">
        <v>968472001</v>
      </c>
      <c r="H52" s="17">
        <f t="shared" si="31"/>
        <v>2.2970000000000001E-2</v>
      </c>
      <c r="I52" s="20"/>
      <c r="J52" s="17">
        <f t="shared" si="40"/>
        <v>500</v>
      </c>
      <c r="K52" s="17">
        <f t="shared" si="33"/>
        <v>0</v>
      </c>
      <c r="L52" s="22">
        <v>10</v>
      </c>
      <c r="M52" s="22">
        <v>10</v>
      </c>
      <c r="N52" s="22">
        <v>111444</v>
      </c>
      <c r="O52" s="22" t="str">
        <f t="shared" si="34"/>
        <v>001006</v>
      </c>
      <c r="P52" s="22">
        <f t="shared" si="35"/>
        <v>34</v>
      </c>
      <c r="Q52" s="22"/>
      <c r="R52" s="23" t="s">
        <v>153</v>
      </c>
      <c r="S52" s="22">
        <f t="shared" si="36"/>
        <v>0.56999999999999995</v>
      </c>
      <c r="T52" s="24">
        <f t="shared" si="37"/>
        <v>0</v>
      </c>
      <c r="U52" s="25">
        <f t="shared" si="38"/>
        <v>2</v>
      </c>
      <c r="V52" s="26" t="str">
        <f t="shared" si="39"/>
        <v/>
      </c>
    </row>
    <row r="53" spans="1:22" ht="48.2" customHeight="1" x14ac:dyDescent="0.25">
      <c r="A53" s="17">
        <f>VLOOKUP(C53,[1]Werke!$A$1:$C$168,3,0)</f>
        <v>33</v>
      </c>
      <c r="B53" s="17" t="str">
        <f>VLOOKUP(C53,[1]Werke!$A$1:$C$168,2,0)</f>
        <v>KK3</v>
      </c>
      <c r="C53" s="18" t="s">
        <v>199</v>
      </c>
      <c r="D53" s="17" t="str">
        <f>VLOOKUP(C53,[1]Maliteslimalan!$A$1:$B$210,2,0)</f>
        <v>8000012794</v>
      </c>
      <c r="E53" s="19" t="str">
        <f>VLOOKUP(C53,[1]Bestellnr.!$A$1:$B$174,2,0)</f>
        <v>000055</v>
      </c>
      <c r="F53" s="20" t="str">
        <f t="shared" si="30"/>
        <v>N   101 064 03</v>
      </c>
      <c r="G53" s="21">
        <v>968472001</v>
      </c>
      <c r="H53" s="17">
        <f t="shared" si="31"/>
        <v>2.2970000000000001E-2</v>
      </c>
      <c r="I53" s="20"/>
      <c r="J53" s="17">
        <f t="shared" si="40"/>
        <v>500</v>
      </c>
      <c r="K53" s="17">
        <f t="shared" si="33"/>
        <v>0</v>
      </c>
      <c r="L53" s="22">
        <v>10</v>
      </c>
      <c r="M53" s="22">
        <v>10</v>
      </c>
      <c r="N53" s="22">
        <v>111444</v>
      </c>
      <c r="O53" s="22" t="str">
        <f t="shared" si="34"/>
        <v>001006</v>
      </c>
      <c r="P53" s="22">
        <f t="shared" si="35"/>
        <v>34</v>
      </c>
      <c r="Q53" s="22"/>
      <c r="R53" s="23" t="s">
        <v>153</v>
      </c>
      <c r="S53" s="22">
        <f t="shared" si="36"/>
        <v>0.56999999999999995</v>
      </c>
      <c r="T53" s="24">
        <f t="shared" si="37"/>
        <v>0</v>
      </c>
      <c r="U53" s="25">
        <f t="shared" si="38"/>
        <v>2</v>
      </c>
      <c r="V53" s="26" t="str">
        <f t="shared" si="39"/>
        <v/>
      </c>
    </row>
    <row r="54" spans="1:22" ht="48.2" customHeight="1" x14ac:dyDescent="0.25">
      <c r="A54" s="17" t="str">
        <f>VLOOKUP(C54,[1]Werke!$A$1:$C$168,3,0)</f>
        <v>3P</v>
      </c>
      <c r="B54" s="17" t="str">
        <f>VLOOKUP(C54,[1]Werke!$A$1:$C$168,2,0)</f>
        <v>BP4</v>
      </c>
      <c r="C54" s="18" t="s">
        <v>200</v>
      </c>
      <c r="D54" s="17" t="str">
        <f>VLOOKUP(C54,[1]Maliteslimalan!$A$1:$B$210,2,0)</f>
        <v>8000012617</v>
      </c>
      <c r="E54" s="19" t="str">
        <f>VLOOKUP(C54,[1]Bestellnr.!$A$1:$B$174,2,0)</f>
        <v>000055</v>
      </c>
      <c r="F54" s="20" t="str">
        <f t="shared" si="30"/>
        <v>N   101 064 03</v>
      </c>
      <c r="G54" s="21">
        <v>968472001</v>
      </c>
      <c r="H54" s="17">
        <f t="shared" si="31"/>
        <v>2.2970000000000001E-2</v>
      </c>
      <c r="I54" s="20"/>
      <c r="J54" s="17">
        <f t="shared" si="40"/>
        <v>500</v>
      </c>
      <c r="K54" s="17">
        <f t="shared" si="33"/>
        <v>0</v>
      </c>
      <c r="L54" s="22">
        <v>10</v>
      </c>
      <c r="M54" s="22">
        <v>30</v>
      </c>
      <c r="N54" s="22">
        <v>111444</v>
      </c>
      <c r="O54" s="22" t="str">
        <f t="shared" si="34"/>
        <v>001006</v>
      </c>
      <c r="P54" s="22">
        <f t="shared" si="35"/>
        <v>34</v>
      </c>
      <c r="Q54" s="22"/>
      <c r="R54" s="23" t="s">
        <v>153</v>
      </c>
      <c r="S54" s="22">
        <f t="shared" si="36"/>
        <v>0.56999999999999995</v>
      </c>
      <c r="T54" s="24">
        <f t="shared" si="37"/>
        <v>0</v>
      </c>
      <c r="U54" s="25">
        <f t="shared" si="38"/>
        <v>2</v>
      </c>
      <c r="V54" s="26" t="str">
        <f t="shared" si="39"/>
        <v/>
      </c>
    </row>
    <row r="55" spans="1:22" ht="48.2" customHeight="1" x14ac:dyDescent="0.25">
      <c r="A55" s="17" t="str">
        <f>VLOOKUP(C55,[1]Werke!$A$1:$C$168,3,0)</f>
        <v>3U</v>
      </c>
      <c r="B55" s="17" t="str">
        <f>VLOOKUP(C55,[1]Werke!$A$1:$C$168,2,0)</f>
        <v>BZ2</v>
      </c>
      <c r="C55" s="18" t="s">
        <v>196</v>
      </c>
      <c r="D55" s="17" t="str">
        <f>VLOOKUP(C55,[1]Maliteslimalan!$A$1:$B$210,2,0)</f>
        <v>8000012860</v>
      </c>
      <c r="E55" s="19" t="str">
        <f>VLOOKUP(C55,[1]Bestellnr.!$A$1:$B$174,2,0)</f>
        <v>000055</v>
      </c>
      <c r="F55" s="20" t="str">
        <f t="shared" si="30"/>
        <v>N   101 064 03</v>
      </c>
      <c r="G55" s="21">
        <v>968472001</v>
      </c>
      <c r="H55" s="17">
        <f t="shared" si="31"/>
        <v>2.2970000000000001E-2</v>
      </c>
      <c r="I55" s="20"/>
      <c r="J55" s="17">
        <f t="shared" si="40"/>
        <v>500</v>
      </c>
      <c r="K55" s="17">
        <f t="shared" si="33"/>
        <v>0</v>
      </c>
      <c r="L55" s="22">
        <v>10</v>
      </c>
      <c r="M55" s="22">
        <v>30</v>
      </c>
      <c r="N55" s="22">
        <v>111444</v>
      </c>
      <c r="O55" s="22" t="str">
        <f t="shared" si="34"/>
        <v>001006</v>
      </c>
      <c r="P55" s="22">
        <f t="shared" si="35"/>
        <v>34</v>
      </c>
      <c r="Q55" s="22"/>
      <c r="R55" s="23" t="s">
        <v>153</v>
      </c>
      <c r="S55" s="22">
        <f t="shared" si="36"/>
        <v>0.56999999999999995</v>
      </c>
      <c r="T55" s="24">
        <f t="shared" si="37"/>
        <v>0</v>
      </c>
      <c r="U55" s="25">
        <f t="shared" si="38"/>
        <v>2</v>
      </c>
      <c r="V55" s="26" t="str">
        <f t="shared" si="39"/>
        <v/>
      </c>
    </row>
    <row r="56" spans="1:22" ht="48.2" customHeight="1" x14ac:dyDescent="0.25">
      <c r="A56" s="17">
        <f>VLOOKUP(C56,[1]Werke!$A$1:$C$168,3,0)</f>
        <v>43</v>
      </c>
      <c r="B56" s="17" t="str">
        <f>VLOOKUP(C56,[1]Werke!$A$1:$C$168,2,0)</f>
        <v>FGK</v>
      </c>
      <c r="C56" s="18" t="s">
        <v>201</v>
      </c>
      <c r="D56" s="17" t="str">
        <f>VLOOKUP(C56,[1]Maliteslimalan!$A$1:$B$210,2,0)</f>
        <v>8000012785</v>
      </c>
      <c r="E56" s="19" t="str">
        <f>VLOOKUP(C56,[1]Bestellnr.!$A$1:$B$174,2,0)</f>
        <v>000006</v>
      </c>
      <c r="F56" s="20" t="str">
        <f t="shared" si="30"/>
        <v>N   101 064 03</v>
      </c>
      <c r="G56" s="21">
        <v>968472001</v>
      </c>
      <c r="H56" s="17">
        <f t="shared" si="31"/>
        <v>2.2970000000000001E-2</v>
      </c>
      <c r="I56" s="20"/>
      <c r="J56" s="17">
        <f t="shared" si="40"/>
        <v>500</v>
      </c>
      <c r="K56" s="17">
        <f t="shared" si="33"/>
        <v>0</v>
      </c>
      <c r="L56" s="22">
        <v>10</v>
      </c>
      <c r="M56" s="22">
        <v>10</v>
      </c>
      <c r="N56" s="22">
        <v>111444</v>
      </c>
      <c r="O56" s="22" t="str">
        <f t="shared" si="34"/>
        <v>001006</v>
      </c>
      <c r="P56" s="22">
        <f t="shared" si="35"/>
        <v>34</v>
      </c>
      <c r="Q56" s="22"/>
      <c r="R56" s="23" t="s">
        <v>153</v>
      </c>
      <c r="S56" s="22">
        <f t="shared" si="36"/>
        <v>0.56999999999999995</v>
      </c>
      <c r="T56" s="24">
        <f t="shared" si="37"/>
        <v>0</v>
      </c>
      <c r="U56" s="25">
        <f t="shared" si="38"/>
        <v>2</v>
      </c>
      <c r="V56" s="26" t="str">
        <f t="shared" si="39"/>
        <v/>
      </c>
    </row>
    <row r="57" spans="1:22" ht="48.2" customHeight="1" x14ac:dyDescent="0.25">
      <c r="A57" s="17">
        <f>VLOOKUP(C57,[1]Werke!$A$1:$C$168,3,0)</f>
        <v>14</v>
      </c>
      <c r="B57" s="17" t="str">
        <f>VLOOKUP(C57,[1]Werke!$A$1:$C$168,2,0)</f>
        <v>D72</v>
      </c>
      <c r="C57" s="18" t="s">
        <v>169</v>
      </c>
      <c r="D57" s="17" t="str">
        <f>VLOOKUP(C57,[1]Maliteslimalan!$A$1:$B$210,2,0)</f>
        <v>8000013493</v>
      </c>
      <c r="E57" s="19">
        <f>VLOOKUP(C57,[1]Bestellnr.!$A$1:$B$174,2,0)</f>
        <v>0</v>
      </c>
      <c r="F57" s="20" t="str">
        <f t="shared" si="30"/>
        <v>N   101 064 03</v>
      </c>
      <c r="G57" s="21">
        <v>968472001</v>
      </c>
      <c r="H57" s="17">
        <f t="shared" si="31"/>
        <v>2.2970000000000001E-2</v>
      </c>
      <c r="I57" s="20"/>
      <c r="J57" s="17">
        <f t="shared" si="40"/>
        <v>500</v>
      </c>
      <c r="K57" s="17">
        <f t="shared" si="33"/>
        <v>0</v>
      </c>
      <c r="L57" s="22">
        <v>10</v>
      </c>
      <c r="M57" s="22">
        <v>30</v>
      </c>
      <c r="N57" s="22">
        <v>111444</v>
      </c>
      <c r="O57" s="22" t="str">
        <f t="shared" si="34"/>
        <v>001006</v>
      </c>
      <c r="P57" s="22">
        <f t="shared" si="35"/>
        <v>34</v>
      </c>
      <c r="Q57" s="22"/>
      <c r="R57" s="23" t="s">
        <v>153</v>
      </c>
      <c r="S57" s="22">
        <f t="shared" si="36"/>
        <v>0.56999999999999995</v>
      </c>
      <c r="T57" s="24">
        <f t="shared" si="37"/>
        <v>0</v>
      </c>
      <c r="U57" s="25">
        <f t="shared" si="38"/>
        <v>2</v>
      </c>
      <c r="V57" s="26" t="str">
        <f t="shared" si="39"/>
        <v/>
      </c>
    </row>
    <row r="58" spans="1:22" ht="48.2" customHeight="1" x14ac:dyDescent="0.25">
      <c r="A58" s="17">
        <f>VLOOKUP(C58,[1]Werke!$A$1:$C$168,3,0)</f>
        <v>24</v>
      </c>
      <c r="B58" s="17" t="str">
        <f>VLOOKUP(C58,[1]Werke!$A$1:$C$168,2,0)</f>
        <v>CKV</v>
      </c>
      <c r="C58" s="18" t="s">
        <v>202</v>
      </c>
      <c r="D58" s="17" t="str">
        <f>VLOOKUP(C58,[1]Maliteslimalan!$A$1:$B$210,2,0)</f>
        <v>8000013217</v>
      </c>
      <c r="E58" s="19" t="str">
        <f>VLOOKUP(C58,[1]Bestellnr.!$A$1:$B$174,2,0)</f>
        <v>000006</v>
      </c>
      <c r="F58" s="20" t="str">
        <f t="shared" si="30"/>
        <v>N   101 064 03</v>
      </c>
      <c r="G58" s="21">
        <v>968472001</v>
      </c>
      <c r="H58" s="17">
        <f t="shared" si="31"/>
        <v>2.2970000000000001E-2</v>
      </c>
      <c r="I58" s="20"/>
      <c r="J58" s="17">
        <v>500</v>
      </c>
      <c r="K58" s="17">
        <f t="shared" si="33"/>
        <v>0</v>
      </c>
      <c r="L58" s="22">
        <v>20</v>
      </c>
      <c r="M58" s="22">
        <v>60</v>
      </c>
      <c r="N58" s="22" t="s">
        <v>155</v>
      </c>
      <c r="O58" s="22" t="str">
        <f t="shared" si="34"/>
        <v>001210</v>
      </c>
      <c r="P58" s="22">
        <f t="shared" si="35"/>
        <v>55</v>
      </c>
      <c r="Q58" s="22"/>
      <c r="R58" s="23" t="s">
        <v>153</v>
      </c>
      <c r="S58" s="22">
        <f t="shared" si="36"/>
        <v>0.56999999999999995</v>
      </c>
      <c r="T58" s="24">
        <f t="shared" si="37"/>
        <v>0</v>
      </c>
      <c r="U58" s="25">
        <f t="shared" si="38"/>
        <v>2</v>
      </c>
      <c r="V58" s="26" t="str">
        <f t="shared" si="39"/>
        <v/>
      </c>
    </row>
    <row r="59" spans="1:22" ht="48.2" customHeight="1" x14ac:dyDescent="0.25">
      <c r="A59" s="17" t="str">
        <f>VLOOKUP(C59,[1]Werke!$A$1:$C$168,3,0)</f>
        <v>3R</v>
      </c>
      <c r="B59" s="17" t="str">
        <f>VLOOKUP(C59,[1]Werke!$A$1:$C$168,2,0)</f>
        <v>BC9</v>
      </c>
      <c r="C59" s="18" t="s">
        <v>203</v>
      </c>
      <c r="D59" s="17">
        <f>VLOOKUP(C59,[1]Maliteslimalan!$A$1:$B$210,2,0)</f>
        <v>8000017021</v>
      </c>
      <c r="E59" s="19">
        <v>6</v>
      </c>
      <c r="F59" s="20" t="str">
        <f t="shared" si="30"/>
        <v>N   101 064 03</v>
      </c>
      <c r="G59" s="21">
        <v>968472001</v>
      </c>
      <c r="H59" s="17">
        <f t="shared" si="31"/>
        <v>2.2970000000000001E-2</v>
      </c>
      <c r="I59" s="20"/>
      <c r="J59" s="17">
        <f>VLOOKUP(G59,W$2:X$1905,2,FALSE)</f>
        <v>500</v>
      </c>
      <c r="K59" s="17">
        <f t="shared" si="33"/>
        <v>0</v>
      </c>
      <c r="L59" s="22">
        <v>10</v>
      </c>
      <c r="M59" s="22">
        <v>30</v>
      </c>
      <c r="N59" s="22">
        <v>111444</v>
      </c>
      <c r="O59" s="22" t="str">
        <f t="shared" si="34"/>
        <v>001006</v>
      </c>
      <c r="P59" s="22">
        <f t="shared" si="35"/>
        <v>34</v>
      </c>
      <c r="Q59" s="22"/>
      <c r="R59" s="23" t="s">
        <v>153</v>
      </c>
      <c r="S59" s="22">
        <f t="shared" si="36"/>
        <v>0.56999999999999995</v>
      </c>
      <c r="T59" s="24">
        <f t="shared" si="37"/>
        <v>0</v>
      </c>
      <c r="U59" s="25">
        <f t="shared" si="38"/>
        <v>2</v>
      </c>
      <c r="V59" s="26" t="str">
        <f t="shared" si="39"/>
        <v/>
      </c>
    </row>
    <row r="60" spans="1:22" ht="48.2" customHeight="1" x14ac:dyDescent="0.25">
      <c r="A60" s="17">
        <f>VLOOKUP(C60,[1]Werke!$A$1:$C$168,3,0)</f>
        <v>24</v>
      </c>
      <c r="B60" s="17" t="str">
        <f>VLOOKUP(C60,[1]Werke!$A$1:$C$168,2,0)</f>
        <v>CKS</v>
      </c>
      <c r="C60" s="18" t="s">
        <v>188</v>
      </c>
      <c r="D60" s="17" t="str">
        <f>VLOOKUP(C60,[1]Maliteslimalan!$A$1:$B$210,2,0)</f>
        <v>8000012647</v>
      </c>
      <c r="E60" s="19" t="str">
        <f>VLOOKUP(C60,[1]Bestellnr.!$A$1:$B$174,2,0)</f>
        <v>000006</v>
      </c>
      <c r="F60" s="20" t="str">
        <f t="shared" si="30"/>
        <v>N   101 064 03</v>
      </c>
      <c r="G60" s="21">
        <v>968472001</v>
      </c>
      <c r="H60" s="17">
        <f t="shared" si="31"/>
        <v>2.2970000000000001E-2</v>
      </c>
      <c r="I60" s="20"/>
      <c r="J60" s="17">
        <f>VLOOKUP(G60,W$2:X$1905,2,FALSE)</f>
        <v>500</v>
      </c>
      <c r="K60" s="17">
        <f t="shared" si="33"/>
        <v>0</v>
      </c>
      <c r="L60" s="22">
        <v>20</v>
      </c>
      <c r="M60" s="22">
        <v>60</v>
      </c>
      <c r="N60" s="22" t="s">
        <v>155</v>
      </c>
      <c r="O60" s="22" t="str">
        <f t="shared" si="34"/>
        <v>001210</v>
      </c>
      <c r="P60" s="22">
        <f t="shared" si="35"/>
        <v>55</v>
      </c>
      <c r="Q60" s="22"/>
      <c r="R60" s="23" t="s">
        <v>153</v>
      </c>
      <c r="S60" s="22">
        <f t="shared" si="36"/>
        <v>0.56999999999999995</v>
      </c>
      <c r="T60" s="24">
        <f t="shared" si="37"/>
        <v>0</v>
      </c>
      <c r="U60" s="25">
        <f t="shared" si="38"/>
        <v>2</v>
      </c>
      <c r="V60" s="26" t="str">
        <f t="shared" si="39"/>
        <v/>
      </c>
    </row>
    <row r="61" spans="1:22" ht="48.2" customHeight="1" x14ac:dyDescent="0.25">
      <c r="A61" s="17" t="str">
        <f>VLOOKUP(C61,[1]Werke!$A$1:$C$168,3,0)</f>
        <v>16D</v>
      </c>
      <c r="B61" s="17">
        <f>VLOOKUP(C61,[1]Werke!$A$1:$C$168,2,0)</f>
        <v>210</v>
      </c>
      <c r="C61" s="18" t="s">
        <v>182</v>
      </c>
      <c r="D61" s="17" t="str">
        <f>VLOOKUP(C61,[1]Maliteslimalan!$A$1:$B$210,2,0)</f>
        <v>8000012565</v>
      </c>
      <c r="E61" s="19">
        <f>VLOOKUP(C61,[1]Bestellnr.!$A$1:$B$174,2,0)</f>
        <v>0</v>
      </c>
      <c r="F61" s="20" t="str">
        <f t="shared" si="30"/>
        <v>N   101 064 03</v>
      </c>
      <c r="G61" s="21">
        <v>968472001</v>
      </c>
      <c r="H61" s="17">
        <f t="shared" si="31"/>
        <v>2.2970000000000001E-2</v>
      </c>
      <c r="I61" s="20"/>
      <c r="J61" s="17">
        <f>VLOOKUP(G61,W$2:X$1905,2,FALSE)</f>
        <v>500</v>
      </c>
      <c r="K61" s="17">
        <f t="shared" si="33"/>
        <v>0</v>
      </c>
      <c r="L61" s="22">
        <v>10</v>
      </c>
      <c r="M61" s="22">
        <v>30</v>
      </c>
      <c r="N61" s="22">
        <v>111444</v>
      </c>
      <c r="O61" s="22" t="str">
        <f t="shared" si="34"/>
        <v>001006</v>
      </c>
      <c r="P61" s="22">
        <f t="shared" si="35"/>
        <v>34</v>
      </c>
      <c r="Q61" s="22"/>
      <c r="R61" s="23" t="s">
        <v>153</v>
      </c>
      <c r="S61" s="22">
        <f t="shared" si="36"/>
        <v>0.56999999999999995</v>
      </c>
      <c r="T61" s="24">
        <f t="shared" si="37"/>
        <v>0</v>
      </c>
      <c r="U61" s="25">
        <f t="shared" si="38"/>
        <v>2</v>
      </c>
      <c r="V61" s="26" t="str">
        <f t="shared" si="39"/>
        <v/>
      </c>
    </row>
    <row r="62" spans="1:22" ht="48.2" customHeight="1" x14ac:dyDescent="0.25">
      <c r="A62" s="17"/>
      <c r="B62" s="17"/>
      <c r="C62" s="18"/>
      <c r="D62" s="17"/>
      <c r="E62" s="19"/>
      <c r="F62" s="20"/>
      <c r="G62" s="21"/>
      <c r="H62" s="17"/>
      <c r="I62" s="20"/>
      <c r="J62" s="17"/>
      <c r="K62" s="17"/>
      <c r="L62" s="22"/>
      <c r="M62" s="22"/>
      <c r="N62" s="22"/>
      <c r="O62" s="22"/>
      <c r="P62" s="22"/>
      <c r="Q62" s="22"/>
      <c r="R62" s="23"/>
      <c r="S62" s="22"/>
      <c r="T62" s="24"/>
      <c r="U62" s="25"/>
    </row>
    <row r="63" spans="1:22" ht="48.2" customHeight="1" x14ac:dyDescent="0.25">
      <c r="A63" s="17">
        <f>VLOOKUP(C63,[1]Werke!$A$1:$C$168,3,0)</f>
        <v>24</v>
      </c>
      <c r="B63" s="17" t="str">
        <f>VLOOKUP(C63,[1]Werke!$A$1:$C$168,2,0)</f>
        <v>CKH</v>
      </c>
      <c r="C63" s="18" t="s">
        <v>195</v>
      </c>
      <c r="D63" s="17">
        <f>VLOOKUP(C63,[1]Maliteslimalan!$A$1:$B$210,2,0)</f>
        <v>8000013551</v>
      </c>
      <c r="E63" s="19">
        <v>6</v>
      </c>
      <c r="F63" s="20" t="str">
        <f>VLOOKUP(G63,$U$1:$V$1730,2,0)</f>
        <v>N   103 402 03</v>
      </c>
      <c r="G63" s="21">
        <v>968867000</v>
      </c>
      <c r="H63" s="17">
        <f>VLOOKUP(G63,Z$2:AA$1905,2,FALSE)</f>
        <v>1.4E-2</v>
      </c>
      <c r="I63" s="20"/>
      <c r="J63" s="17">
        <f>VLOOKUP(G63,W$2:X$1905,2,FALSE)</f>
        <v>1000</v>
      </c>
      <c r="K63" s="17">
        <f>I63/J63</f>
        <v>0</v>
      </c>
      <c r="L63" s="22">
        <v>10</v>
      </c>
      <c r="M63" s="22">
        <v>20</v>
      </c>
      <c r="N63" s="22">
        <v>111444</v>
      </c>
      <c r="O63" s="22" t="str">
        <f>VLOOKUP(N63,$AL$1285:$AM$1310,2,FALSE)</f>
        <v>001006</v>
      </c>
      <c r="P63" s="22">
        <f>VLOOKUP(N63,AC$2:AD$1905,2,FALSE)</f>
        <v>34</v>
      </c>
      <c r="Q63" s="22"/>
      <c r="R63" s="23" t="s">
        <v>153</v>
      </c>
      <c r="S63" s="22">
        <f>VLOOKUP(R63,AC$2:AD$1905,2,FALSE)</f>
        <v>0.56999999999999995</v>
      </c>
      <c r="T63" s="24">
        <f>(H63*I63)+P63*Q63+S63*K63</f>
        <v>0</v>
      </c>
      <c r="U63" s="25">
        <f>IF(TRIM(N63&amp;"")="111444",
    IF(ROUNDUP(MAX(0,K63-(MAX(1,Q63)-1)*10)/10,0)=1,3,2),
    IF(TRIM(N63&amp;"")="VWPAL",
        IF(TRIM(R63&amp;"")="004147",1,2),
        ""
    )
)</f>
        <v>2</v>
      </c>
      <c r="V63" s="26" t="str">
        <f>IF(OR(TRIM(N63&amp;"")="111444",TRIM(N63&amp;"")="VWPAL"),
    IF(K63&lt;=0,"",
        IF(
            MIN(3,ROUNDUP(MAX(0,K63-(MAX(1,Q63)-1)*IF(TRIM(N63&amp;"")="111444",10,20))/IF(TRIM(N63&amp;"")="111444",10,20),0))=1,
            300,
            IF(
                MIN(3,ROUNDUP(MAX(0,K63-(MAX(1,Q63)-1)*IF(TRIM(N63&amp;"")="111444",10,20))/IF(TRIM(N63&amp;"")="111444",10,20),0))=2,
                450,
                600
            )
        )
    ),
    ""
)</f>
        <v/>
      </c>
    </row>
    <row r="64" spans="1:22" ht="48.2" customHeight="1" x14ac:dyDescent="0.25">
      <c r="A64" s="17">
        <f>VLOOKUP(C64,[1]Werke!$A$1:$C$168,3,0)</f>
        <v>22</v>
      </c>
      <c r="B64" s="17" t="str">
        <f>VLOOKUP(C64,[1]Werke!$A$1:$C$168,2,0)</f>
        <v>13P</v>
      </c>
      <c r="C64" s="18" t="s">
        <v>163</v>
      </c>
      <c r="D64" s="17" t="str">
        <f>VLOOKUP(C64,[1]Maliteslimalan!$A$1:$B$210,2,0)</f>
        <v>8000013344</v>
      </c>
      <c r="E64" s="19" t="str">
        <f>VLOOKUP(C64,[1]Bestellnr.!$A$1:$B$174,2,0)</f>
        <v>000006</v>
      </c>
      <c r="F64" s="20" t="str">
        <f>VLOOKUP(G64,$U$1:$V$1730,2,0)</f>
        <v>N   103 402 03</v>
      </c>
      <c r="G64" s="21">
        <v>968867000</v>
      </c>
      <c r="H64" s="17">
        <f>VLOOKUP(G64,Z$2:AA$1905,2,FALSE)</f>
        <v>1.4E-2</v>
      </c>
      <c r="I64" s="20"/>
      <c r="J64" s="17">
        <f>VLOOKUP(G64,W$2:X$1905,2,FALSE)</f>
        <v>1000</v>
      </c>
      <c r="K64" s="17">
        <f>I64/J64</f>
        <v>0</v>
      </c>
      <c r="L64" s="22">
        <v>10</v>
      </c>
      <c r="M64" s="22">
        <v>30</v>
      </c>
      <c r="N64" s="22">
        <v>111444</v>
      </c>
      <c r="O64" s="22" t="str">
        <f>VLOOKUP(N64,$AL$1285:$AM$1310,2,FALSE)</f>
        <v>001006</v>
      </c>
      <c r="P64" s="22">
        <f>VLOOKUP(N64,AC$2:AD$1905,2,FALSE)</f>
        <v>34</v>
      </c>
      <c r="Q64" s="22"/>
      <c r="R64" s="23" t="s">
        <v>153</v>
      </c>
      <c r="S64" s="22">
        <f>VLOOKUP(R64,AC$2:AD$1905,2,FALSE)</f>
        <v>0.56999999999999995</v>
      </c>
      <c r="T64" s="24">
        <f>(H64*I64)+P64*Q64+S64*K64</f>
        <v>0</v>
      </c>
      <c r="U64" s="25">
        <f>IF(TRIM(N64&amp;"")="111444",
    IF(ROUNDUP(MAX(0,K64-(MAX(1,Q64)-1)*10)/10,0)=1,3,2),
    IF(TRIM(N64&amp;"")="VWPAL",
        IF(TRIM(R64&amp;"")="004147",1,2),
        ""
    )
)</f>
        <v>2</v>
      </c>
      <c r="V64" s="26" t="str">
        <f>IF(OR(TRIM(N64&amp;"")="111444",TRIM(N64&amp;"")="VWPAL"),
    IF(K64&lt;=0,"",
        IF(
            MIN(3,ROUNDUP(MAX(0,K64-(MAX(1,Q64)-1)*IF(TRIM(N64&amp;"")="111444",10,20))/IF(TRIM(N64&amp;"")="111444",10,20),0))=1,
            300,
            IF(
                MIN(3,ROUNDUP(MAX(0,K64-(MAX(1,Q64)-1)*IF(TRIM(N64&amp;"")="111444",10,20))/IF(TRIM(N64&amp;"")="111444",10,20),0))=2,
                450,
                600
            )
        )
    ),
    ""
)</f>
        <v/>
      </c>
    </row>
    <row r="65" spans="1:22" ht="48.2" customHeight="1" x14ac:dyDescent="0.25">
      <c r="A65" s="17">
        <f>VLOOKUP(C65,[1]Werke!$A$1:$C$168,3,0)</f>
        <v>24</v>
      </c>
      <c r="B65" s="17" t="str">
        <f>VLOOKUP(C65,[1]Werke!$A$1:$C$168,2,0)</f>
        <v>CKS</v>
      </c>
      <c r="C65" s="18" t="s">
        <v>188</v>
      </c>
      <c r="D65" s="17" t="str">
        <f>VLOOKUP(C65,[1]Maliteslimalan!$A$1:$B$210,2,0)</f>
        <v>8000012647</v>
      </c>
      <c r="E65" s="19" t="str">
        <f>VLOOKUP(C65,[1]Bestellnr.!$A$1:$B$174,2,0)</f>
        <v>000006</v>
      </c>
      <c r="F65" s="20" t="str">
        <f>VLOOKUP(G65,$U$1:$V$1730,2,0)</f>
        <v>N   103 402 03</v>
      </c>
      <c r="G65" s="21">
        <v>968867000</v>
      </c>
      <c r="H65" s="17">
        <f>VLOOKUP(G65,Z$2:AA$1905,2,FALSE)</f>
        <v>1.4E-2</v>
      </c>
      <c r="I65" s="20"/>
      <c r="J65" s="17">
        <f>VLOOKUP(G65,W$2:X$1905,2,FALSE)</f>
        <v>1000</v>
      </c>
      <c r="K65" s="17">
        <f>I65/J65</f>
        <v>0</v>
      </c>
      <c r="L65" s="22">
        <v>10</v>
      </c>
      <c r="M65" s="22">
        <v>20</v>
      </c>
      <c r="N65" s="22">
        <v>111444</v>
      </c>
      <c r="O65" s="22" t="str">
        <f>VLOOKUP(N65,$AL$1285:$AM$1310,2,FALSE)</f>
        <v>001006</v>
      </c>
      <c r="P65" s="22">
        <f>VLOOKUP(N65,AC$2:AD$1905,2,FALSE)</f>
        <v>34</v>
      </c>
      <c r="Q65" s="22"/>
      <c r="R65" s="23" t="s">
        <v>153</v>
      </c>
      <c r="S65" s="22">
        <f>VLOOKUP(R65,AC$2:AD$1905,2,FALSE)</f>
        <v>0.56999999999999995</v>
      </c>
      <c r="T65" s="24">
        <f>(H65*I65)+P65*Q65+S65*K65</f>
        <v>0</v>
      </c>
      <c r="U65" s="25">
        <f>IF(TRIM(N65&amp;"")="111444",
    IF(ROUNDUP(MAX(0,K65-(MAX(1,Q65)-1)*10)/10,0)=1,3,2),
    IF(TRIM(N65&amp;"")="VWPAL",
        IF(TRIM(R65&amp;"")="004147",1,2),
        ""
    )
)</f>
        <v>2</v>
      </c>
      <c r="V65" s="26" t="str">
        <f>IF(OR(TRIM(N65&amp;"")="111444",TRIM(N65&amp;"")="VWPAL"),
    IF(K65&lt;=0,"",
        IF(
            MIN(3,ROUNDUP(MAX(0,K65-(MAX(1,Q65)-1)*IF(TRIM(N65&amp;"")="111444",10,20))/IF(TRIM(N65&amp;"")="111444",10,20),0))=1,
            300,
            IF(
                MIN(3,ROUNDUP(MAX(0,K65-(MAX(1,Q65)-1)*IF(TRIM(N65&amp;"")="111444",10,20))/IF(TRIM(N65&amp;"")="111444",10,20),0))=2,
                450,
                600
            )
        )
    ),
    ""
)</f>
        <v/>
      </c>
    </row>
    <row r="66" spans="1:22" ht="48.2" customHeight="1" x14ac:dyDescent="0.25">
      <c r="A66" s="17"/>
      <c r="B66" s="17"/>
      <c r="C66" s="18"/>
      <c r="D66" s="17"/>
      <c r="E66" s="19"/>
      <c r="F66" s="20"/>
      <c r="G66" s="21"/>
      <c r="H66" s="17"/>
      <c r="I66" s="20"/>
      <c r="J66" s="17"/>
      <c r="K66" s="17"/>
      <c r="L66" s="22"/>
      <c r="M66" s="22"/>
      <c r="N66" s="22"/>
      <c r="O66" s="22"/>
      <c r="P66" s="22"/>
      <c r="Q66" s="22"/>
      <c r="R66" s="23"/>
      <c r="S66" s="22"/>
      <c r="T66" s="24"/>
      <c r="U66" s="25"/>
    </row>
    <row r="67" spans="1:22" ht="48.2" customHeight="1" x14ac:dyDescent="0.25">
      <c r="A67" s="17">
        <f>VLOOKUP(C67,[1]Werke!$A$1:$C$168,3,0)</f>
        <v>37</v>
      </c>
      <c r="B67" s="17" t="str">
        <f>VLOOKUP(C67,[1]Werke!$A$1:$C$168,2,0)</f>
        <v>AKL</v>
      </c>
      <c r="C67" s="18" t="s">
        <v>184</v>
      </c>
      <c r="D67" s="17" t="str">
        <f>VLOOKUP(C67,[1]Maliteslimalan!$A$1:$B$210,2,0)</f>
        <v>8000012562</v>
      </c>
      <c r="E67" s="19" t="str">
        <f>VLOOKUP(C67,[1]Bestellnr.!$A$1:$B$174,2,0)</f>
        <v>000006</v>
      </c>
      <c r="F67" s="20" t="str">
        <f>VLOOKUP(G67,$U$1:$V$1730,2,0)</f>
        <v>N   103 443 02</v>
      </c>
      <c r="G67" s="21">
        <v>935287000</v>
      </c>
      <c r="H67" s="17">
        <f>VLOOKUP(G67,Z$2:AA$1905,2,FALSE)</f>
        <v>2.7390000000000001E-2</v>
      </c>
      <c r="I67" s="20"/>
      <c r="J67" s="17" t="str">
        <f>VLOOKUP(G67,W$2:X$1905,2,FALSE)</f>
        <v>360</v>
      </c>
      <c r="K67" s="17">
        <f>I67/J67</f>
        <v>0</v>
      </c>
      <c r="L67" s="22">
        <v>10</v>
      </c>
      <c r="M67" s="22">
        <v>10</v>
      </c>
      <c r="N67" s="22">
        <v>111444</v>
      </c>
      <c r="O67" s="22" t="str">
        <f>VLOOKUP(N67,$AL$1285:$AM$1310,2,FALSE)</f>
        <v>001006</v>
      </c>
      <c r="P67" s="22">
        <f>VLOOKUP(N67,AC$2:AD$1905,2,FALSE)</f>
        <v>34</v>
      </c>
      <c r="Q67" s="22"/>
      <c r="R67" s="23" t="s">
        <v>153</v>
      </c>
      <c r="S67" s="22">
        <f>VLOOKUP(R67,AC$2:AD$1905,2,FALSE)</f>
        <v>0.56999999999999995</v>
      </c>
      <c r="T67" s="24">
        <f>(H67*I67)+P67*Q67+S67*K67</f>
        <v>0</v>
      </c>
      <c r="U67" s="25">
        <f>IF(TRIM(N67&amp;"")="111444",
    IF(ROUNDUP(MAX(0,K67-(MAX(1,Q67)-1)*10)/10,0)=1,3,2),
    IF(TRIM(N67&amp;"")="VWPAL",
        IF(TRIM(R67&amp;"")="004147",1,2),
        ""
    )
)</f>
        <v>2</v>
      </c>
      <c r="V67" s="26" t="str">
        <f>IF(OR(TRIM(N67&amp;"")="111444",TRIM(N67&amp;"")="VWPAL"),
    IF(K67&lt;=0,"",
        IF(
            MIN(3,ROUNDUP(MAX(0,K67-(MAX(1,Q67)-1)*IF(TRIM(N67&amp;"")="111444",10,20))/IF(TRIM(N67&amp;"")="111444",10,20),0))=1,
            300,
            IF(
                MIN(3,ROUNDUP(MAX(0,K67-(MAX(1,Q67)-1)*IF(TRIM(N67&amp;"")="111444",10,20))/IF(TRIM(N67&amp;"")="111444",10,20),0))=2,
                450,
                600
            )
        )
    ),
    ""
)</f>
        <v/>
      </c>
    </row>
    <row r="68" spans="1:22" ht="48.2" customHeight="1" x14ac:dyDescent="0.25">
      <c r="A68" s="17">
        <f>VLOOKUP(C68,[1]Werke!$A$1:$C$168,3,0)</f>
        <v>14</v>
      </c>
      <c r="B68" s="17" t="str">
        <f>VLOOKUP(C68,[1]Werke!$A$1:$C$168,2,0)</f>
        <v>D85</v>
      </c>
      <c r="C68" s="18" t="s">
        <v>204</v>
      </c>
      <c r="D68" s="17" t="str">
        <f>VLOOKUP(C68,[1]Maliteslimalan!$A$1:$B$210,2,0)</f>
        <v>8000012682</v>
      </c>
      <c r="E68" s="19">
        <f>VLOOKUP(C68,[1]Bestellnr.!$A$1:$B$174,2,0)</f>
        <v>0</v>
      </c>
      <c r="F68" s="20" t="str">
        <f>VLOOKUP(G68,$U$1:$V$1730,2,0)</f>
        <v>N   103 443 02</v>
      </c>
      <c r="G68" s="21">
        <v>935287000</v>
      </c>
      <c r="H68" s="17">
        <f>VLOOKUP(G68,Z$2:AA$1905,2,FALSE)</f>
        <v>2.7390000000000001E-2</v>
      </c>
      <c r="I68" s="20"/>
      <c r="J68" s="17" t="str">
        <f>VLOOKUP(G68,W$2:X$1905,2,FALSE)</f>
        <v>360</v>
      </c>
      <c r="K68" s="17">
        <f>I68/J68</f>
        <v>0</v>
      </c>
      <c r="L68" s="22">
        <v>10</v>
      </c>
      <c r="M68" s="22">
        <v>30</v>
      </c>
      <c r="N68" s="22">
        <v>111444</v>
      </c>
      <c r="O68" s="22" t="str">
        <f>VLOOKUP(N68,$AL$1285:$AM$1310,2,FALSE)</f>
        <v>001006</v>
      </c>
      <c r="P68" s="22">
        <f>VLOOKUP(N68,AC$2:AD$1905,2,FALSE)</f>
        <v>34</v>
      </c>
      <c r="Q68" s="22"/>
      <c r="R68" s="23" t="s">
        <v>153</v>
      </c>
      <c r="S68" s="22">
        <f>VLOOKUP(R68,AC$2:AD$1905,2,FALSE)</f>
        <v>0.56999999999999995</v>
      </c>
      <c r="T68" s="24">
        <f>(H68*I68)+P68*Q68+S68*K68</f>
        <v>0</v>
      </c>
      <c r="U68" s="25">
        <f>IF(TRIM(N68&amp;"")="111444",
    IF(ROUNDUP(MAX(0,K68-(MAX(1,Q68)-1)*10)/10,0)=1,3,2),
    IF(TRIM(N68&amp;"")="VWPAL",
        IF(TRIM(R68&amp;"")="004147",1,2),
        ""
    )
)</f>
        <v>2</v>
      </c>
      <c r="V68" s="26" t="str">
        <f>IF(OR(TRIM(N68&amp;"")="111444",TRIM(N68&amp;"")="VWPAL"),
    IF(K68&lt;=0,"",
        IF(
            MIN(3,ROUNDUP(MAX(0,K68-(MAX(1,Q68)-1)*IF(TRIM(N68&amp;"")="111444",10,20))/IF(TRIM(N68&amp;"")="111444",10,20),0))=1,
            300,
            IF(
                MIN(3,ROUNDUP(MAX(0,K68-(MAX(1,Q68)-1)*IF(TRIM(N68&amp;"")="111444",10,20))/IF(TRIM(N68&amp;"")="111444",10,20),0))=2,
                450,
                600
            )
        )
    ),
    ""
)</f>
        <v/>
      </c>
    </row>
    <row r="69" spans="1:22" ht="48.2" customHeight="1" x14ac:dyDescent="0.25">
      <c r="A69" s="17"/>
      <c r="B69" s="17"/>
      <c r="C69" s="18"/>
      <c r="D69" s="17"/>
      <c r="E69" s="19"/>
      <c r="F69" s="20"/>
      <c r="G69" s="21"/>
      <c r="H69" s="17"/>
      <c r="I69" s="20"/>
      <c r="J69" s="17"/>
      <c r="K69" s="17"/>
      <c r="L69" s="22"/>
      <c r="M69" s="22"/>
      <c r="N69" s="22"/>
      <c r="O69" s="22"/>
      <c r="P69" s="22"/>
      <c r="Q69" s="22"/>
      <c r="R69" s="23"/>
      <c r="S69" s="22"/>
      <c r="T69" s="24"/>
      <c r="U69" s="25"/>
    </row>
    <row r="70" spans="1:22" ht="48.2" customHeight="1" x14ac:dyDescent="0.25">
      <c r="A70" s="17">
        <f>VLOOKUP(C70,[1]Werke!$A$1:$C$168,3,0)</f>
        <v>14</v>
      </c>
      <c r="B70" s="17" t="str">
        <f>VLOOKUP(C70,[1]Werke!$A$1:$C$168,2,0)</f>
        <v>D66</v>
      </c>
      <c r="C70" s="18" t="s">
        <v>190</v>
      </c>
      <c r="D70" s="17" t="str">
        <f>VLOOKUP(C70,[1]Maliteslimalan!$A$1:$B$210,2,0)</f>
        <v>8000012561</v>
      </c>
      <c r="E70" s="19">
        <f>VLOOKUP(C70,[1]Bestellnr.!$A$1:$B$174,2,0)</f>
        <v>0</v>
      </c>
      <c r="F70" s="20" t="str">
        <f>VLOOKUP(G70,$U$1:$V$1730,2,0)</f>
        <v>N   104 213 04</v>
      </c>
      <c r="G70" s="21">
        <v>932240000</v>
      </c>
      <c r="H70" s="17">
        <f>VLOOKUP(G70,Z$2:AA$1905,2,FALSE)</f>
        <v>8.1930000000000003E-2</v>
      </c>
      <c r="I70" s="20"/>
      <c r="J70" s="17">
        <v>120</v>
      </c>
      <c r="K70" s="17">
        <f>I70/J70</f>
        <v>0</v>
      </c>
      <c r="L70" s="22">
        <v>10</v>
      </c>
      <c r="M70" s="22">
        <v>10</v>
      </c>
      <c r="N70" s="22" t="s">
        <v>155</v>
      </c>
      <c r="O70" s="22" t="str">
        <f>VLOOKUP(N70,$AL$1285:$AM$1310,2,FALSE)</f>
        <v>001210</v>
      </c>
      <c r="P70" s="22">
        <f>VLOOKUP(N70,AC$2:AD$1905,2,FALSE)</f>
        <v>55</v>
      </c>
      <c r="Q70" s="22"/>
      <c r="R70" s="23" t="s">
        <v>175</v>
      </c>
      <c r="S70" s="22">
        <f>VLOOKUP(R70,AC$2:AD$1905,2,FALSE)</f>
        <v>1.08</v>
      </c>
      <c r="T70" s="24">
        <f>(H70*I70)+P70*Q70+S70*K70</f>
        <v>0</v>
      </c>
      <c r="U70" s="25">
        <f>IF(TRIM(N70&amp;"")="111444",
    IF(ROUNDUP(MAX(0,K70-(MAX(1,Q70)-1)*10)/10,0)=1,3,2),
    IF(TRIM(N70&amp;"")="VWPAL",
        IF(TRIM(R70&amp;"")="004147",1,2),
        ""
    )
)</f>
        <v>1</v>
      </c>
      <c r="V70" s="26" t="str">
        <f>IF(OR(TRIM(N70&amp;"")="111444",TRIM(N70&amp;"")="VWPAL"),
    IF(K70&lt;=0,"",
        IF(
            MIN(3,ROUNDUP(MAX(0,K70-(MAX(1,Q70)-1)*IF(TRIM(N70&amp;"")="111444",10,20))/IF(TRIM(N70&amp;"")="111444",10,20),0))=1,
            300,
            IF(
                MIN(3,ROUNDUP(MAX(0,K70-(MAX(1,Q70)-1)*IF(TRIM(N70&amp;"")="111444",10,20))/IF(TRIM(N70&amp;"")="111444",10,20),0))=2,
                450,
                600
            )
        )
    ),
    ""
)</f>
        <v/>
      </c>
    </row>
    <row r="71" spans="1:22" ht="48.2" customHeight="1" x14ac:dyDescent="0.25">
      <c r="A71" s="17"/>
      <c r="B71" s="17"/>
      <c r="C71" s="18"/>
      <c r="D71" s="17"/>
      <c r="E71" s="19"/>
      <c r="F71" s="20"/>
      <c r="G71" s="21"/>
      <c r="H71" s="17"/>
      <c r="I71" s="20"/>
      <c r="J71" s="17"/>
      <c r="K71" s="17"/>
      <c r="L71" s="22"/>
      <c r="M71" s="22"/>
      <c r="N71" s="22"/>
      <c r="O71" s="22"/>
      <c r="P71" s="22"/>
      <c r="Q71" s="22"/>
      <c r="R71" s="23"/>
      <c r="S71" s="22"/>
      <c r="T71" s="24"/>
      <c r="U71" s="25"/>
    </row>
    <row r="72" spans="1:22" ht="48.2" customHeight="1" x14ac:dyDescent="0.25">
      <c r="A72" s="17">
        <f>VLOOKUP(C72,[1]Werke!$A$1:$C$168,3,0)</f>
        <v>34</v>
      </c>
      <c r="B72" s="17" t="str">
        <f>VLOOKUP(C72,[1]Werke!$A$1:$C$168,2,0)</f>
        <v>01</v>
      </c>
      <c r="C72" s="18" t="s">
        <v>176</v>
      </c>
      <c r="D72" s="17" t="str">
        <f>VLOOKUP(C72,[1]Maliteslimalan!$A$1:$B$210,2,0)</f>
        <v>8000012622</v>
      </c>
      <c r="E72" s="19">
        <f>VLOOKUP(C72,[1]Bestellnr.!$A$1:$B$174,2,0)</f>
        <v>0</v>
      </c>
      <c r="F72" s="20" t="str">
        <f>VLOOKUP(G72,$U$1:$V$1730,2,0)</f>
        <v>N   104 748 03</v>
      </c>
      <c r="G72" s="21">
        <v>969060000</v>
      </c>
      <c r="H72" s="17">
        <f>VLOOKUP(G72,Z$2:AA$1905,2,FALSE)</f>
        <v>2.0899999999999998E-2</v>
      </c>
      <c r="I72" s="20"/>
      <c r="J72" s="17">
        <f>VLOOKUP(G72,W$2:X$1905,2,FALSE)</f>
        <v>600</v>
      </c>
      <c r="K72" s="17">
        <f>I72/J72</f>
        <v>0</v>
      </c>
      <c r="L72" s="22">
        <v>10</v>
      </c>
      <c r="M72" s="22">
        <v>30</v>
      </c>
      <c r="N72" s="22">
        <v>111444</v>
      </c>
      <c r="O72" s="22" t="str">
        <f>VLOOKUP(N72,$AL$1285:$AM$1310,2,FALSE)</f>
        <v>001006</v>
      </c>
      <c r="P72" s="22">
        <f>VLOOKUP(N72,AC$2:AD$1905,2,FALSE)</f>
        <v>34</v>
      </c>
      <c r="Q72" s="22"/>
      <c r="R72" s="23" t="s">
        <v>153</v>
      </c>
      <c r="S72" s="22">
        <f>VLOOKUP(R72,AC$2:AD$1905,2,FALSE)</f>
        <v>0.56999999999999995</v>
      </c>
      <c r="T72" s="24">
        <f>(H72*I72)+P72*Q72+S72*K72</f>
        <v>0</v>
      </c>
      <c r="U72" s="25">
        <f>IF(TRIM(N72&amp;"")="111444",
    IF(ROUNDUP(MAX(0,K72-(MAX(1,Q72)-1)*10)/10,0)=1,3,2),
    IF(TRIM(N72&amp;"")="VWPAL",
        IF(TRIM(R72&amp;"")="004147",1,2),
        ""
    )
)</f>
        <v>2</v>
      </c>
      <c r="V72" s="26" t="str">
        <f>IF(OR(TRIM(N72&amp;"")="111444",TRIM(N72&amp;"")="VWPAL"),
    IF(K72&lt;=0,"",
        IF(
            MIN(3,ROUNDUP(MAX(0,K72-(MAX(1,Q72)-1)*IF(TRIM(N72&amp;"")="111444",10,20))/IF(TRIM(N72&amp;"")="111444",10,20),0))=1,
            300,
            IF(
                MIN(3,ROUNDUP(MAX(0,K72-(MAX(1,Q72)-1)*IF(TRIM(N72&amp;"")="111444",10,20))/IF(TRIM(N72&amp;"")="111444",10,20),0))=2,
                450,
                600
            )
        )
    ),
    ""
)</f>
        <v/>
      </c>
    </row>
    <row r="73" spans="1:22" ht="48.2" customHeight="1" x14ac:dyDescent="0.25">
      <c r="A73" s="17">
        <f>VLOOKUP(C73,[1]Werke!$A$1:$C$168,3,0)</f>
        <v>17</v>
      </c>
      <c r="B73" s="17" t="str">
        <f>VLOOKUP(C73,[1]Werke!$A$1:$C$168,2,0)</f>
        <v>H2B</v>
      </c>
      <c r="C73" s="20" t="s">
        <v>192</v>
      </c>
      <c r="D73" s="17" t="str">
        <f>VLOOKUP(C73,[1]Maliteslimalan!$A$1:$B$210,2,0)</f>
        <v>8000012624</v>
      </c>
      <c r="E73" s="19" t="str">
        <f>VLOOKUP(C73,[1]Bestellnr.!$A$1:$B$174,2,0)</f>
        <v>000006</v>
      </c>
      <c r="F73" s="20" t="str">
        <f>VLOOKUP(G73,$U$1:$V$1730,2,0)</f>
        <v>N   104 748 03</v>
      </c>
      <c r="G73" s="21">
        <v>969060000</v>
      </c>
      <c r="H73" s="17">
        <f>VLOOKUP(G73,Z$2:AA$1905,2,FALSE)</f>
        <v>2.0899999999999998E-2</v>
      </c>
      <c r="I73" s="20"/>
      <c r="J73" s="17">
        <f>VLOOKUP(G73,W$2:X$1905,2,FALSE)</f>
        <v>600</v>
      </c>
      <c r="K73" s="17">
        <f>I73/J73</f>
        <v>0</v>
      </c>
      <c r="L73" s="22">
        <v>10</v>
      </c>
      <c r="M73" s="22">
        <v>10</v>
      </c>
      <c r="N73" s="22">
        <v>111444</v>
      </c>
      <c r="O73" s="22" t="str">
        <f>VLOOKUP(N73,$AL$1285:$AM$1310,2,FALSE)</f>
        <v>001006</v>
      </c>
      <c r="P73" s="22">
        <f>VLOOKUP(N73,AC$2:AD$1905,2,FALSE)</f>
        <v>34</v>
      </c>
      <c r="Q73" s="22"/>
      <c r="R73" s="23" t="s">
        <v>153</v>
      </c>
      <c r="S73" s="22">
        <f>VLOOKUP(R73,AC$2:AD$1905,2,FALSE)</f>
        <v>0.56999999999999995</v>
      </c>
      <c r="T73" s="24">
        <f>(H73*I73)+P73*Q73+S73*K73</f>
        <v>0</v>
      </c>
      <c r="U73" s="25">
        <f>IF(TRIM(N73&amp;"")="111444",
    IF(ROUNDUP(MAX(0,K73-(MAX(1,Q73)-1)*10)/10,0)=1,3,2),
    IF(TRIM(N73&amp;"")="VWPAL",
        IF(TRIM(R73&amp;"")="004147",1,2),
        ""
    )
)</f>
        <v>2</v>
      </c>
      <c r="V73" s="26" t="str">
        <f>IF(OR(TRIM(N73&amp;"")="111444",TRIM(N73&amp;"")="VWPAL"),
    IF(K73&lt;=0,"",
        IF(
            MIN(3,ROUNDUP(MAX(0,K73-(MAX(1,Q73)-1)*IF(TRIM(N73&amp;"")="111444",10,20))/IF(TRIM(N73&amp;"")="111444",10,20),0))=1,
            300,
            IF(
                MIN(3,ROUNDUP(MAX(0,K73-(MAX(1,Q73)-1)*IF(TRIM(N73&amp;"")="111444",10,20))/IF(TRIM(N73&amp;"")="111444",10,20),0))=2,
                450,
                600
            )
        )
    ),
    ""
)</f>
        <v/>
      </c>
    </row>
    <row r="74" spans="1:22" ht="48.2" customHeight="1" x14ac:dyDescent="0.25">
      <c r="A74" s="17">
        <f>VLOOKUP(C74,[1]Werke!$A$1:$C$168,3,0)</f>
        <v>14</v>
      </c>
      <c r="B74" s="17" t="str">
        <f>VLOOKUP(C74,[1]Werke!$A$1:$C$168,2,0)</f>
        <v>D86</v>
      </c>
      <c r="C74" s="18" t="s">
        <v>205</v>
      </c>
      <c r="D74" s="17" t="str">
        <f>VLOOKUP(C74,[1]Maliteslimalan!$A$1:$B$210,2,0)</f>
        <v>8000012642</v>
      </c>
      <c r="E74" s="19">
        <f>VLOOKUP(C74,[1]Bestellnr.!$A$1:$B$174,2,0)</f>
        <v>0</v>
      </c>
      <c r="F74" s="20" t="str">
        <f>VLOOKUP(G74,$U$1:$V$1730,2,0)</f>
        <v>N   104 748 03</v>
      </c>
      <c r="G74" s="21">
        <v>969060000</v>
      </c>
      <c r="H74" s="17">
        <f>VLOOKUP(G74,Z$2:AA$1905,2,FALSE)</f>
        <v>2.0899999999999998E-2</v>
      </c>
      <c r="I74" s="20"/>
      <c r="J74" s="17">
        <f>VLOOKUP(G74,W$2:X$1905,2,FALSE)</f>
        <v>600</v>
      </c>
      <c r="K74" s="17">
        <f>I74/J74</f>
        <v>0</v>
      </c>
      <c r="L74" s="22">
        <v>10</v>
      </c>
      <c r="M74" s="22">
        <v>30</v>
      </c>
      <c r="N74" s="22">
        <v>111444</v>
      </c>
      <c r="O74" s="22" t="str">
        <f>VLOOKUP(N74,$AL$1285:$AM$1310,2,FALSE)</f>
        <v>001006</v>
      </c>
      <c r="P74" s="22">
        <f>VLOOKUP(N74,AC$2:AD$1905,2,FALSE)</f>
        <v>34</v>
      </c>
      <c r="Q74" s="22"/>
      <c r="R74" s="23" t="s">
        <v>153</v>
      </c>
      <c r="S74" s="22">
        <f>VLOOKUP(R74,AC$2:AD$1905,2,FALSE)</f>
        <v>0.56999999999999995</v>
      </c>
      <c r="T74" s="24">
        <f>(H74*I74)+P74*Q74+S74*K74</f>
        <v>0</v>
      </c>
      <c r="U74" s="25">
        <f>IF(TRIM(N74&amp;"")="111444",
    IF(ROUNDUP(MAX(0,K74-(MAX(1,Q74)-1)*10)/10,0)=1,3,2),
    IF(TRIM(N74&amp;"")="VWPAL",
        IF(TRIM(R74&amp;"")="004147",1,2),
        ""
    )
)</f>
        <v>2</v>
      </c>
      <c r="V74" s="26" t="str">
        <f>IF(OR(TRIM(N74&amp;"")="111444",TRIM(N74&amp;"")="VWPAL"),
    IF(K74&lt;=0,"",
        IF(
            MIN(3,ROUNDUP(MAX(0,K74-(MAX(1,Q74)-1)*IF(TRIM(N74&amp;"")="111444",10,20))/IF(TRIM(N74&amp;"")="111444",10,20),0))=1,
            300,
            IF(
                MIN(3,ROUNDUP(MAX(0,K74-(MAX(1,Q74)-1)*IF(TRIM(N74&amp;"")="111444",10,20))/IF(TRIM(N74&amp;"")="111444",10,20),0))=2,
                450,
                600
            )
        )
    ),
    ""
)</f>
        <v/>
      </c>
    </row>
    <row r="75" spans="1:22" ht="48.2" customHeight="1" x14ac:dyDescent="0.25">
      <c r="A75" s="17"/>
      <c r="B75" s="17"/>
      <c r="C75" s="18"/>
      <c r="D75" s="17"/>
      <c r="E75" s="19"/>
      <c r="F75" s="20"/>
      <c r="G75" s="21"/>
      <c r="H75" s="17"/>
      <c r="I75" s="20"/>
      <c r="J75" s="17"/>
      <c r="K75" s="17"/>
      <c r="L75" s="22"/>
      <c r="M75" s="22"/>
      <c r="N75" s="22"/>
      <c r="O75" s="22"/>
      <c r="P75" s="22"/>
      <c r="Q75" s="22"/>
      <c r="R75" s="23"/>
      <c r="S75" s="22"/>
      <c r="T75" s="24"/>
      <c r="U75" s="25"/>
    </row>
    <row r="76" spans="1:22" ht="48.2" customHeight="1" x14ac:dyDescent="0.25">
      <c r="A76" s="17">
        <f>VLOOKUP(C76,[1]Werke!$A$1:$C$168,3,0)</f>
        <v>14</v>
      </c>
      <c r="B76" s="17" t="str">
        <f>VLOOKUP(C76,[1]Werke!$A$1:$C$168,2,0)</f>
        <v>D66</v>
      </c>
      <c r="C76" s="18" t="s">
        <v>190</v>
      </c>
      <c r="D76" s="17" t="str">
        <f>VLOOKUP(C76,[1]Maliteslimalan!$A$1:$B$210,2,0)</f>
        <v>8000012561</v>
      </c>
      <c r="E76" s="19">
        <f>VLOOKUP(C76,[1]Bestellnr.!$A$1:$B$174,2,0)</f>
        <v>0</v>
      </c>
      <c r="F76" s="20" t="str">
        <f>VLOOKUP(G76,$U$1:$V$1730,2,0)</f>
        <v>N   105 232 01</v>
      </c>
      <c r="G76" s="21">
        <v>925949000</v>
      </c>
      <c r="H76" s="17">
        <f>VLOOKUP(G76,Z$2:AA$1905,2,FALSE)</f>
        <v>0.1704</v>
      </c>
      <c r="I76" s="20"/>
      <c r="J76" s="17">
        <f>VLOOKUP(G76,W$2:X$1905,2,FALSE)</f>
        <v>50</v>
      </c>
      <c r="K76" s="17">
        <f>I76/J76</f>
        <v>0</v>
      </c>
      <c r="L76" s="22">
        <v>10</v>
      </c>
      <c r="M76" s="22">
        <v>30</v>
      </c>
      <c r="N76" s="22">
        <v>111444</v>
      </c>
      <c r="O76" s="22" t="str">
        <f>VLOOKUP(N76,$AL$1285:$AM$1310,2,FALSE)</f>
        <v>001006</v>
      </c>
      <c r="P76" s="22">
        <f>VLOOKUP(N76,AC$2:AD$1905,2,FALSE)</f>
        <v>34</v>
      </c>
      <c r="Q76" s="22"/>
      <c r="R76" s="23" t="s">
        <v>153</v>
      </c>
      <c r="S76" s="22">
        <f>VLOOKUP(R76,AC$2:AD$1905,2,FALSE)</f>
        <v>0.56999999999999995</v>
      </c>
      <c r="T76" s="24">
        <f>(H76*I76)+P76*Q76+S76*K76</f>
        <v>0</v>
      </c>
      <c r="U76" s="25">
        <f>IF(TRIM(N76&amp;"")="111444",
    IF(ROUNDUP(MAX(0,K76-(MAX(1,Q76)-1)*10)/10,0)=1,3,2),
    IF(TRIM(N76&amp;"")="VWPAL",
        IF(TRIM(R76&amp;"")="004147",1,2),
        ""
    )
)</f>
        <v>2</v>
      </c>
      <c r="V76" s="26" t="str">
        <f>IF(OR(TRIM(N76&amp;"")="111444",TRIM(N76&amp;"")="VWPAL"),
    IF(K76&lt;=0,"",
        IF(
            MIN(3,ROUNDUP(MAX(0,K76-(MAX(1,Q76)-1)*IF(TRIM(N76&amp;"")="111444",10,20))/IF(TRIM(N76&amp;"")="111444",10,20),0))=1,
            300,
            IF(
                MIN(3,ROUNDUP(MAX(0,K76-(MAX(1,Q76)-1)*IF(TRIM(N76&amp;"")="111444",10,20))/IF(TRIM(N76&amp;"")="111444",10,20),0))=2,
                450,
                600
            )
        )
    ),
    ""
)</f>
        <v/>
      </c>
    </row>
    <row r="77" spans="1:22" ht="48.2" customHeight="1" x14ac:dyDescent="0.25">
      <c r="A77" s="17"/>
      <c r="B77" s="17"/>
      <c r="C77" s="18"/>
      <c r="D77" s="17"/>
      <c r="E77" s="19"/>
      <c r="F77" s="20"/>
      <c r="G77" s="21"/>
      <c r="H77" s="17"/>
      <c r="I77" s="20"/>
      <c r="J77" s="17"/>
      <c r="K77" s="17"/>
      <c r="L77" s="22"/>
      <c r="M77" s="22"/>
      <c r="N77" s="22"/>
      <c r="O77" s="22"/>
      <c r="P77" s="22"/>
      <c r="Q77" s="22"/>
      <c r="R77" s="23"/>
      <c r="S77" s="22"/>
      <c r="T77" s="24"/>
      <c r="U77" s="25"/>
    </row>
    <row r="78" spans="1:22" ht="48" customHeight="1" x14ac:dyDescent="0.25">
      <c r="A78" s="17">
        <f>VLOOKUP(C78,[1]Werke!$A$1:$C$168,3,0)</f>
        <v>21</v>
      </c>
      <c r="B78" s="17" t="str">
        <f>VLOOKUP(C78,[1]Werke!$A$1:$C$168,2,0)</f>
        <v>GZD</v>
      </c>
      <c r="C78" s="18" t="s">
        <v>154</v>
      </c>
      <c r="D78" s="17" t="str">
        <f>VLOOKUP(C78,[1]Maliteslimalan!$A$1:$B$210,2,0)</f>
        <v>8000012572</v>
      </c>
      <c r="E78" s="19" t="str">
        <f>VLOOKUP(C78,[1]Bestellnr.!$A$1:$B$174,2,0)</f>
        <v>000006</v>
      </c>
      <c r="F78" s="20" t="str">
        <f t="shared" ref="F78:F96" si="41">VLOOKUP(G78,$U$1:$V$1730,2,0)</f>
        <v>N   105 695 01</v>
      </c>
      <c r="G78" s="21">
        <v>923520000</v>
      </c>
      <c r="H78" s="17">
        <f t="shared" ref="H78:H96" si="42">VLOOKUP(G78,Z$2:AA$1905,2,FALSE)</f>
        <v>4.2599999999999999E-3</v>
      </c>
      <c r="I78" s="20"/>
      <c r="J78" s="17">
        <f t="shared" ref="J78:J89" si="43">VLOOKUP(G78,W$2:X$1905,2,FALSE)</f>
        <v>3500</v>
      </c>
      <c r="K78" s="17">
        <f t="shared" ref="K78:K96" si="44">I78/J78</f>
        <v>0</v>
      </c>
      <c r="L78" s="22">
        <v>20</v>
      </c>
      <c r="M78" s="22">
        <v>20</v>
      </c>
      <c r="N78" s="22" t="s">
        <v>155</v>
      </c>
      <c r="O78" s="22" t="str">
        <f t="shared" ref="O78:O96" si="45">VLOOKUP(N78,$AL$1285:$AM$1310,2,FALSE)</f>
        <v>001210</v>
      </c>
      <c r="P78" s="22">
        <f t="shared" ref="P78:P96" si="46">VLOOKUP(N78,AC$2:AD$1905,2,FALSE)</f>
        <v>55</v>
      </c>
      <c r="Q78" s="22"/>
      <c r="R78" s="23" t="s">
        <v>153</v>
      </c>
      <c r="S78" s="22">
        <f t="shared" ref="S78:S96" si="47">VLOOKUP(R78,AC$2:AD$1905,2,FALSE)</f>
        <v>0.56999999999999995</v>
      </c>
      <c r="T78" s="24">
        <f t="shared" ref="T78:T96" si="48">(H78*I78)+P78*Q78+S78*K78</f>
        <v>0</v>
      </c>
      <c r="U78" s="25">
        <f t="shared" ref="U78:U96" si="49">IF(TRIM(N78&amp;"")="111444",
    IF(ROUNDUP(MAX(0,K78-(MAX(1,Q78)-1)*10)/10,0)=1,3,2),
    IF(TRIM(N78&amp;"")="VWPAL",
        IF(TRIM(R78&amp;"")="004147",1,2),
        ""
    )
)</f>
        <v>2</v>
      </c>
      <c r="V78" s="26" t="str">
        <f t="shared" ref="V78:V96" si="50">IF(OR(TRIM(N78&amp;"")="111444",TRIM(N78&amp;"")="VWPAL"),
    IF(K78&lt;=0,"",
        IF(
            MIN(3,ROUNDUP(MAX(0,K78-(MAX(1,Q78)-1)*IF(TRIM(N78&amp;"")="111444",10,20))/IF(TRIM(N78&amp;"")="111444",10,20),0))=1,
            300,
            IF(
                MIN(3,ROUNDUP(MAX(0,K78-(MAX(1,Q78)-1)*IF(TRIM(N78&amp;"")="111444",10,20))/IF(TRIM(N78&amp;"")="111444",10,20),0))=2,
                450,
                600
            )
        )
    ),
    ""
)</f>
        <v/>
      </c>
    </row>
    <row r="79" spans="1:22" ht="48" customHeight="1" x14ac:dyDescent="0.25">
      <c r="A79" s="17">
        <f>VLOOKUP(C79,[1]Werke!$A$1:$C$168,3,0)</f>
        <v>24</v>
      </c>
      <c r="B79" s="17" t="str">
        <f>VLOOKUP(C79,[1]Werke!$A$1:$C$168,2,0)</f>
        <v>CKH</v>
      </c>
      <c r="C79" s="18" t="s">
        <v>195</v>
      </c>
      <c r="D79" s="17">
        <f>VLOOKUP(C79,[1]Maliteslimalan!$A$1:$B$210,2,0)</f>
        <v>8000013551</v>
      </c>
      <c r="E79" s="19">
        <v>6</v>
      </c>
      <c r="F79" s="20" t="str">
        <f t="shared" si="41"/>
        <v>N   105 695 01</v>
      </c>
      <c r="G79" s="21">
        <v>923520000</v>
      </c>
      <c r="H79" s="17">
        <f t="shared" si="42"/>
        <v>4.2599999999999999E-3</v>
      </c>
      <c r="I79" s="20"/>
      <c r="J79" s="17">
        <f t="shared" si="43"/>
        <v>3500</v>
      </c>
      <c r="K79" s="17">
        <f t="shared" si="44"/>
        <v>0</v>
      </c>
      <c r="L79" s="22">
        <v>10</v>
      </c>
      <c r="M79" s="22">
        <v>30</v>
      </c>
      <c r="N79" s="22">
        <v>111444</v>
      </c>
      <c r="O79" s="22" t="str">
        <f t="shared" si="45"/>
        <v>001006</v>
      </c>
      <c r="P79" s="22">
        <f t="shared" si="46"/>
        <v>34</v>
      </c>
      <c r="Q79" s="22"/>
      <c r="R79" s="23" t="s">
        <v>153</v>
      </c>
      <c r="S79" s="22">
        <f t="shared" si="47"/>
        <v>0.56999999999999995</v>
      </c>
      <c r="T79" s="24">
        <f t="shared" si="48"/>
        <v>0</v>
      </c>
      <c r="U79" s="25">
        <f t="shared" si="49"/>
        <v>2</v>
      </c>
      <c r="V79" s="26" t="str">
        <f t="shared" si="50"/>
        <v/>
      </c>
    </row>
    <row r="80" spans="1:22" ht="48" customHeight="1" x14ac:dyDescent="0.25">
      <c r="A80" s="17">
        <f>VLOOKUP(C80,[1]Werke!$A$1:$C$168,3,0)</f>
        <v>31</v>
      </c>
      <c r="B80" s="17" t="str">
        <f>VLOOKUP(C80,[1]Werke!$A$1:$C$168,2,0)</f>
        <v>BH7</v>
      </c>
      <c r="C80" s="18" t="s">
        <v>186</v>
      </c>
      <c r="D80" s="17">
        <f>VLOOKUP(C80,[1]Maliteslimalan!$A$1:$B$210,2,0)</f>
        <v>8000015577</v>
      </c>
      <c r="E80" s="19">
        <v>6</v>
      </c>
      <c r="F80" s="20" t="str">
        <f t="shared" si="41"/>
        <v>N   105 695 01</v>
      </c>
      <c r="G80" s="21">
        <v>923520000</v>
      </c>
      <c r="H80" s="17">
        <f t="shared" si="42"/>
        <v>4.2599999999999999E-3</v>
      </c>
      <c r="I80" s="20"/>
      <c r="J80" s="17">
        <f t="shared" si="43"/>
        <v>3500</v>
      </c>
      <c r="K80" s="17">
        <f t="shared" si="44"/>
        <v>0</v>
      </c>
      <c r="L80" s="22">
        <v>10</v>
      </c>
      <c r="M80" s="22">
        <v>30</v>
      </c>
      <c r="N80" s="22">
        <v>111444</v>
      </c>
      <c r="O80" s="22" t="str">
        <f t="shared" si="45"/>
        <v>001006</v>
      </c>
      <c r="P80" s="22">
        <f t="shared" si="46"/>
        <v>34</v>
      </c>
      <c r="Q80" s="22"/>
      <c r="R80" s="23" t="s">
        <v>153</v>
      </c>
      <c r="S80" s="22">
        <f t="shared" si="47"/>
        <v>0.56999999999999995</v>
      </c>
      <c r="T80" s="24">
        <f t="shared" si="48"/>
        <v>0</v>
      </c>
      <c r="U80" s="25">
        <f t="shared" si="49"/>
        <v>2</v>
      </c>
      <c r="V80" s="26" t="str">
        <f t="shared" si="50"/>
        <v/>
      </c>
    </row>
    <row r="81" spans="1:22" ht="48" customHeight="1" x14ac:dyDescent="0.25">
      <c r="A81" s="17">
        <f>VLOOKUP(C81,[1]Werke!$A$1:$C$168,3,0)</f>
        <v>49</v>
      </c>
      <c r="B81" s="17" t="str">
        <f>VLOOKUP(C81,[1]Werke!$A$1:$C$168,2,0)</f>
        <v>CT</v>
      </c>
      <c r="C81" s="18" t="s">
        <v>206</v>
      </c>
      <c r="D81" s="17" t="str">
        <f>VLOOKUP(C81,[1]Maliteslimalan!$A$1:$B$210,2,0)</f>
        <v>8000012574</v>
      </c>
      <c r="E81" s="19" t="str">
        <f>VLOOKUP(C81,[1]Bestellnr.!$A$1:$B$174,2,0)</f>
        <v>000001</v>
      </c>
      <c r="F81" s="20" t="str">
        <f t="shared" si="41"/>
        <v>N   105 695 01</v>
      </c>
      <c r="G81" s="21">
        <v>923520000</v>
      </c>
      <c r="H81" s="17">
        <f t="shared" si="42"/>
        <v>4.2599999999999999E-3</v>
      </c>
      <c r="I81" s="20"/>
      <c r="J81" s="17">
        <f t="shared" si="43"/>
        <v>3500</v>
      </c>
      <c r="K81" s="17">
        <f t="shared" si="44"/>
        <v>0</v>
      </c>
      <c r="L81" s="22">
        <v>10</v>
      </c>
      <c r="M81" s="22">
        <v>10</v>
      </c>
      <c r="N81" s="22">
        <v>111444</v>
      </c>
      <c r="O81" s="22" t="str">
        <f t="shared" si="45"/>
        <v>001006</v>
      </c>
      <c r="P81" s="22">
        <f t="shared" si="46"/>
        <v>34</v>
      </c>
      <c r="Q81" s="22"/>
      <c r="R81" s="23" t="s">
        <v>153</v>
      </c>
      <c r="S81" s="22">
        <f t="shared" si="47"/>
        <v>0.56999999999999995</v>
      </c>
      <c r="T81" s="24">
        <f t="shared" si="48"/>
        <v>0</v>
      </c>
      <c r="U81" s="25">
        <f t="shared" si="49"/>
        <v>2</v>
      </c>
      <c r="V81" s="26" t="str">
        <f t="shared" si="50"/>
        <v/>
      </c>
    </row>
    <row r="82" spans="1:22" ht="48" customHeight="1" x14ac:dyDescent="0.25">
      <c r="A82" s="17" t="str">
        <f>VLOOKUP(C82,[1]Werke!$A$1:$C$168,3,0)</f>
        <v>IM</v>
      </c>
      <c r="B82" s="17">
        <f>VLOOKUP(C82,[1]Werke!$A$1:$C$168,2,0)</f>
        <v>889</v>
      </c>
      <c r="C82" s="18" t="s">
        <v>197</v>
      </c>
      <c r="D82" s="17">
        <f>VLOOKUP(C82,[1]Maliteslimalan!$A$1:$B$210,2,0)</f>
        <v>8000017117</v>
      </c>
      <c r="E82" s="19">
        <v>6</v>
      </c>
      <c r="F82" s="20" t="str">
        <f t="shared" si="41"/>
        <v>N   105 695 01</v>
      </c>
      <c r="G82" s="21">
        <v>923520000</v>
      </c>
      <c r="H82" s="17">
        <f t="shared" si="42"/>
        <v>4.2599999999999999E-3</v>
      </c>
      <c r="I82" s="20"/>
      <c r="J82" s="17">
        <f t="shared" si="43"/>
        <v>3500</v>
      </c>
      <c r="K82" s="17">
        <f t="shared" si="44"/>
        <v>0</v>
      </c>
      <c r="L82" s="22">
        <v>10</v>
      </c>
      <c r="M82" s="22">
        <v>30</v>
      </c>
      <c r="N82" s="22">
        <v>111444</v>
      </c>
      <c r="O82" s="22" t="str">
        <f t="shared" si="45"/>
        <v>001006</v>
      </c>
      <c r="P82" s="22">
        <f t="shared" si="46"/>
        <v>34</v>
      </c>
      <c r="Q82" s="22"/>
      <c r="R82" s="23" t="s">
        <v>153</v>
      </c>
      <c r="S82" s="22">
        <f t="shared" si="47"/>
        <v>0.56999999999999995</v>
      </c>
      <c r="T82" s="24">
        <f t="shared" si="48"/>
        <v>0</v>
      </c>
      <c r="U82" s="25">
        <f t="shared" si="49"/>
        <v>2</v>
      </c>
      <c r="V82" s="26" t="str">
        <f t="shared" si="50"/>
        <v/>
      </c>
    </row>
    <row r="83" spans="1:22" ht="48" customHeight="1" x14ac:dyDescent="0.25">
      <c r="A83" s="17" t="str">
        <f>VLOOKUP(C83,[1]Werke!$A$1:$C$168,3,0)</f>
        <v>LD</v>
      </c>
      <c r="B83" s="17" t="str">
        <f>VLOOKUP(C83,[1]Werke!$A$1:$C$168,2,0)</f>
        <v>SLD</v>
      </c>
      <c r="C83" s="18">
        <v>83630</v>
      </c>
      <c r="D83" s="17" t="str">
        <f>VLOOKUP(C83,[1]Maliteslimalan!$A$1:$B$210,2,0)</f>
        <v>8000012862</v>
      </c>
      <c r="E83" s="19" t="str">
        <f>VLOOKUP(C83,[1]Bestellnr.!$A$1:$B$174,2,0)</f>
        <v>000006</v>
      </c>
      <c r="F83" s="20" t="str">
        <f t="shared" si="41"/>
        <v>N   105 695 01</v>
      </c>
      <c r="G83" s="21">
        <v>923520000</v>
      </c>
      <c r="H83" s="17">
        <f t="shared" si="42"/>
        <v>4.2599999999999999E-3</v>
      </c>
      <c r="I83" s="20"/>
      <c r="J83" s="17">
        <f t="shared" si="43"/>
        <v>3500</v>
      </c>
      <c r="K83" s="17">
        <f t="shared" si="44"/>
        <v>0</v>
      </c>
      <c r="L83" s="22">
        <v>10</v>
      </c>
      <c r="M83" s="22">
        <v>30</v>
      </c>
      <c r="N83" s="22">
        <v>111444</v>
      </c>
      <c r="O83" s="22" t="str">
        <f t="shared" si="45"/>
        <v>001006</v>
      </c>
      <c r="P83" s="22">
        <f t="shared" si="46"/>
        <v>34</v>
      </c>
      <c r="Q83" s="22"/>
      <c r="R83" s="23" t="s">
        <v>153</v>
      </c>
      <c r="S83" s="22">
        <f t="shared" si="47"/>
        <v>0.56999999999999995</v>
      </c>
      <c r="T83" s="24">
        <f t="shared" si="48"/>
        <v>0</v>
      </c>
      <c r="U83" s="25">
        <f t="shared" si="49"/>
        <v>2</v>
      </c>
      <c r="V83" s="26" t="str">
        <f t="shared" si="50"/>
        <v/>
      </c>
    </row>
    <row r="84" spans="1:22" ht="48" customHeight="1" x14ac:dyDescent="0.25">
      <c r="A84" s="17" t="str">
        <f>VLOOKUP(C84,[1]Werke!$A$1:$C$168,3,0)</f>
        <v>16D</v>
      </c>
      <c r="B84" s="17">
        <f>VLOOKUP(C84,[1]Werke!$A$1:$C$168,2,0)</f>
        <v>210</v>
      </c>
      <c r="C84" s="18" t="s">
        <v>182</v>
      </c>
      <c r="D84" s="17" t="str">
        <f>VLOOKUP(C84,[1]Maliteslimalan!$A$1:$B$210,2,0)</f>
        <v>8000012565</v>
      </c>
      <c r="E84" s="19">
        <f>VLOOKUP(C84,[1]Bestellnr.!$A$1:$B$174,2,0)</f>
        <v>0</v>
      </c>
      <c r="F84" s="20" t="str">
        <f t="shared" si="41"/>
        <v>N   105 695 01</v>
      </c>
      <c r="G84" s="21">
        <v>923520000</v>
      </c>
      <c r="H84" s="17">
        <f t="shared" si="42"/>
        <v>4.2599999999999999E-3</v>
      </c>
      <c r="I84" s="20"/>
      <c r="J84" s="17">
        <f t="shared" si="43"/>
        <v>3500</v>
      </c>
      <c r="K84" s="17">
        <f t="shared" si="44"/>
        <v>0</v>
      </c>
      <c r="L84" s="22">
        <v>10</v>
      </c>
      <c r="M84" s="22">
        <v>30</v>
      </c>
      <c r="N84" s="22">
        <v>111444</v>
      </c>
      <c r="O84" s="22" t="str">
        <f t="shared" si="45"/>
        <v>001006</v>
      </c>
      <c r="P84" s="22">
        <f t="shared" si="46"/>
        <v>34</v>
      </c>
      <c r="Q84" s="22"/>
      <c r="R84" s="23" t="s">
        <v>153</v>
      </c>
      <c r="S84" s="22">
        <f t="shared" si="47"/>
        <v>0.56999999999999995</v>
      </c>
      <c r="T84" s="24">
        <f t="shared" si="48"/>
        <v>0</v>
      </c>
      <c r="U84" s="25">
        <f t="shared" si="49"/>
        <v>2</v>
      </c>
      <c r="V84" s="26" t="str">
        <f t="shared" si="50"/>
        <v/>
      </c>
    </row>
    <row r="85" spans="1:22" ht="48" customHeight="1" x14ac:dyDescent="0.25">
      <c r="A85" s="17">
        <f>VLOOKUP(C85,[1]Werke!$A$1:$C$168,3,0)</f>
        <v>11</v>
      </c>
      <c r="B85" s="17" t="str">
        <f>VLOOKUP(C85,[1]Werke!$A$1:$C$168,2,0)</f>
        <v>AKL</v>
      </c>
      <c r="C85" s="18" t="s">
        <v>198</v>
      </c>
      <c r="D85" s="17" t="str">
        <f>VLOOKUP(C85,[1]Maliteslimalan!$A$1:$B$210,2,0)</f>
        <v>8000012831</v>
      </c>
      <c r="E85" s="19" t="str">
        <f>VLOOKUP(C85,[1]Bestellnr.!$A$1:$B$174,2,0)</f>
        <v>000006</v>
      </c>
      <c r="F85" s="20" t="str">
        <f t="shared" si="41"/>
        <v>N   105 695 01</v>
      </c>
      <c r="G85" s="21">
        <v>923520000</v>
      </c>
      <c r="H85" s="17">
        <f t="shared" si="42"/>
        <v>4.2599999999999999E-3</v>
      </c>
      <c r="I85" s="20"/>
      <c r="J85" s="17">
        <f t="shared" si="43"/>
        <v>3500</v>
      </c>
      <c r="K85" s="17">
        <f t="shared" si="44"/>
        <v>0</v>
      </c>
      <c r="L85" s="22">
        <v>10</v>
      </c>
      <c r="M85" s="22">
        <v>30</v>
      </c>
      <c r="N85" s="22">
        <v>111444</v>
      </c>
      <c r="O85" s="22" t="str">
        <f t="shared" si="45"/>
        <v>001006</v>
      </c>
      <c r="P85" s="22">
        <f t="shared" si="46"/>
        <v>34</v>
      </c>
      <c r="Q85" s="22"/>
      <c r="R85" s="23" t="s">
        <v>153</v>
      </c>
      <c r="S85" s="22">
        <f t="shared" si="47"/>
        <v>0.56999999999999995</v>
      </c>
      <c r="T85" s="24">
        <f t="shared" si="48"/>
        <v>0</v>
      </c>
      <c r="U85" s="25">
        <f t="shared" si="49"/>
        <v>2</v>
      </c>
      <c r="V85" s="26" t="str">
        <f t="shared" si="50"/>
        <v/>
      </c>
    </row>
    <row r="86" spans="1:22" ht="48" customHeight="1" x14ac:dyDescent="0.25">
      <c r="A86" s="17">
        <f>VLOOKUP(C86,[1]Werke!$A$1:$C$168,3,0)</f>
        <v>35</v>
      </c>
      <c r="B86" s="17" t="str">
        <f>VLOOKUP(C86,[1]Werke!$A$1:$C$168,2,0)</f>
        <v>AKL</v>
      </c>
      <c r="C86" s="18" t="s">
        <v>207</v>
      </c>
      <c r="D86" s="17" t="str">
        <f>VLOOKUP(C86,[1]Maliteslimalan!$A$1:$B$210,2,0)</f>
        <v>8000013262</v>
      </c>
      <c r="E86" s="19" t="str">
        <f>VLOOKUP(C86,[1]Bestellnr.!$A$1:$B$174,2,0)</f>
        <v>000006</v>
      </c>
      <c r="F86" s="20" t="str">
        <f t="shared" si="41"/>
        <v>N   105 695 01</v>
      </c>
      <c r="G86" s="21">
        <v>923520000</v>
      </c>
      <c r="H86" s="17">
        <f t="shared" si="42"/>
        <v>4.2599999999999999E-3</v>
      </c>
      <c r="I86" s="20"/>
      <c r="J86" s="17">
        <f t="shared" si="43"/>
        <v>3500</v>
      </c>
      <c r="K86" s="17">
        <f t="shared" si="44"/>
        <v>0</v>
      </c>
      <c r="L86" s="22">
        <v>10</v>
      </c>
      <c r="M86" s="22">
        <v>30</v>
      </c>
      <c r="N86" s="22">
        <v>111444</v>
      </c>
      <c r="O86" s="22" t="str">
        <f t="shared" si="45"/>
        <v>001006</v>
      </c>
      <c r="P86" s="22">
        <f t="shared" si="46"/>
        <v>34</v>
      </c>
      <c r="Q86" s="22"/>
      <c r="R86" s="23" t="s">
        <v>153</v>
      </c>
      <c r="S86" s="22">
        <f t="shared" si="47"/>
        <v>0.56999999999999995</v>
      </c>
      <c r="T86" s="24">
        <f t="shared" si="48"/>
        <v>0</v>
      </c>
      <c r="U86" s="25">
        <f t="shared" si="49"/>
        <v>2</v>
      </c>
      <c r="V86" s="26" t="str">
        <f t="shared" si="50"/>
        <v/>
      </c>
    </row>
    <row r="87" spans="1:22" ht="48" customHeight="1" x14ac:dyDescent="0.25">
      <c r="A87" s="17">
        <f>VLOOKUP(C87,[1]Werke!$A$1:$C$168,3,0)</f>
        <v>37</v>
      </c>
      <c r="B87" s="17" t="str">
        <f>VLOOKUP(C87,[1]Werke!$A$1:$C$168,2,0)</f>
        <v>AKL</v>
      </c>
      <c r="C87" s="18" t="s">
        <v>184</v>
      </c>
      <c r="D87" s="17" t="str">
        <f>VLOOKUP(C87,[1]Maliteslimalan!$A$1:$B$210,2,0)</f>
        <v>8000012562</v>
      </c>
      <c r="E87" s="19" t="str">
        <f>VLOOKUP(C87,[1]Bestellnr.!$A$1:$B$174,2,0)</f>
        <v>000006</v>
      </c>
      <c r="F87" s="20" t="str">
        <f t="shared" si="41"/>
        <v>N   105 695 01</v>
      </c>
      <c r="G87" s="21">
        <v>923520000</v>
      </c>
      <c r="H87" s="17">
        <f t="shared" si="42"/>
        <v>4.2599999999999999E-3</v>
      </c>
      <c r="I87" s="20"/>
      <c r="J87" s="17">
        <f t="shared" si="43"/>
        <v>3500</v>
      </c>
      <c r="K87" s="17">
        <f t="shared" si="44"/>
        <v>0</v>
      </c>
      <c r="L87" s="22">
        <v>10</v>
      </c>
      <c r="M87" s="22">
        <v>30</v>
      </c>
      <c r="N87" s="22">
        <v>111444</v>
      </c>
      <c r="O87" s="22" t="str">
        <f t="shared" si="45"/>
        <v>001006</v>
      </c>
      <c r="P87" s="22">
        <f t="shared" si="46"/>
        <v>34</v>
      </c>
      <c r="Q87" s="22"/>
      <c r="R87" s="23" t="s">
        <v>153</v>
      </c>
      <c r="S87" s="22">
        <f t="shared" si="47"/>
        <v>0.56999999999999995</v>
      </c>
      <c r="T87" s="24">
        <f t="shared" si="48"/>
        <v>0</v>
      </c>
      <c r="U87" s="25">
        <f t="shared" si="49"/>
        <v>2</v>
      </c>
      <c r="V87" s="26" t="str">
        <f t="shared" si="50"/>
        <v/>
      </c>
    </row>
    <row r="88" spans="1:22" ht="48" customHeight="1" x14ac:dyDescent="0.25">
      <c r="A88" s="17" t="str">
        <f>VLOOKUP(C88,[1]Werke!$A$1:$C$168,3,0)</f>
        <v>3P</v>
      </c>
      <c r="B88" s="17" t="str">
        <f>VLOOKUP(C88,[1]Werke!$A$1:$C$168,2,0)</f>
        <v>BP4</v>
      </c>
      <c r="C88" s="18" t="s">
        <v>200</v>
      </c>
      <c r="D88" s="17" t="str">
        <f>VLOOKUP(C88,[1]Maliteslimalan!$A$1:$B$210,2,0)</f>
        <v>8000012617</v>
      </c>
      <c r="E88" s="19" t="str">
        <f>VLOOKUP(C88,[1]Bestellnr.!$A$1:$B$174,2,0)</f>
        <v>000055</v>
      </c>
      <c r="F88" s="20" t="str">
        <f t="shared" si="41"/>
        <v>N   105 695 01</v>
      </c>
      <c r="G88" s="21">
        <v>923520000</v>
      </c>
      <c r="H88" s="17">
        <f t="shared" si="42"/>
        <v>4.2599999999999999E-3</v>
      </c>
      <c r="I88" s="20"/>
      <c r="J88" s="17">
        <f t="shared" si="43"/>
        <v>3500</v>
      </c>
      <c r="K88" s="17">
        <f t="shared" si="44"/>
        <v>0</v>
      </c>
      <c r="L88" s="22">
        <v>10</v>
      </c>
      <c r="M88" s="22">
        <v>30</v>
      </c>
      <c r="N88" s="22">
        <v>111444</v>
      </c>
      <c r="O88" s="22" t="str">
        <f t="shared" si="45"/>
        <v>001006</v>
      </c>
      <c r="P88" s="22">
        <f t="shared" si="46"/>
        <v>34</v>
      </c>
      <c r="Q88" s="22"/>
      <c r="R88" s="23" t="s">
        <v>153</v>
      </c>
      <c r="S88" s="22">
        <f t="shared" si="47"/>
        <v>0.56999999999999995</v>
      </c>
      <c r="T88" s="24">
        <f t="shared" si="48"/>
        <v>0</v>
      </c>
      <c r="U88" s="25">
        <f t="shared" si="49"/>
        <v>2</v>
      </c>
      <c r="V88" s="26" t="str">
        <f t="shared" si="50"/>
        <v/>
      </c>
    </row>
    <row r="89" spans="1:22" ht="48" customHeight="1" x14ac:dyDescent="0.25">
      <c r="A89" s="17">
        <f>VLOOKUP(C89,[1]Werke!$A$1:$C$168,3,0)</f>
        <v>43</v>
      </c>
      <c r="B89" s="17" t="str">
        <f>VLOOKUP(C89,[1]Werke!$A$1:$C$168,2,0)</f>
        <v>FCK</v>
      </c>
      <c r="C89" s="18" t="s">
        <v>208</v>
      </c>
      <c r="D89" s="17" t="str">
        <f>VLOOKUP(C89,[1]Maliteslimalan!$A$1:$B$210,2,0)</f>
        <v>8000012579</v>
      </c>
      <c r="E89" s="19" t="str">
        <f>VLOOKUP(C89,[1]Bestellnr.!$A$1:$B$174,2,0)</f>
        <v>000006</v>
      </c>
      <c r="F89" s="20" t="str">
        <f t="shared" si="41"/>
        <v>N   105 695 01</v>
      </c>
      <c r="G89" s="21">
        <v>923520000</v>
      </c>
      <c r="H89" s="17">
        <f t="shared" si="42"/>
        <v>4.2599999999999999E-3</v>
      </c>
      <c r="I89" s="20"/>
      <c r="J89" s="17">
        <f t="shared" si="43"/>
        <v>3500</v>
      </c>
      <c r="K89" s="17">
        <f t="shared" si="44"/>
        <v>0</v>
      </c>
      <c r="L89" s="22">
        <v>10</v>
      </c>
      <c r="M89" s="22">
        <v>30</v>
      </c>
      <c r="N89" s="22">
        <v>111444</v>
      </c>
      <c r="O89" s="22" t="str">
        <f t="shared" si="45"/>
        <v>001006</v>
      </c>
      <c r="P89" s="22">
        <f t="shared" si="46"/>
        <v>34</v>
      </c>
      <c r="Q89" s="22"/>
      <c r="R89" s="23" t="s">
        <v>153</v>
      </c>
      <c r="S89" s="22">
        <f t="shared" si="47"/>
        <v>0.56999999999999995</v>
      </c>
      <c r="T89" s="24">
        <f t="shared" si="48"/>
        <v>0</v>
      </c>
      <c r="U89" s="25">
        <f t="shared" si="49"/>
        <v>2</v>
      </c>
      <c r="V89" s="26" t="str">
        <f t="shared" si="50"/>
        <v/>
      </c>
    </row>
    <row r="90" spans="1:22" ht="48" customHeight="1" x14ac:dyDescent="0.25">
      <c r="A90" s="17">
        <f>VLOOKUP(C90,[1]Werke!$A$1:$C$168,3,0)</f>
        <v>14</v>
      </c>
      <c r="B90" s="17" t="str">
        <f>VLOOKUP(C90,[1]Werke!$A$1:$C$168,2,0)</f>
        <v>D72</v>
      </c>
      <c r="C90" s="18" t="s">
        <v>169</v>
      </c>
      <c r="D90" s="17" t="str">
        <f>VLOOKUP(C90,[1]Maliteslimalan!$A$1:$B$210,2,0)</f>
        <v>8000013493</v>
      </c>
      <c r="E90" s="19">
        <f>VLOOKUP(C90,[1]Bestellnr.!$A$1:$B$174,2,0)</f>
        <v>0</v>
      </c>
      <c r="F90" s="20" t="str">
        <f t="shared" si="41"/>
        <v>N   105 695 01</v>
      </c>
      <c r="G90" s="21">
        <v>923520000</v>
      </c>
      <c r="H90" s="17">
        <f t="shared" si="42"/>
        <v>4.2599999999999999E-3</v>
      </c>
      <c r="I90" s="20"/>
      <c r="J90" s="17">
        <v>3500</v>
      </c>
      <c r="K90" s="17">
        <f t="shared" si="44"/>
        <v>0</v>
      </c>
      <c r="L90" s="22">
        <v>10</v>
      </c>
      <c r="M90" s="22">
        <v>10</v>
      </c>
      <c r="N90" s="22">
        <v>111444</v>
      </c>
      <c r="O90" s="22" t="str">
        <f t="shared" si="45"/>
        <v>001006</v>
      </c>
      <c r="P90" s="22">
        <f t="shared" si="46"/>
        <v>34</v>
      </c>
      <c r="Q90" s="22"/>
      <c r="R90" s="23" t="s">
        <v>153</v>
      </c>
      <c r="S90" s="22">
        <f t="shared" si="47"/>
        <v>0.56999999999999995</v>
      </c>
      <c r="T90" s="24">
        <f t="shared" si="48"/>
        <v>0</v>
      </c>
      <c r="U90" s="25">
        <f t="shared" si="49"/>
        <v>2</v>
      </c>
      <c r="V90" s="26" t="str">
        <f t="shared" si="50"/>
        <v/>
      </c>
    </row>
    <row r="91" spans="1:22" ht="48" customHeight="1" x14ac:dyDescent="0.25">
      <c r="A91" s="17" t="str">
        <f>VLOOKUP(C91,[1]Werke!$A$1:$C$168,3,0)</f>
        <v>CP</v>
      </c>
      <c r="B91" s="17" t="str">
        <f>VLOOKUP(C91,[1]Werke!$A$1:$C$168,2,0)</f>
        <v>BAE</v>
      </c>
      <c r="C91" s="18" t="s">
        <v>209</v>
      </c>
      <c r="D91" s="17" t="str">
        <f>VLOOKUP(C91,[1]Maliteslimalan!$A$1:$B$210,2,0)</f>
        <v>8000012884</v>
      </c>
      <c r="E91" s="19" t="str">
        <f>VLOOKUP(C91,[1]Bestellnr.!$A$1:$B$174,2,0)</f>
        <v>000006</v>
      </c>
      <c r="F91" s="20" t="str">
        <f t="shared" si="41"/>
        <v>N   105 695 01</v>
      </c>
      <c r="G91" s="21">
        <v>923520000</v>
      </c>
      <c r="H91" s="17">
        <f t="shared" si="42"/>
        <v>4.2599999999999999E-3</v>
      </c>
      <c r="I91" s="20"/>
      <c r="J91" s="17">
        <f t="shared" ref="J91:J96" si="51">VLOOKUP(G91,W$2:X$1905,2,FALSE)</f>
        <v>3500</v>
      </c>
      <c r="K91" s="17">
        <f t="shared" si="44"/>
        <v>0</v>
      </c>
      <c r="L91" s="22">
        <v>10</v>
      </c>
      <c r="M91" s="22">
        <v>20</v>
      </c>
      <c r="N91" s="22">
        <v>111444</v>
      </c>
      <c r="O91" s="22" t="str">
        <f t="shared" si="45"/>
        <v>001006</v>
      </c>
      <c r="P91" s="22">
        <f t="shared" si="46"/>
        <v>34</v>
      </c>
      <c r="Q91" s="22"/>
      <c r="R91" s="23" t="s">
        <v>153</v>
      </c>
      <c r="S91" s="22">
        <f t="shared" si="47"/>
        <v>0.56999999999999995</v>
      </c>
      <c r="T91" s="24">
        <f t="shared" si="48"/>
        <v>0</v>
      </c>
      <c r="U91" s="25">
        <f t="shared" si="49"/>
        <v>2</v>
      </c>
      <c r="V91" s="26" t="str">
        <f t="shared" si="50"/>
        <v/>
      </c>
    </row>
    <row r="92" spans="1:22" ht="48" customHeight="1" x14ac:dyDescent="0.25">
      <c r="A92" s="17" t="str">
        <f>VLOOKUP(C92,[1]Werke!$A$1:$C$168,3,0)</f>
        <v>IN</v>
      </c>
      <c r="B92" s="17" t="str">
        <f>VLOOKUP(C92,[1]Werke!$A$1:$C$168,2,0)</f>
        <v>ISB</v>
      </c>
      <c r="C92" s="18" t="s">
        <v>210</v>
      </c>
      <c r="D92" s="17" t="str">
        <f>VLOOKUP(C92,[1]Maliteslimalan!$A$1:$B$210,2,0)</f>
        <v>8000012672</v>
      </c>
      <c r="E92" s="19" t="str">
        <f>VLOOKUP(C92,[1]Bestellnr.!$A$1:$B$174,2,0)</f>
        <v>000006</v>
      </c>
      <c r="F92" s="20" t="str">
        <f t="shared" si="41"/>
        <v>N   105 695 01</v>
      </c>
      <c r="G92" s="21">
        <v>923520000</v>
      </c>
      <c r="H92" s="17">
        <f t="shared" si="42"/>
        <v>4.2599999999999999E-3</v>
      </c>
      <c r="I92" s="20"/>
      <c r="J92" s="17">
        <f t="shared" si="51"/>
        <v>3500</v>
      </c>
      <c r="K92" s="17">
        <f t="shared" si="44"/>
        <v>0</v>
      </c>
      <c r="L92" s="22">
        <v>10</v>
      </c>
      <c r="M92" s="22">
        <v>10</v>
      </c>
      <c r="N92" s="22">
        <v>111444</v>
      </c>
      <c r="O92" s="22" t="str">
        <f t="shared" si="45"/>
        <v>001006</v>
      </c>
      <c r="P92" s="22">
        <f t="shared" si="46"/>
        <v>34</v>
      </c>
      <c r="Q92" s="22"/>
      <c r="R92" s="23" t="s">
        <v>153</v>
      </c>
      <c r="S92" s="22">
        <f t="shared" si="47"/>
        <v>0.56999999999999995</v>
      </c>
      <c r="T92" s="24">
        <f t="shared" si="48"/>
        <v>0</v>
      </c>
      <c r="U92" s="25">
        <f t="shared" si="49"/>
        <v>2</v>
      </c>
      <c r="V92" s="26" t="str">
        <f t="shared" si="50"/>
        <v/>
      </c>
    </row>
    <row r="93" spans="1:22" ht="48" customHeight="1" x14ac:dyDescent="0.25">
      <c r="A93" s="17">
        <f>VLOOKUP(C93,[1]Werke!$A$1:$C$168,3,0)</f>
        <v>33</v>
      </c>
      <c r="B93" s="17" t="str">
        <f>VLOOKUP(C93,[1]Werke!$A$1:$C$168,2,0)</f>
        <v>KK2</v>
      </c>
      <c r="C93" s="18" t="s">
        <v>185</v>
      </c>
      <c r="D93" s="17" t="str">
        <f>VLOOKUP(C93,[1]Maliteslimalan!$A$1:$B$210,2,0)</f>
        <v>8000012709</v>
      </c>
      <c r="E93" s="19" t="str">
        <f>VLOOKUP(C93,[1]Bestellnr.!$A$1:$B$174,2,0)</f>
        <v>000055</v>
      </c>
      <c r="F93" s="20" t="str">
        <f t="shared" si="41"/>
        <v>N   105 695 01</v>
      </c>
      <c r="G93" s="21">
        <v>923520000</v>
      </c>
      <c r="H93" s="17">
        <f t="shared" si="42"/>
        <v>4.2599999999999999E-3</v>
      </c>
      <c r="I93" s="20"/>
      <c r="J93" s="17">
        <f t="shared" si="51"/>
        <v>3500</v>
      </c>
      <c r="K93" s="17">
        <f t="shared" si="44"/>
        <v>0</v>
      </c>
      <c r="L93" s="22">
        <v>10</v>
      </c>
      <c r="M93" s="22">
        <v>30</v>
      </c>
      <c r="N93" s="22">
        <v>111444</v>
      </c>
      <c r="O93" s="22" t="str">
        <f t="shared" si="45"/>
        <v>001006</v>
      </c>
      <c r="P93" s="22">
        <f t="shared" si="46"/>
        <v>34</v>
      </c>
      <c r="Q93" s="22"/>
      <c r="R93" s="23" t="s">
        <v>153</v>
      </c>
      <c r="S93" s="22">
        <f t="shared" si="47"/>
        <v>0.56999999999999995</v>
      </c>
      <c r="T93" s="24">
        <f t="shared" si="48"/>
        <v>0</v>
      </c>
      <c r="U93" s="25">
        <f t="shared" si="49"/>
        <v>2</v>
      </c>
      <c r="V93" s="26" t="str">
        <f t="shared" si="50"/>
        <v/>
      </c>
    </row>
    <row r="94" spans="1:22" ht="48" customHeight="1" x14ac:dyDescent="0.25">
      <c r="A94" s="17" t="str">
        <f>VLOOKUP(C94,[1]Werke!$A$1:$C$168,3,0)</f>
        <v>OS</v>
      </c>
      <c r="B94" s="17" t="str">
        <f>VLOOKUP(C94,[1]Werke!$A$1:$C$168,2,0)</f>
        <v>OSN</v>
      </c>
      <c r="C94" s="18" t="s">
        <v>211</v>
      </c>
      <c r="D94" s="17">
        <f>VLOOKUP(C94,[1]Maliteslimalan!$A$1:$B$210,2,0)</f>
        <v>8000012597</v>
      </c>
      <c r="E94" s="19" t="str">
        <f>VLOOKUP(C94,[1]Bestellnr.!$A$1:$B$174,2,0)</f>
        <v>000006</v>
      </c>
      <c r="F94" s="20" t="str">
        <f t="shared" si="41"/>
        <v>N   105 695 01</v>
      </c>
      <c r="G94" s="21">
        <v>923520000</v>
      </c>
      <c r="H94" s="17">
        <f t="shared" si="42"/>
        <v>4.2599999999999999E-3</v>
      </c>
      <c r="I94" s="20"/>
      <c r="J94" s="17">
        <f t="shared" si="51"/>
        <v>3500</v>
      </c>
      <c r="K94" s="17">
        <f t="shared" si="44"/>
        <v>0</v>
      </c>
      <c r="L94" s="22">
        <v>10</v>
      </c>
      <c r="M94" s="22">
        <v>30</v>
      </c>
      <c r="N94" s="22">
        <v>111444</v>
      </c>
      <c r="O94" s="22" t="str">
        <f t="shared" si="45"/>
        <v>001006</v>
      </c>
      <c r="P94" s="22">
        <f t="shared" si="46"/>
        <v>34</v>
      </c>
      <c r="Q94" s="22"/>
      <c r="R94" s="23" t="s">
        <v>153</v>
      </c>
      <c r="S94" s="22">
        <f t="shared" si="47"/>
        <v>0.56999999999999995</v>
      </c>
      <c r="T94" s="24">
        <f t="shared" si="48"/>
        <v>0</v>
      </c>
      <c r="U94" s="25">
        <f t="shared" si="49"/>
        <v>2</v>
      </c>
      <c r="V94" s="26" t="str">
        <f t="shared" si="50"/>
        <v/>
      </c>
    </row>
    <row r="95" spans="1:22" ht="48" customHeight="1" x14ac:dyDescent="0.25">
      <c r="A95" s="17" t="str">
        <f>VLOOKUP(C95,[1]Werke!$A$1:$C$168,3,0)</f>
        <v>3U</v>
      </c>
      <c r="B95" s="17" t="str">
        <f>VLOOKUP(C95,[1]Werke!$A$1:$C$168,2,0)</f>
        <v>BZ2</v>
      </c>
      <c r="C95" s="18" t="s">
        <v>196</v>
      </c>
      <c r="D95" s="17" t="str">
        <f>VLOOKUP(C95,[1]Maliteslimalan!$A$1:$B$210,2,0)</f>
        <v>8000012860</v>
      </c>
      <c r="E95" s="19" t="str">
        <f>VLOOKUP(C95,[1]Bestellnr.!$A$1:$B$174,2,0)</f>
        <v>000055</v>
      </c>
      <c r="F95" s="20" t="str">
        <f t="shared" si="41"/>
        <v>N   105 695 01</v>
      </c>
      <c r="G95" s="21">
        <v>923520000</v>
      </c>
      <c r="H95" s="17">
        <f t="shared" si="42"/>
        <v>4.2599999999999999E-3</v>
      </c>
      <c r="I95" s="20"/>
      <c r="J95" s="17">
        <f t="shared" si="51"/>
        <v>3500</v>
      </c>
      <c r="K95" s="17">
        <f t="shared" si="44"/>
        <v>0</v>
      </c>
      <c r="L95" s="22">
        <v>10</v>
      </c>
      <c r="M95" s="22">
        <v>30</v>
      </c>
      <c r="N95" s="22">
        <v>111444</v>
      </c>
      <c r="O95" s="22" t="str">
        <f t="shared" si="45"/>
        <v>001006</v>
      </c>
      <c r="P95" s="22">
        <f t="shared" si="46"/>
        <v>34</v>
      </c>
      <c r="Q95" s="22"/>
      <c r="R95" s="23" t="s">
        <v>153</v>
      </c>
      <c r="S95" s="22">
        <f t="shared" si="47"/>
        <v>0.56999999999999995</v>
      </c>
      <c r="T95" s="24">
        <f t="shared" si="48"/>
        <v>0</v>
      </c>
      <c r="U95" s="25">
        <f t="shared" si="49"/>
        <v>2</v>
      </c>
      <c r="V95" s="26" t="str">
        <f t="shared" si="50"/>
        <v/>
      </c>
    </row>
    <row r="96" spans="1:22" ht="48" customHeight="1" x14ac:dyDescent="0.25">
      <c r="A96" s="17">
        <f>VLOOKUP(C96,[1]Werke!$A$1:$C$168,3,0)</f>
        <v>24</v>
      </c>
      <c r="B96" s="17" t="str">
        <f>VLOOKUP(C96,[1]Werke!$A$1:$C$168,2,0)</f>
        <v>CKS</v>
      </c>
      <c r="C96" s="18" t="s">
        <v>188</v>
      </c>
      <c r="D96" s="17" t="str">
        <f>VLOOKUP(C96,[1]Maliteslimalan!$A$1:$B$210,2,0)</f>
        <v>8000012647</v>
      </c>
      <c r="E96" s="19" t="str">
        <f>VLOOKUP(C96,[1]Bestellnr.!$A$1:$B$174,2,0)</f>
        <v>000006</v>
      </c>
      <c r="F96" s="20" t="str">
        <f t="shared" si="41"/>
        <v>N   105 695 01</v>
      </c>
      <c r="G96" s="21">
        <v>923520000</v>
      </c>
      <c r="H96" s="17">
        <f t="shared" si="42"/>
        <v>4.2599999999999999E-3</v>
      </c>
      <c r="I96" s="20"/>
      <c r="J96" s="17">
        <f t="shared" si="51"/>
        <v>3500</v>
      </c>
      <c r="K96" s="17">
        <f t="shared" si="44"/>
        <v>0</v>
      </c>
      <c r="L96" s="22">
        <v>10</v>
      </c>
      <c r="M96" s="22">
        <v>30</v>
      </c>
      <c r="N96" s="22">
        <v>111444</v>
      </c>
      <c r="O96" s="22" t="str">
        <f t="shared" si="45"/>
        <v>001006</v>
      </c>
      <c r="P96" s="22">
        <f t="shared" si="46"/>
        <v>34</v>
      </c>
      <c r="Q96" s="22"/>
      <c r="R96" s="23" t="s">
        <v>153</v>
      </c>
      <c r="S96" s="22">
        <f t="shared" si="47"/>
        <v>0.56999999999999995</v>
      </c>
      <c r="T96" s="24">
        <f t="shared" si="48"/>
        <v>0</v>
      </c>
      <c r="U96" s="25">
        <f t="shared" si="49"/>
        <v>2</v>
      </c>
      <c r="V96" s="26" t="str">
        <f t="shared" si="50"/>
        <v/>
      </c>
    </row>
    <row r="97" spans="1:22" ht="48" customHeight="1" x14ac:dyDescent="0.25">
      <c r="A97" s="17"/>
      <c r="B97" s="17"/>
      <c r="C97" s="18"/>
      <c r="D97" s="17"/>
      <c r="E97" s="19"/>
      <c r="F97" s="20"/>
      <c r="G97" s="21"/>
      <c r="H97" s="17"/>
      <c r="I97" s="20"/>
      <c r="J97" s="17"/>
      <c r="K97" s="17"/>
      <c r="L97" s="22"/>
      <c r="M97" s="22"/>
      <c r="N97" s="22"/>
      <c r="O97" s="22"/>
      <c r="P97" s="22"/>
      <c r="Q97" s="22"/>
      <c r="R97" s="23"/>
      <c r="S97" s="22"/>
      <c r="T97" s="24"/>
      <c r="U97" s="25"/>
    </row>
    <row r="98" spans="1:22" ht="48.2" customHeight="1" x14ac:dyDescent="0.25">
      <c r="A98" s="17">
        <f>VLOOKUP(C98,[1]Werke!$A$1:$C$168,3,0)</f>
        <v>14</v>
      </c>
      <c r="B98" s="17" t="str">
        <f>VLOOKUP(C98,[1]Werke!$A$1:$C$168,2,0)</f>
        <v>D72</v>
      </c>
      <c r="C98" s="18" t="s">
        <v>169</v>
      </c>
      <c r="D98" s="17" t="str">
        <f>VLOOKUP(C98,[1]Maliteslimalan!$A$1:$B$210,2,0)</f>
        <v>8000013493</v>
      </c>
      <c r="E98" s="19">
        <f>VLOOKUP(C98,[1]Bestellnr.!$A$1:$B$174,2,0)</f>
        <v>0</v>
      </c>
      <c r="F98" s="20" t="str">
        <f>VLOOKUP(G98,$U$1:$V$1730,2,0)</f>
        <v>N   105 797 02</v>
      </c>
      <c r="G98" s="21">
        <v>924546000</v>
      </c>
      <c r="H98" s="17">
        <f>VLOOKUP(G98,Z$2:AA$1905,2,FALSE)</f>
        <v>5.62E-2</v>
      </c>
      <c r="I98" s="20"/>
      <c r="J98" s="17">
        <f>VLOOKUP(G98,W$2:X$1905,2,FALSE)</f>
        <v>180</v>
      </c>
      <c r="K98" s="17">
        <f>I98/J98</f>
        <v>0</v>
      </c>
      <c r="L98" s="22">
        <v>10</v>
      </c>
      <c r="M98" s="22">
        <v>30</v>
      </c>
      <c r="N98" s="22">
        <v>111444</v>
      </c>
      <c r="O98" s="22" t="str">
        <f>VLOOKUP(N98,$AL$1285:$AM$1310,2,FALSE)</f>
        <v>001006</v>
      </c>
      <c r="P98" s="22">
        <f>VLOOKUP(N98,AC$2:AD$1905,2,FALSE)</f>
        <v>34</v>
      </c>
      <c r="Q98" s="22"/>
      <c r="R98" s="23" t="s">
        <v>153</v>
      </c>
      <c r="S98" s="22">
        <f>VLOOKUP(R98,AC$2:AD$1905,2,FALSE)</f>
        <v>0.56999999999999995</v>
      </c>
      <c r="T98" s="24">
        <f>(H98*I98)+P98*Q98+S98*K98</f>
        <v>0</v>
      </c>
      <c r="U98" s="25">
        <f>IF(TRIM(N98&amp;"")="111444",
    IF(ROUNDUP(MAX(0,K98-(MAX(1,Q98)-1)*10)/10,0)=1,3,2),
    IF(TRIM(N98&amp;"")="VWPAL",
        IF(TRIM(R98&amp;"")="004147",1,2),
        ""
    )
)</f>
        <v>2</v>
      </c>
      <c r="V98" s="26" t="str">
        <f>IF(OR(TRIM(N98&amp;"")="111444",TRIM(N98&amp;"")="VWPAL"),
    IF(K98&lt;=0,"",
        IF(
            MIN(3,ROUNDUP(MAX(0,K98-(MAX(1,Q98)-1)*IF(TRIM(N98&amp;"")="111444",10,20))/IF(TRIM(N98&amp;"")="111444",10,20),0))=1,
            300,
            IF(
                MIN(3,ROUNDUP(MAX(0,K98-(MAX(1,Q98)-1)*IF(TRIM(N98&amp;"")="111444",10,20))/IF(TRIM(N98&amp;"")="111444",10,20),0))=2,
                450,
                600
            )
        )
    ),
    ""
)</f>
        <v/>
      </c>
    </row>
    <row r="99" spans="1:22" ht="48.2" customHeight="1" x14ac:dyDescent="0.25">
      <c r="A99" s="17"/>
      <c r="B99" s="17"/>
      <c r="C99" s="18"/>
      <c r="D99" s="17"/>
      <c r="E99" s="19"/>
      <c r="F99" s="20"/>
      <c r="G99" s="21"/>
      <c r="H99" s="17"/>
      <c r="I99" s="20"/>
      <c r="J99" s="17"/>
      <c r="K99" s="17"/>
      <c r="L99" s="22"/>
      <c r="M99" s="22"/>
      <c r="N99" s="22"/>
      <c r="O99" s="22"/>
      <c r="P99" s="22"/>
      <c r="Q99" s="22"/>
      <c r="R99" s="23"/>
      <c r="S99" s="22"/>
      <c r="T99" s="24"/>
      <c r="U99" s="25"/>
    </row>
    <row r="100" spans="1:22" ht="48.2" customHeight="1" x14ac:dyDescent="0.25">
      <c r="A100" s="17" t="str">
        <f>VLOOKUP(C100,[1]Werke!$A$1:$C$168,3,0)</f>
        <v>HT</v>
      </c>
      <c r="B100" s="17">
        <f>VLOOKUP(C100,[1]Werke!$A$1:$C$168,2,0)</f>
        <v>34</v>
      </c>
      <c r="C100" s="18">
        <v>80245</v>
      </c>
      <c r="D100" s="17">
        <f>VLOOKUP(C100,[1]Maliteslimalan!$A$1:$B$210,2,0)</f>
        <v>8000012604</v>
      </c>
      <c r="E100" s="19">
        <v>6</v>
      </c>
      <c r="F100" s="20" t="str">
        <f>VLOOKUP(G100,$U$1:$V$1730,2,0)</f>
        <v>N   106 645 02</v>
      </c>
      <c r="G100" s="21">
        <v>924151000</v>
      </c>
      <c r="H100" s="17">
        <f>VLOOKUP(G100,Z$2:AA$1905,2,FALSE)</f>
        <v>2.3800000000000002E-2</v>
      </c>
      <c r="I100" s="20"/>
      <c r="J100" s="17">
        <f>VLOOKUP(G100,W$2:X$1905,2,FALSE)</f>
        <v>500</v>
      </c>
      <c r="K100" s="17">
        <f>I100/J100</f>
        <v>0</v>
      </c>
      <c r="L100" s="22">
        <v>10</v>
      </c>
      <c r="M100" s="22">
        <v>30</v>
      </c>
      <c r="N100" s="22">
        <v>111444</v>
      </c>
      <c r="O100" s="22" t="str">
        <f>VLOOKUP(N100,$AL$1285:$AM$1310,2,FALSE)</f>
        <v>001006</v>
      </c>
      <c r="P100" s="22">
        <f>VLOOKUP(N100,AC$2:AD$1905,2,FALSE)</f>
        <v>34</v>
      </c>
      <c r="Q100" s="22"/>
      <c r="R100" s="23" t="s">
        <v>153</v>
      </c>
      <c r="S100" s="22">
        <f>VLOOKUP(R100,AC$2:AD$1905,2,FALSE)</f>
        <v>0.56999999999999995</v>
      </c>
      <c r="T100" s="24">
        <f>(H100*I100)+P100*Q100+S100*K100</f>
        <v>0</v>
      </c>
      <c r="U100" s="25">
        <f>IF(TRIM(N100&amp;"")="111444",
    IF(ROUNDUP(MAX(0,K100-(MAX(1,Q100)-1)*10)/10,0)=1,3,2),
    IF(TRIM(N100&amp;"")="VWPAL",
        IF(TRIM(R100&amp;"")="004147",1,2),
        ""
    )
)</f>
        <v>2</v>
      </c>
      <c r="V100" s="26" t="str">
        <f>IF(OR(TRIM(N100&amp;"")="111444",TRIM(N100&amp;"")="VWPAL"),
    IF(K100&lt;=0,"",
        IF(
            MIN(3,ROUNDUP(MAX(0,K100-(MAX(1,Q100)-1)*IF(TRIM(N100&amp;"")="111444",10,20))/IF(TRIM(N100&amp;"")="111444",10,20),0))=1,
            300,
            IF(
                MIN(3,ROUNDUP(MAX(0,K100-(MAX(1,Q100)-1)*IF(TRIM(N100&amp;"")="111444",10,20))/IF(TRIM(N100&amp;"")="111444",10,20),0))=2,
                450,
                600
            )
        )
    ),
    ""
)</f>
        <v/>
      </c>
    </row>
    <row r="101" spans="1:22" ht="48.2" customHeight="1" x14ac:dyDescent="0.25">
      <c r="A101" s="17" t="str">
        <f>VLOOKUP(C101,[1]Werke!$A$1:$C$168,3,0)</f>
        <v>LD</v>
      </c>
      <c r="B101" s="17" t="str">
        <f>VLOOKUP(C101,[1]Werke!$A$1:$C$168,2,0)</f>
        <v>SLD</v>
      </c>
      <c r="C101" s="18">
        <v>83630</v>
      </c>
      <c r="D101" s="17" t="str">
        <f>VLOOKUP(C101,[1]Maliteslimalan!$A$1:$B$210,2,0)</f>
        <v>8000012862</v>
      </c>
      <c r="E101" s="19" t="str">
        <f>VLOOKUP(C101,[1]Bestellnr.!$A$1:$B$174,2,0)</f>
        <v>000006</v>
      </c>
      <c r="F101" s="20" t="str">
        <f>VLOOKUP(G101,$U$1:$V$1730,2,0)</f>
        <v>N   106 645 02</v>
      </c>
      <c r="G101" s="21">
        <v>924151000</v>
      </c>
      <c r="H101" s="17">
        <f>VLOOKUP(G101,Z$2:AA$1905,2,FALSE)</f>
        <v>2.3800000000000002E-2</v>
      </c>
      <c r="I101" s="20"/>
      <c r="J101" s="17">
        <f>VLOOKUP(G101,W$2:X$1905,2,FALSE)</f>
        <v>500</v>
      </c>
      <c r="K101" s="17">
        <f>I101/J101</f>
        <v>0</v>
      </c>
      <c r="L101" s="22">
        <v>10</v>
      </c>
      <c r="M101" s="22">
        <v>30</v>
      </c>
      <c r="N101" s="22">
        <v>111444</v>
      </c>
      <c r="O101" s="22" t="str">
        <f>VLOOKUP(N101,$AL$1285:$AM$1310,2,FALSE)</f>
        <v>001006</v>
      </c>
      <c r="P101" s="22">
        <f>VLOOKUP(N101,AC$2:AD$1905,2,FALSE)</f>
        <v>34</v>
      </c>
      <c r="Q101" s="22"/>
      <c r="R101" s="23" t="s">
        <v>153</v>
      </c>
      <c r="S101" s="22">
        <f>VLOOKUP(R101,AC$2:AD$1905,2,FALSE)</f>
        <v>0.56999999999999995</v>
      </c>
      <c r="T101" s="24">
        <f>(H101*I101)+P101*Q101+S101*K101</f>
        <v>0</v>
      </c>
      <c r="U101" s="25">
        <f>IF(TRIM(N101&amp;"")="111444",
    IF(ROUNDUP(MAX(0,K101-(MAX(1,Q101)-1)*10)/10,0)=1,3,2),
    IF(TRIM(N101&amp;"")="VWPAL",
        IF(TRIM(R101&amp;"")="004147",1,2),
        ""
    )
)</f>
        <v>2</v>
      </c>
      <c r="V101" s="26" t="str">
        <f>IF(OR(TRIM(N101&amp;"")="111444",TRIM(N101&amp;"")="VWPAL"),
    IF(K101&lt;=0,"",
        IF(
            MIN(3,ROUNDUP(MAX(0,K101-(MAX(1,Q101)-1)*IF(TRIM(N101&amp;"")="111444",10,20))/IF(TRIM(N101&amp;"")="111444",10,20),0))=1,
            300,
            IF(
                MIN(3,ROUNDUP(MAX(0,K101-(MAX(1,Q101)-1)*IF(TRIM(N101&amp;"")="111444",10,20))/IF(TRIM(N101&amp;"")="111444",10,20),0))=2,
                450,
                600
            )
        )
    ),
    ""
)</f>
        <v/>
      </c>
    </row>
    <row r="102" spans="1:22" ht="48.2" customHeight="1" x14ac:dyDescent="0.25">
      <c r="A102" s="17">
        <f>VLOOKUP(C102,[1]Werke!$A$1:$C$168,3,0)</f>
        <v>22</v>
      </c>
      <c r="B102" s="17" t="str">
        <f>VLOOKUP(C102,[1]Werke!$A$1:$C$168,2,0)</f>
        <v>13P</v>
      </c>
      <c r="C102" s="18" t="s">
        <v>163</v>
      </c>
      <c r="D102" s="17" t="str">
        <f>VLOOKUP(C102,[1]Maliteslimalan!$A$1:$B$210,2,0)</f>
        <v>8000013344</v>
      </c>
      <c r="E102" s="19" t="str">
        <f>VLOOKUP(C102,[1]Bestellnr.!$A$1:$B$174,2,0)</f>
        <v>000006</v>
      </c>
      <c r="F102" s="20" t="str">
        <f>VLOOKUP(G102,$U$1:$V$1730,2,0)</f>
        <v>N   106 645 02</v>
      </c>
      <c r="G102" s="21">
        <v>924151000</v>
      </c>
      <c r="H102" s="17">
        <f>VLOOKUP(G102,Z$2:AA$1905,2,FALSE)</f>
        <v>2.3800000000000002E-2</v>
      </c>
      <c r="I102" s="20"/>
      <c r="J102" s="17">
        <f>VLOOKUP(G102,W$2:X$1905,2,FALSE)</f>
        <v>500</v>
      </c>
      <c r="K102" s="17">
        <f>I102/J102</f>
        <v>0</v>
      </c>
      <c r="L102" s="22">
        <v>10</v>
      </c>
      <c r="M102" s="22">
        <v>10</v>
      </c>
      <c r="N102" s="22">
        <v>111444</v>
      </c>
      <c r="O102" s="22" t="str">
        <f>VLOOKUP(N102,$AL$1285:$AM$1310,2,FALSE)</f>
        <v>001006</v>
      </c>
      <c r="P102" s="22">
        <f>VLOOKUP(N102,AC$2:AD$1905,2,FALSE)</f>
        <v>34</v>
      </c>
      <c r="Q102" s="22"/>
      <c r="R102" s="23" t="s">
        <v>153</v>
      </c>
      <c r="S102" s="22">
        <f>VLOOKUP(R102,AC$2:AD$1905,2,FALSE)</f>
        <v>0.56999999999999995</v>
      </c>
      <c r="T102" s="24">
        <f>(H102*I102)+P102*Q102+S102*K102</f>
        <v>0</v>
      </c>
      <c r="U102" s="25">
        <f>IF(TRIM(N102&amp;"")="111444",
    IF(ROUNDUP(MAX(0,K102-(MAX(1,Q102)-1)*10)/10,0)=1,3,2),
    IF(TRIM(N102&amp;"")="VWPAL",
        IF(TRIM(R102&amp;"")="004147",1,2),
        ""
    )
)</f>
        <v>2</v>
      </c>
      <c r="V102" s="26" t="str">
        <f>IF(OR(TRIM(N102&amp;"")="111444",TRIM(N102&amp;"")="VWPAL"),
    IF(K102&lt;=0,"",
        IF(
            MIN(3,ROUNDUP(MAX(0,K102-(MAX(1,Q102)-1)*IF(TRIM(N102&amp;"")="111444",10,20))/IF(TRIM(N102&amp;"")="111444",10,20),0))=1,
            300,
            IF(
                MIN(3,ROUNDUP(MAX(0,K102-(MAX(1,Q102)-1)*IF(TRIM(N102&amp;"")="111444",10,20))/IF(TRIM(N102&amp;"")="111444",10,20),0))=2,
                450,
                600
            )
        )
    ),
    ""
)</f>
        <v/>
      </c>
    </row>
    <row r="103" spans="1:22" ht="48.2" customHeight="1" x14ac:dyDescent="0.25">
      <c r="A103" s="17">
        <f>VLOOKUP(C103,[1]Werke!$A$1:$C$168,3,0)</f>
        <v>14</v>
      </c>
      <c r="B103" s="17" t="str">
        <f>VLOOKUP(C103,[1]Werke!$A$1:$C$168,2,0)</f>
        <v>D72</v>
      </c>
      <c r="C103" s="18" t="s">
        <v>169</v>
      </c>
      <c r="D103" s="17" t="str">
        <f>VLOOKUP(C103,[1]Maliteslimalan!$A$1:$B$210,2,0)</f>
        <v>8000013493</v>
      </c>
      <c r="E103" s="19">
        <f>VLOOKUP(C103,[1]Bestellnr.!$A$1:$B$174,2,0)</f>
        <v>0</v>
      </c>
      <c r="F103" s="20" t="str">
        <f>VLOOKUP(G103,$U$1:$V$1730,2,0)</f>
        <v>N   106 645 02</v>
      </c>
      <c r="G103" s="21">
        <v>924151000</v>
      </c>
      <c r="H103" s="17">
        <f>VLOOKUP(G103,Z$2:AA$1905,2,FALSE)</f>
        <v>2.3800000000000002E-2</v>
      </c>
      <c r="I103" s="20"/>
      <c r="J103" s="17">
        <v>500</v>
      </c>
      <c r="K103" s="17">
        <f>I103/J103</f>
        <v>0</v>
      </c>
      <c r="L103" s="22">
        <v>20</v>
      </c>
      <c r="M103" s="22">
        <v>40</v>
      </c>
      <c r="N103" s="22" t="s">
        <v>155</v>
      </c>
      <c r="O103" s="22" t="str">
        <f>VLOOKUP(N103,$AL$1285:$AM$1310,2,FALSE)</f>
        <v>001210</v>
      </c>
      <c r="P103" s="22">
        <f>VLOOKUP(N103,AC$2:AD$1905,2,FALSE)</f>
        <v>55</v>
      </c>
      <c r="Q103" s="22"/>
      <c r="R103" s="23" t="s">
        <v>153</v>
      </c>
      <c r="S103" s="22">
        <f>VLOOKUP(R103,AC$2:AD$1905,2,FALSE)</f>
        <v>0.56999999999999995</v>
      </c>
      <c r="T103" s="24">
        <f>(H103*I103)+P103*Q103+S103*K103</f>
        <v>0</v>
      </c>
      <c r="U103" s="25">
        <f>IF(TRIM(N103&amp;"")="111444",
    IF(ROUNDUP(MAX(0,K103-(MAX(1,Q103)-1)*10)/10,0)=1,3,2),
    IF(TRIM(N103&amp;"")="VWPAL",
        IF(TRIM(R103&amp;"")="004147",1,2),
        ""
    )
)</f>
        <v>2</v>
      </c>
      <c r="V103" s="26" t="str">
        <f>IF(OR(TRIM(N103&amp;"")="111444",TRIM(N103&amp;"")="VWPAL"),
    IF(K103&lt;=0,"",
        IF(
            MIN(3,ROUNDUP(MAX(0,K103-(MAX(1,Q103)-1)*IF(TRIM(N103&amp;"")="111444",10,20))/IF(TRIM(N103&amp;"")="111444",10,20),0))=1,
            300,
            IF(
                MIN(3,ROUNDUP(MAX(0,K103-(MAX(1,Q103)-1)*IF(TRIM(N103&amp;"")="111444",10,20))/IF(TRIM(N103&amp;"")="111444",10,20),0))=2,
                450,
                600
            )
        )
    ),
    ""
)</f>
        <v/>
      </c>
    </row>
    <row r="104" spans="1:22" ht="48.2" customHeight="1" x14ac:dyDescent="0.25">
      <c r="A104" s="17"/>
      <c r="B104" s="17"/>
      <c r="C104" s="18"/>
      <c r="D104" s="17"/>
      <c r="E104" s="19"/>
      <c r="F104" s="20"/>
      <c r="G104" s="21"/>
      <c r="H104" s="17"/>
      <c r="I104" s="20"/>
      <c r="J104" s="17"/>
      <c r="K104" s="17"/>
      <c r="L104" s="22"/>
      <c r="M104" s="22"/>
      <c r="N104" s="22"/>
      <c r="O104" s="22"/>
      <c r="P104" s="22"/>
      <c r="Q104" s="22"/>
      <c r="R104" s="23"/>
      <c r="S104" s="22"/>
      <c r="T104" s="24"/>
      <c r="U104" s="25"/>
    </row>
    <row r="105" spans="1:22" ht="48.2" customHeight="1" x14ac:dyDescent="0.25">
      <c r="A105" s="17"/>
      <c r="B105" s="17"/>
      <c r="C105" s="18"/>
      <c r="D105" s="17"/>
      <c r="E105" s="19"/>
      <c r="F105" s="20"/>
      <c r="G105" s="21"/>
      <c r="H105" s="17"/>
      <c r="I105" s="20"/>
      <c r="J105" s="17"/>
      <c r="K105" s="17"/>
      <c r="L105" s="22"/>
      <c r="M105" s="22"/>
      <c r="N105" s="22"/>
      <c r="O105" s="22"/>
      <c r="P105" s="22"/>
      <c r="Q105" s="22"/>
      <c r="R105" s="23"/>
      <c r="S105" s="22"/>
      <c r="T105" s="24"/>
      <c r="U105" s="25"/>
    </row>
    <row r="106" spans="1:22" ht="48.2" customHeight="1" x14ac:dyDescent="0.25">
      <c r="A106" s="17">
        <f>VLOOKUP(C106,[1]Werke!$A$1:$C$168,3,0)</f>
        <v>24</v>
      </c>
      <c r="B106" s="17" t="str">
        <f>VLOOKUP(C106,[1]Werke!$A$1:$C$168,2,0)</f>
        <v>CKH</v>
      </c>
      <c r="C106" s="18" t="s">
        <v>195</v>
      </c>
      <c r="D106" s="17">
        <f>VLOOKUP(C106,[1]Maliteslimalan!$A$1:$B$210,2,0)</f>
        <v>8000013551</v>
      </c>
      <c r="E106" s="19">
        <v>6</v>
      </c>
      <c r="F106" s="20" t="str">
        <f>VLOOKUP(G106,$U$1:$V$1730,2,0)</f>
        <v>N   106 893 05</v>
      </c>
      <c r="G106" s="21">
        <v>930802000</v>
      </c>
      <c r="H106" s="17">
        <f>VLOOKUP(G106,Z$2:AA$1905,2,FALSE)</f>
        <v>1.6480000000000002E-2</v>
      </c>
      <c r="I106" s="20"/>
      <c r="J106" s="17">
        <f>VLOOKUP(G106,W$2:X$1905,2,FALSE)</f>
        <v>750</v>
      </c>
      <c r="K106" s="17">
        <f>I106/J106</f>
        <v>0</v>
      </c>
      <c r="L106" s="22">
        <v>10</v>
      </c>
      <c r="M106" s="22">
        <v>30</v>
      </c>
      <c r="N106" s="22">
        <v>111444</v>
      </c>
      <c r="O106" s="22" t="str">
        <f>VLOOKUP(N106,$AL$1285:$AM$1310,2,FALSE)</f>
        <v>001006</v>
      </c>
      <c r="P106" s="22">
        <f>VLOOKUP(N106,AC$2:AD$1905,2,FALSE)</f>
        <v>34</v>
      </c>
      <c r="Q106" s="22"/>
      <c r="R106" s="23" t="s">
        <v>153</v>
      </c>
      <c r="S106" s="22">
        <f>VLOOKUP(R106,AC$2:AD$1905,2,FALSE)</f>
        <v>0.56999999999999995</v>
      </c>
      <c r="T106" s="24">
        <f>(H106*I106)+P106*Q106+S106*K106</f>
        <v>0</v>
      </c>
      <c r="U106" s="25">
        <f>IF(TRIM(N106&amp;"")="111444",
    IF(ROUNDUP(MAX(0,K106-(MAX(1,Q106)-1)*10)/10,0)=1,3,2),
    IF(TRIM(N106&amp;"")="VWPAL",
        IF(TRIM(R106&amp;"")="004147",1,2),
        ""
    )
)</f>
        <v>2</v>
      </c>
      <c r="V106" s="26" t="str">
        <f>IF(OR(TRIM(N106&amp;"")="111444",TRIM(N106&amp;"")="VWPAL"),
    IF(K106&lt;=0,"",
        IF(
            MIN(3,ROUNDUP(MAX(0,K106-(MAX(1,Q106)-1)*IF(TRIM(N106&amp;"")="111444",10,20))/IF(TRIM(N106&amp;"")="111444",10,20),0))=1,
            300,
            IF(
                MIN(3,ROUNDUP(MAX(0,K106-(MAX(1,Q106)-1)*IF(TRIM(N106&amp;"")="111444",10,20))/IF(TRIM(N106&amp;"")="111444",10,20),0))=2,
                450,
                600
            )
        )
    ),
    ""
)</f>
        <v/>
      </c>
    </row>
    <row r="107" spans="1:22" ht="48.2" customHeight="1" x14ac:dyDescent="0.25">
      <c r="A107" s="17" t="str">
        <f>VLOOKUP(C107,[1]Werke!$A$1:$C$168,3,0)</f>
        <v>14S</v>
      </c>
      <c r="B107" s="17" t="str">
        <f>VLOOKUP(C107,[1]Werke!$A$1:$C$168,2,0)</f>
        <v>LZG</v>
      </c>
      <c r="C107" s="18" t="s">
        <v>187</v>
      </c>
      <c r="D107" s="17" t="str">
        <f>VLOOKUP(C107,[1]Maliteslimalan!$A$1:$B$210,2,0)</f>
        <v>8000014767</v>
      </c>
      <c r="E107" s="19" t="str">
        <f>VLOOKUP(C107,[1]Bestellnr.!$A$1:$B$174,2,0)</f>
        <v>000006</v>
      </c>
      <c r="F107" s="20" t="str">
        <f>VLOOKUP(G107,$U$1:$V$1730,2,0)</f>
        <v>N   106 893 05</v>
      </c>
      <c r="G107" s="21">
        <v>930802000</v>
      </c>
      <c r="H107" s="17">
        <f>VLOOKUP(G107,Z$2:AA$1905,2,FALSE)</f>
        <v>1.6480000000000002E-2</v>
      </c>
      <c r="I107" s="20"/>
      <c r="J107" s="17">
        <f>VLOOKUP(G107,W$2:X$1905,2,FALSE)</f>
        <v>750</v>
      </c>
      <c r="K107" s="17">
        <f>I107/J107</f>
        <v>0</v>
      </c>
      <c r="L107" s="22">
        <v>10</v>
      </c>
      <c r="M107" s="22">
        <v>10</v>
      </c>
      <c r="N107" s="22">
        <v>111444</v>
      </c>
      <c r="O107" s="22" t="str">
        <f>VLOOKUP(N107,$AL$1285:$AM$1310,2,FALSE)</f>
        <v>001006</v>
      </c>
      <c r="P107" s="22">
        <f>VLOOKUP(N107,AC$2:AD$1905,2,FALSE)</f>
        <v>34</v>
      </c>
      <c r="Q107" s="22"/>
      <c r="R107" s="23" t="s">
        <v>153</v>
      </c>
      <c r="S107" s="22">
        <f>VLOOKUP(R107,AC$2:AD$1905,2,FALSE)</f>
        <v>0.56999999999999995</v>
      </c>
      <c r="T107" s="24">
        <f>(H107*I107)+P107*Q107+S107*K107</f>
        <v>0</v>
      </c>
      <c r="U107" s="25">
        <f>IF(TRIM(N107&amp;"")="111444",
    IF(ROUNDUP(MAX(0,K107-(MAX(1,Q107)-1)*10)/10,0)=1,3,2),
    IF(TRIM(N107&amp;"")="VWPAL",
        IF(TRIM(R107&amp;"")="004147",1,2),
        ""
    )
)</f>
        <v>2</v>
      </c>
      <c r="V107" s="26" t="str">
        <f>IF(OR(TRIM(N107&amp;"")="111444",TRIM(N107&amp;"")="VWPAL"),
    IF(K107&lt;=0,"",
        IF(
            MIN(3,ROUNDUP(MAX(0,K107-(MAX(1,Q107)-1)*IF(TRIM(N107&amp;"")="111444",10,20))/IF(TRIM(N107&amp;"")="111444",10,20),0))=1,
            300,
            IF(
                MIN(3,ROUNDUP(MAX(0,K107-(MAX(1,Q107)-1)*IF(TRIM(N107&amp;"")="111444",10,20))/IF(TRIM(N107&amp;"")="111444",10,20),0))=2,
                450,
                600
            )
        )
    ),
    ""
)</f>
        <v/>
      </c>
    </row>
    <row r="108" spans="1:22" ht="48.2" customHeight="1" x14ac:dyDescent="0.25">
      <c r="A108" s="17">
        <f>VLOOKUP(C108,[1]Werke!$A$1:$C$168,3,0)</f>
        <v>24</v>
      </c>
      <c r="B108" s="17" t="str">
        <f>VLOOKUP(C108,[1]Werke!$A$1:$C$168,2,0)</f>
        <v>CKS</v>
      </c>
      <c r="C108" s="18" t="s">
        <v>188</v>
      </c>
      <c r="D108" s="17" t="str">
        <f>VLOOKUP(C108,[1]Maliteslimalan!$A$1:$B$210,2,0)</f>
        <v>8000012647</v>
      </c>
      <c r="E108" s="19" t="str">
        <f>VLOOKUP(C108,[1]Bestellnr.!$A$1:$B$174,2,0)</f>
        <v>000006</v>
      </c>
      <c r="F108" s="20" t="str">
        <f>VLOOKUP(G108,$U$1:$V$1730,2,0)</f>
        <v>N   106 893 05</v>
      </c>
      <c r="G108" s="21">
        <v>930802000</v>
      </c>
      <c r="H108" s="17">
        <f>VLOOKUP(G108,Z$2:AA$1905,2,FALSE)</f>
        <v>1.6480000000000002E-2</v>
      </c>
      <c r="I108" s="20"/>
      <c r="J108" s="17">
        <f>VLOOKUP(G108,W$2:X$1905,2,FALSE)</f>
        <v>750</v>
      </c>
      <c r="K108" s="17">
        <f>I108/J108</f>
        <v>0</v>
      </c>
      <c r="L108" s="22">
        <v>10</v>
      </c>
      <c r="M108" s="22">
        <v>10</v>
      </c>
      <c r="N108" s="22">
        <v>111444</v>
      </c>
      <c r="O108" s="22" t="str">
        <f>VLOOKUP(N108,$AL$1285:$AM$1310,2,FALSE)</f>
        <v>001006</v>
      </c>
      <c r="P108" s="22">
        <f>VLOOKUP(N108,AC$2:AD$1905,2,FALSE)</f>
        <v>34</v>
      </c>
      <c r="Q108" s="22"/>
      <c r="R108" s="23" t="s">
        <v>153</v>
      </c>
      <c r="S108" s="22">
        <f>VLOOKUP(R108,AC$2:AD$1905,2,FALSE)</f>
        <v>0.56999999999999995</v>
      </c>
      <c r="T108" s="24">
        <f>(H108*I108)+P108*Q108+S108*K108</f>
        <v>0</v>
      </c>
      <c r="U108" s="25">
        <f>IF(TRIM(N108&amp;"")="111444",
    IF(ROUNDUP(MAX(0,K108-(MAX(1,Q108)-1)*10)/10,0)=1,3,2),
    IF(TRIM(N108&amp;"")="VWPAL",
        IF(TRIM(R108&amp;"")="004147",1,2),
        ""
    )
)</f>
        <v>2</v>
      </c>
      <c r="V108" s="26" t="str">
        <f>IF(OR(TRIM(N108&amp;"")="111444",TRIM(N108&amp;"")="VWPAL"),
    IF(K108&lt;=0,"",
        IF(
            MIN(3,ROUNDUP(MAX(0,K108-(MAX(1,Q108)-1)*IF(TRIM(N108&amp;"")="111444",10,20))/IF(TRIM(N108&amp;"")="111444",10,20),0))=1,
            300,
            IF(
                MIN(3,ROUNDUP(MAX(0,K108-(MAX(1,Q108)-1)*IF(TRIM(N108&amp;"")="111444",10,20))/IF(TRIM(N108&amp;"")="111444",10,20),0))=2,
                450,
                600
            )
        )
    ),
    ""
)</f>
        <v/>
      </c>
    </row>
    <row r="109" spans="1:22" ht="48.2" customHeight="1" x14ac:dyDescent="0.25">
      <c r="A109" s="17"/>
      <c r="B109" s="17"/>
      <c r="C109" s="18"/>
      <c r="D109" s="17"/>
      <c r="E109" s="19"/>
      <c r="F109" s="20"/>
      <c r="G109" s="21"/>
      <c r="H109" s="17"/>
      <c r="I109" s="20"/>
      <c r="J109" s="17"/>
      <c r="K109" s="17"/>
      <c r="L109" s="22"/>
      <c r="M109" s="22"/>
      <c r="N109" s="22"/>
      <c r="O109" s="22"/>
      <c r="P109" s="22"/>
      <c r="Q109" s="22"/>
      <c r="R109" s="23"/>
      <c r="S109" s="22"/>
      <c r="T109" s="24"/>
      <c r="U109" s="25"/>
    </row>
    <row r="110" spans="1:22" ht="48.2" customHeight="1" x14ac:dyDescent="0.25">
      <c r="A110" s="17">
        <f>VLOOKUP(C110,[1]Werke!$A$1:$C$168,3,0)</f>
        <v>14</v>
      </c>
      <c r="B110" s="17" t="str">
        <f>VLOOKUP(C110,[1]Werke!$A$1:$C$168,2,0)</f>
        <v>D66</v>
      </c>
      <c r="C110" s="18" t="s">
        <v>190</v>
      </c>
      <c r="D110" s="17" t="str">
        <f>VLOOKUP(C110,[1]Maliteslimalan!$A$1:$B$210,2,0)</f>
        <v>8000012561</v>
      </c>
      <c r="E110" s="19">
        <f>VLOOKUP(C110,[1]Bestellnr.!$A$1:$B$174,2,0)</f>
        <v>0</v>
      </c>
      <c r="F110" s="20" t="str">
        <f>VLOOKUP(G110,$U$1:$V$1730,2,0)</f>
        <v>N   106 902 01</v>
      </c>
      <c r="G110" s="21">
        <v>924840000</v>
      </c>
      <c r="H110" s="17">
        <f>VLOOKUP(G110,Z$2:AA$1905,2,FALSE)</f>
        <v>3.1399999999999997E-2</v>
      </c>
      <c r="I110" s="20"/>
      <c r="J110" s="17">
        <f>VLOOKUP(G110,W$2:X$1905,2,FALSE)</f>
        <v>350</v>
      </c>
      <c r="K110" s="17">
        <f>I110/J110</f>
        <v>0</v>
      </c>
      <c r="L110" s="22">
        <v>10</v>
      </c>
      <c r="M110" s="22">
        <v>30</v>
      </c>
      <c r="N110" s="22">
        <v>111444</v>
      </c>
      <c r="O110" s="22" t="str">
        <f>VLOOKUP(N110,$AL$1285:$AM$1310,2,FALSE)</f>
        <v>001006</v>
      </c>
      <c r="P110" s="22">
        <f>VLOOKUP(N110,AC$2:AD$1905,2,FALSE)</f>
        <v>34</v>
      </c>
      <c r="Q110" s="22"/>
      <c r="R110" s="23" t="s">
        <v>153</v>
      </c>
      <c r="S110" s="22">
        <f>VLOOKUP(R110,AC$2:AD$1905,2,FALSE)</f>
        <v>0.56999999999999995</v>
      </c>
      <c r="T110" s="24">
        <f>(H110*I110)+P110*Q110+S110*K110</f>
        <v>0</v>
      </c>
      <c r="U110" s="25">
        <f>IF(TRIM(N110&amp;"")="111444",
    IF(ROUNDUP(MAX(0,K110-(MAX(1,Q110)-1)*10)/10,0)=1,3,2),
    IF(TRIM(N110&amp;"")="VWPAL",
        IF(TRIM(R110&amp;"")="004147",1,2),
        ""
    )
)</f>
        <v>2</v>
      </c>
      <c r="V110" s="26" t="str">
        <f>IF(OR(TRIM(N110&amp;"")="111444",TRIM(N110&amp;"")="VWPAL"),
    IF(K110&lt;=0,"",
        IF(
            MIN(3,ROUNDUP(MAX(0,K110-(MAX(1,Q110)-1)*IF(TRIM(N110&amp;"")="111444",10,20))/IF(TRIM(N110&amp;"")="111444",10,20),0))=1,
            300,
            IF(
                MIN(3,ROUNDUP(MAX(0,K110-(MAX(1,Q110)-1)*IF(TRIM(N110&amp;"")="111444",10,20))/IF(TRIM(N110&amp;"")="111444",10,20),0))=2,
                450,
                600
            )
        )
    ),
    ""
)</f>
        <v/>
      </c>
    </row>
    <row r="111" spans="1:22" ht="48.2" customHeight="1" x14ac:dyDescent="0.25">
      <c r="A111" s="17" t="str">
        <f>VLOOKUP(C111,[1]Werke!$A$1:$C$168,3,0)</f>
        <v>26C</v>
      </c>
      <c r="B111" s="17" t="str">
        <f>VLOOKUP(C111,[1]Werke!$A$1:$C$168,2,0)</f>
        <v>CKD</v>
      </c>
      <c r="C111" s="18" t="s">
        <v>191</v>
      </c>
      <c r="D111" s="17" t="str">
        <f>VLOOKUP(C111,[1]Maliteslimalan!$A$1:$B$210,2,0)</f>
        <v>8000012767</v>
      </c>
      <c r="E111" s="19">
        <f>VLOOKUP(C111,[1]Bestellnr.!$A$1:$B$174,2,0)</f>
        <v>0</v>
      </c>
      <c r="F111" s="20" t="str">
        <f>VLOOKUP(G111,$U$1:$V$1730,2,0)</f>
        <v>N   106 902 01</v>
      </c>
      <c r="G111" s="21">
        <v>924840000</v>
      </c>
      <c r="H111" s="17">
        <f>VLOOKUP(G111,Z$2:AA$1905,2,FALSE)</f>
        <v>3.1399999999999997E-2</v>
      </c>
      <c r="I111" s="20"/>
      <c r="J111" s="17">
        <f>VLOOKUP(G111,W$2:X$1905,2,FALSE)</f>
        <v>350</v>
      </c>
      <c r="K111" s="17">
        <f>I111/J111</f>
        <v>0</v>
      </c>
      <c r="L111" s="22">
        <v>10</v>
      </c>
      <c r="M111" s="22">
        <v>10</v>
      </c>
      <c r="N111" s="22">
        <v>111444</v>
      </c>
      <c r="O111" s="22" t="str">
        <f>VLOOKUP(N111,$AL$1285:$AM$1310,2,FALSE)</f>
        <v>001006</v>
      </c>
      <c r="P111" s="22">
        <f>VLOOKUP(N111,AC$2:AD$1905,2,FALSE)</f>
        <v>34</v>
      </c>
      <c r="Q111" s="22"/>
      <c r="R111" s="23" t="s">
        <v>153</v>
      </c>
      <c r="S111" s="22">
        <f>VLOOKUP(R111,AC$2:AD$1905,2,FALSE)</f>
        <v>0.56999999999999995</v>
      </c>
      <c r="T111" s="24">
        <f>(H111*I111)+P111*Q111+S111*K111</f>
        <v>0</v>
      </c>
      <c r="U111" s="25">
        <f>IF(TRIM(N111&amp;"")="111444",
    IF(ROUNDUP(MAX(0,K111-(MAX(1,Q111)-1)*10)/10,0)=1,3,2),
    IF(TRIM(N111&amp;"")="VWPAL",
        IF(TRIM(R111&amp;"")="004147",1,2),
        ""
    )
)</f>
        <v>2</v>
      </c>
      <c r="V111" s="26" t="str">
        <f>IF(OR(TRIM(N111&amp;"")="111444",TRIM(N111&amp;"")="VWPAL"),
    IF(K111&lt;=0,"",
        IF(
            MIN(3,ROUNDUP(MAX(0,K111-(MAX(1,Q111)-1)*IF(TRIM(N111&amp;"")="111444",10,20))/IF(TRIM(N111&amp;"")="111444",10,20),0))=1,
            300,
            IF(
                MIN(3,ROUNDUP(MAX(0,K111-(MAX(1,Q111)-1)*IF(TRIM(N111&amp;"")="111444",10,20))/IF(TRIM(N111&amp;"")="111444",10,20),0))=2,
                450,
                600
            )
        )
    ),
    ""
)</f>
        <v/>
      </c>
    </row>
    <row r="112" spans="1:22" ht="48.2" customHeight="1" x14ac:dyDescent="0.25">
      <c r="A112" s="17">
        <f>VLOOKUP(C112,[1]Werke!$A$1:$C$168,3,0)</f>
        <v>24</v>
      </c>
      <c r="B112" s="17" t="str">
        <f>VLOOKUP(C112,[1]Werke!$A$1:$C$168,2,0)</f>
        <v>CKL</v>
      </c>
      <c r="C112" s="18" t="s">
        <v>212</v>
      </c>
      <c r="D112" s="17">
        <f>VLOOKUP(C112,[1]Maliteslimalan!$A$1:$B$210,2,0)</f>
        <v>8000016624</v>
      </c>
      <c r="E112" s="19">
        <v>6</v>
      </c>
      <c r="F112" s="20" t="str">
        <f>VLOOKUP(G112,$U$1:$V$1730,2,0)</f>
        <v>N   106 902 01</v>
      </c>
      <c r="G112" s="21">
        <v>924840000</v>
      </c>
      <c r="H112" s="17">
        <f>VLOOKUP(G112,Z$2:AA$1905,2,FALSE)</f>
        <v>3.1399999999999997E-2</v>
      </c>
      <c r="I112" s="20"/>
      <c r="J112" s="17">
        <f>VLOOKUP(G112,W$2:X$1905,2,FALSE)</f>
        <v>350</v>
      </c>
      <c r="K112" s="17">
        <f>I112/J112</f>
        <v>0</v>
      </c>
      <c r="L112" s="22">
        <v>10</v>
      </c>
      <c r="M112" s="22">
        <v>10</v>
      </c>
      <c r="N112" s="22">
        <v>111444</v>
      </c>
      <c r="O112" s="22" t="str">
        <f>VLOOKUP(N112,$AL$1285:$AM$1310,2,FALSE)</f>
        <v>001006</v>
      </c>
      <c r="P112" s="22">
        <f>VLOOKUP(N112,AC$2:AD$1905,2,FALSE)</f>
        <v>34</v>
      </c>
      <c r="Q112" s="22"/>
      <c r="R112" s="23" t="s">
        <v>153</v>
      </c>
      <c r="S112" s="22">
        <f>VLOOKUP(R112,AC$2:AD$1905,2,FALSE)</f>
        <v>0.56999999999999995</v>
      </c>
      <c r="T112" s="24">
        <f>(H112*I112)+P112*Q112+S112*K112</f>
        <v>0</v>
      </c>
      <c r="U112" s="25">
        <f>IF(TRIM(N112&amp;"")="111444",
    IF(ROUNDUP(MAX(0,K112-(MAX(1,Q112)-1)*10)/10,0)=1,3,2),
    IF(TRIM(N112&amp;"")="VWPAL",
        IF(TRIM(R112&amp;"")="004147",1,2),
        ""
    )
)</f>
        <v>2</v>
      </c>
      <c r="V112" s="26" t="str">
        <f>IF(OR(TRIM(N112&amp;"")="111444",TRIM(N112&amp;"")="VWPAL"),
    IF(K112&lt;=0,"",
        IF(
            MIN(3,ROUNDUP(MAX(0,K112-(MAX(1,Q112)-1)*IF(TRIM(N112&amp;"")="111444",10,20))/IF(TRIM(N112&amp;"")="111444",10,20),0))=1,
            300,
            IF(
                MIN(3,ROUNDUP(MAX(0,K112-(MAX(1,Q112)-1)*IF(TRIM(N112&amp;"")="111444",10,20))/IF(TRIM(N112&amp;"")="111444",10,20),0))=2,
                450,
                600
            )
        )
    ),
    ""
)</f>
        <v/>
      </c>
    </row>
    <row r="113" spans="1:22" ht="48.2" customHeight="1" x14ac:dyDescent="0.25">
      <c r="A113" s="17" t="str">
        <f>VLOOKUP(C113,[1]Werke!$A$1:$C$168,3,0)</f>
        <v>26D</v>
      </c>
      <c r="B113" s="17" t="str">
        <f>VLOOKUP(C113,[1]Werke!$A$1:$C$168,2,0)</f>
        <v>G18</v>
      </c>
      <c r="C113" s="18" t="s">
        <v>172</v>
      </c>
      <c r="D113" s="17" t="str">
        <f>VLOOKUP(C113,[1]Maliteslimalan!$A$1:$B$210,2,0)</f>
        <v>8000012600</v>
      </c>
      <c r="E113" s="19">
        <f>VLOOKUP(C113,[1]Bestellnr.!$A$1:$B$174,2,0)</f>
        <v>0</v>
      </c>
      <c r="F113" s="20" t="str">
        <f>VLOOKUP(G113,$U$1:$V$1730,2,0)</f>
        <v>N   106 902 01</v>
      </c>
      <c r="G113" s="21">
        <v>924840000</v>
      </c>
      <c r="H113" s="17">
        <f>VLOOKUP(G113,Z$2:AA$1905,2,FALSE)</f>
        <v>3.1399999999999997E-2</v>
      </c>
      <c r="I113" s="20"/>
      <c r="J113" s="17">
        <f>VLOOKUP(G113,W$2:X$1905,2,FALSE)</f>
        <v>350</v>
      </c>
      <c r="K113" s="17">
        <f>I113/J113</f>
        <v>0</v>
      </c>
      <c r="L113" s="22">
        <v>10</v>
      </c>
      <c r="M113" s="22">
        <v>20</v>
      </c>
      <c r="N113" s="22">
        <v>111444</v>
      </c>
      <c r="O113" s="22" t="str">
        <f>VLOOKUP(N113,$AL$1285:$AM$1310,2,FALSE)</f>
        <v>001006</v>
      </c>
      <c r="P113" s="22">
        <f>VLOOKUP(N113,AC$2:AD$1905,2,FALSE)</f>
        <v>34</v>
      </c>
      <c r="Q113" s="22"/>
      <c r="R113" s="23" t="s">
        <v>153</v>
      </c>
      <c r="S113" s="22">
        <f>VLOOKUP(R113,AC$2:AD$1905,2,FALSE)</f>
        <v>0.56999999999999995</v>
      </c>
      <c r="T113" s="24">
        <f>(H113*I113)+P113*Q113+S113*K113</f>
        <v>0</v>
      </c>
      <c r="U113" s="25">
        <f>IF(TRIM(N113&amp;"")="111444",
    IF(ROUNDUP(MAX(0,K113-(MAX(1,Q113)-1)*10)/10,0)=1,3,2),
    IF(TRIM(N113&amp;"")="VWPAL",
        IF(TRIM(R113&amp;"")="004147",1,2),
        ""
    )
)</f>
        <v>2</v>
      </c>
      <c r="V113" s="26" t="str">
        <f>IF(OR(TRIM(N113&amp;"")="111444",TRIM(N113&amp;"")="VWPAL"),
    IF(K113&lt;=0,"",
        IF(
            MIN(3,ROUNDUP(MAX(0,K113-(MAX(1,Q113)-1)*IF(TRIM(N113&amp;"")="111444",10,20))/IF(TRIM(N113&amp;"")="111444",10,20),0))=1,
            300,
            IF(
                MIN(3,ROUNDUP(MAX(0,K113-(MAX(1,Q113)-1)*IF(TRIM(N113&amp;"")="111444",10,20))/IF(TRIM(N113&amp;"")="111444",10,20),0))=2,
                450,
                600
            )
        )
    ),
    ""
)</f>
        <v/>
      </c>
    </row>
    <row r="114" spans="1:22" ht="48.2" customHeight="1" x14ac:dyDescent="0.25">
      <c r="A114" s="17" t="str">
        <f>VLOOKUP(C114,[1]Werke!$A$1:$C$168,3,0)</f>
        <v>16D</v>
      </c>
      <c r="B114" s="17">
        <f>VLOOKUP(C114,[1]Werke!$A$1:$C$168,2,0)</f>
        <v>210</v>
      </c>
      <c r="C114" s="18" t="s">
        <v>182</v>
      </c>
      <c r="D114" s="17" t="str">
        <f>VLOOKUP(C114,[1]Maliteslimalan!$A$1:$B$210,2,0)</f>
        <v>8000012565</v>
      </c>
      <c r="E114" s="19">
        <f>VLOOKUP(C114,[1]Bestellnr.!$A$1:$B$174,2,0)</f>
        <v>0</v>
      </c>
      <c r="F114" s="20" t="str">
        <f>VLOOKUP(G114,$U$1:$V$1730,2,0)</f>
        <v>N   106 902 01</v>
      </c>
      <c r="G114" s="21">
        <v>924840000</v>
      </c>
      <c r="H114" s="17">
        <f>VLOOKUP(G114,Z$2:AA$1905,2,FALSE)</f>
        <v>3.1399999999999997E-2</v>
      </c>
      <c r="I114" s="20"/>
      <c r="J114" s="17">
        <f>VLOOKUP(G114,W$2:X$1905,2,FALSE)</f>
        <v>350</v>
      </c>
      <c r="K114" s="17">
        <f>I114/J114</f>
        <v>0</v>
      </c>
      <c r="L114" s="22">
        <v>10</v>
      </c>
      <c r="M114" s="22">
        <v>30</v>
      </c>
      <c r="N114" s="22">
        <v>111444</v>
      </c>
      <c r="O114" s="22" t="str">
        <f>VLOOKUP(N114,$AL$1285:$AM$1310,2,FALSE)</f>
        <v>001006</v>
      </c>
      <c r="P114" s="22">
        <f>VLOOKUP(N114,AC$2:AD$1905,2,FALSE)</f>
        <v>34</v>
      </c>
      <c r="Q114" s="22"/>
      <c r="R114" s="23" t="s">
        <v>153</v>
      </c>
      <c r="S114" s="22">
        <f>VLOOKUP(R114,AC$2:AD$1905,2,FALSE)</f>
        <v>0.56999999999999995</v>
      </c>
      <c r="T114" s="24">
        <f>(H114*I114)+P114*Q114+S114*K114</f>
        <v>0</v>
      </c>
      <c r="U114" s="25">
        <f>IF(TRIM(N114&amp;"")="111444",
    IF(ROUNDUP(MAX(0,K114-(MAX(1,Q114)-1)*10)/10,0)=1,3,2),
    IF(TRIM(N114&amp;"")="VWPAL",
        IF(TRIM(R114&amp;"")="004147",1,2),
        ""
    )
)</f>
        <v>2</v>
      </c>
      <c r="V114" s="26" t="str">
        <f>IF(OR(TRIM(N114&amp;"")="111444",TRIM(N114&amp;"")="VWPAL"),
    IF(K114&lt;=0,"",
        IF(
            MIN(3,ROUNDUP(MAX(0,K114-(MAX(1,Q114)-1)*IF(TRIM(N114&amp;"")="111444",10,20))/IF(TRIM(N114&amp;"")="111444",10,20),0))=1,
            300,
            IF(
                MIN(3,ROUNDUP(MAX(0,K114-(MAX(1,Q114)-1)*IF(TRIM(N114&amp;"")="111444",10,20))/IF(TRIM(N114&amp;"")="111444",10,20),0))=2,
                450,
                600
            )
        )
    ),
    ""
)</f>
        <v/>
      </c>
    </row>
    <row r="115" spans="1:22" ht="48.2" customHeight="1" x14ac:dyDescent="0.25">
      <c r="A115" s="17"/>
      <c r="B115" s="17"/>
      <c r="C115" s="18"/>
      <c r="D115" s="17"/>
      <c r="E115" s="19"/>
      <c r="F115" s="20"/>
      <c r="G115" s="21"/>
      <c r="H115" s="17"/>
      <c r="I115" s="20"/>
      <c r="J115" s="17"/>
      <c r="K115" s="17"/>
      <c r="L115" s="22"/>
      <c r="M115" s="22"/>
      <c r="N115" s="22"/>
      <c r="O115" s="22"/>
      <c r="P115" s="22"/>
      <c r="Q115" s="22"/>
      <c r="R115" s="23"/>
      <c r="S115" s="22"/>
      <c r="T115" s="24"/>
      <c r="U115" s="25"/>
    </row>
    <row r="116" spans="1:22" ht="48.2" customHeight="1" x14ac:dyDescent="0.25">
      <c r="A116" s="17">
        <f>VLOOKUP(C116,[1]Werke!$A$1:$C$168,3,0)</f>
        <v>69</v>
      </c>
      <c r="B116" s="17" t="str">
        <f>VLOOKUP(C116,[1]Werke!$A$1:$C$168,2,0)</f>
        <v>AKL</v>
      </c>
      <c r="C116" s="18" t="s">
        <v>213</v>
      </c>
      <c r="D116" s="17">
        <f>VLOOKUP(C116,[1]Maliteslimalan!$A$1:$B$210,2,0)</f>
        <v>8000017492</v>
      </c>
      <c r="E116" s="19">
        <v>6</v>
      </c>
      <c r="F116" s="20" t="str">
        <f>VLOOKUP(G116,$U$1:$V$1730,2,0)</f>
        <v>N   107 180 01</v>
      </c>
      <c r="G116" s="21">
        <v>936101000</v>
      </c>
      <c r="H116" s="17">
        <f>VLOOKUP(G116,Z$2:AA$1905,2,FALSE)</f>
        <v>9.9400000000000002E-2</v>
      </c>
      <c r="I116" s="20"/>
      <c r="J116" s="17">
        <v>100</v>
      </c>
      <c r="K116" s="17">
        <f>I116/J116</f>
        <v>0</v>
      </c>
      <c r="L116" s="22">
        <v>10</v>
      </c>
      <c r="M116" s="22">
        <v>10</v>
      </c>
      <c r="N116" s="22" t="s">
        <v>155</v>
      </c>
      <c r="O116" s="22" t="str">
        <f>VLOOKUP(N116,$AL$1285:$AM$1310,2,FALSE)</f>
        <v>001210</v>
      </c>
      <c r="P116" s="22">
        <f>VLOOKUP(N116,AC$2:AD$1905,2,FALSE)</f>
        <v>55</v>
      </c>
      <c r="Q116" s="22"/>
      <c r="R116" s="23" t="s">
        <v>175</v>
      </c>
      <c r="S116" s="22">
        <f>VLOOKUP(R116,AC$2:AD$1905,2,FALSE)</f>
        <v>1.08</v>
      </c>
      <c r="T116" s="24">
        <f>(H116*I116)+P116*Q116+S116*K116</f>
        <v>0</v>
      </c>
      <c r="U116" s="25">
        <f>IF(TRIM(N116&amp;"")="111444",
    IF(ROUNDUP(MAX(0,K116-(MAX(1,Q116)-1)*10)/10,0)=1,3,2),
    IF(TRIM(N116&amp;"")="VWPAL",
        IF(TRIM(R116&amp;"")="004147",1,2),
        ""
    )
)</f>
        <v>1</v>
      </c>
      <c r="V116" s="26" t="str">
        <f>IF(OR(TRIM(N116&amp;"")="111444",TRIM(N116&amp;"")="VWPAL"),
    IF(K116&lt;=0,"",
        IF(
            MIN(3,ROUNDUP(MAX(0,K116-(MAX(1,Q116)-1)*IF(TRIM(N116&amp;"")="111444",10,20))/IF(TRIM(N116&amp;"")="111444",10,20),0))=1,
            300,
            IF(
                MIN(3,ROUNDUP(MAX(0,K116-(MAX(1,Q116)-1)*IF(TRIM(N116&amp;"")="111444",10,20))/IF(TRIM(N116&amp;"")="111444",10,20),0))=2,
                450,
                600
            )
        )
    ),
    ""
)</f>
        <v/>
      </c>
    </row>
    <row r="117" spans="1:22" ht="48.2" customHeight="1" x14ac:dyDescent="0.25">
      <c r="A117" s="17">
        <f>VLOOKUP(C117,[1]Werke!$A$1:$C$168,3,0)</f>
        <v>14</v>
      </c>
      <c r="B117" s="17" t="str">
        <f>VLOOKUP(C117,[1]Werke!$A$1:$C$168,2,0)</f>
        <v>D72</v>
      </c>
      <c r="C117" s="18" t="s">
        <v>169</v>
      </c>
      <c r="D117" s="17" t="str">
        <f>VLOOKUP(C117,[1]Maliteslimalan!$A$1:$B$210,2,0)</f>
        <v>8000013493</v>
      </c>
      <c r="E117" s="19">
        <f>VLOOKUP(C117,[1]Bestellnr.!$A$1:$B$174,2,0)</f>
        <v>0</v>
      </c>
      <c r="F117" s="20" t="str">
        <f>VLOOKUP(G117,$U$1:$V$1730,2,0)</f>
        <v>N   107 180 01</v>
      </c>
      <c r="G117" s="21">
        <v>936101000</v>
      </c>
      <c r="H117" s="17">
        <f>VLOOKUP(G117,Z$2:AA$1905,2,FALSE)</f>
        <v>9.9400000000000002E-2</v>
      </c>
      <c r="I117" s="20"/>
      <c r="J117" s="17">
        <f>VLOOKUP(G117,W$2:X$1905,2,FALSE)</f>
        <v>50</v>
      </c>
      <c r="K117" s="17">
        <f>I117/J117</f>
        <v>0</v>
      </c>
      <c r="L117" s="22">
        <v>10</v>
      </c>
      <c r="M117" s="22">
        <v>30</v>
      </c>
      <c r="N117" s="22" t="s">
        <v>155</v>
      </c>
      <c r="O117" s="22" t="str">
        <f>VLOOKUP(N117,$AL$1285:$AM$1310,2,FALSE)</f>
        <v>001210</v>
      </c>
      <c r="P117" s="22">
        <f>VLOOKUP(N117,AC$2:AD$1905,2,FALSE)</f>
        <v>55</v>
      </c>
      <c r="Q117" s="22"/>
      <c r="R117" s="23" t="s">
        <v>175</v>
      </c>
      <c r="S117" s="22">
        <f>VLOOKUP(R117,AC$2:AD$1905,2,FALSE)</f>
        <v>1.08</v>
      </c>
      <c r="T117" s="24">
        <f>(H117*I117)+P117*Q117+S117*K117</f>
        <v>0</v>
      </c>
      <c r="U117" s="25">
        <f>IF(TRIM(N117&amp;"")="111444",
    IF(ROUNDUP(MAX(0,K117-(MAX(1,Q117)-1)*10)/10,0)=1,3,2),
    IF(TRIM(N117&amp;"")="VWPAL",
        IF(TRIM(R117&amp;"")="004147",1,2),
        ""
    )
)</f>
        <v>1</v>
      </c>
      <c r="V117" s="26" t="str">
        <f>IF(OR(TRIM(N117&amp;"")="111444",TRIM(N117&amp;"")="VWPAL"),
    IF(K117&lt;=0,"",
        IF(
            MIN(3,ROUNDUP(MAX(0,K117-(MAX(1,Q117)-1)*IF(TRIM(N117&amp;"")="111444",10,20))/IF(TRIM(N117&amp;"")="111444",10,20),0))=1,
            300,
            IF(
                MIN(3,ROUNDUP(MAX(0,K117-(MAX(1,Q117)-1)*IF(TRIM(N117&amp;"")="111444",10,20))/IF(TRIM(N117&amp;"")="111444",10,20),0))=2,
                450,
                600
            )
        )
    ),
    ""
)</f>
        <v/>
      </c>
    </row>
    <row r="118" spans="1:22" ht="48.2" customHeight="1" x14ac:dyDescent="0.25">
      <c r="A118" s="17"/>
      <c r="B118" s="17"/>
      <c r="C118" s="18"/>
      <c r="D118" s="17"/>
      <c r="E118" s="19"/>
      <c r="F118" s="20"/>
      <c r="G118" s="21"/>
      <c r="H118" s="17"/>
      <c r="I118" s="20"/>
      <c r="J118" s="17"/>
      <c r="K118" s="17"/>
      <c r="L118" s="22"/>
      <c r="M118" s="22"/>
      <c r="N118" s="22"/>
      <c r="O118" s="22"/>
      <c r="P118" s="22"/>
      <c r="Q118" s="22"/>
      <c r="R118" s="23"/>
      <c r="S118" s="22"/>
      <c r="T118" s="24"/>
      <c r="U118" s="25"/>
    </row>
    <row r="119" spans="1:22" ht="48" customHeight="1" x14ac:dyDescent="0.25">
      <c r="A119" s="17">
        <f>VLOOKUP(C119,[1]Werke!$A$1:$C$168,3,0)</f>
        <v>21</v>
      </c>
      <c r="B119" s="17" t="str">
        <f>VLOOKUP(C119,[1]Werke!$A$1:$C$168,2,0)</f>
        <v>GZD</v>
      </c>
      <c r="C119" s="18" t="s">
        <v>154</v>
      </c>
      <c r="D119" s="17" t="str">
        <f>VLOOKUP(C119,[1]Maliteslimalan!$A$1:$B$210,2,0)</f>
        <v>8000012572</v>
      </c>
      <c r="E119" s="19" t="str">
        <f>VLOOKUP(C119,[1]Bestellnr.!$A$1:$B$174,2,0)</f>
        <v>000006</v>
      </c>
      <c r="F119" s="20" t="str">
        <f t="shared" ref="F119:F124" si="52">VLOOKUP(G119,$U$1:$V$1730,2,0)</f>
        <v>N   107 739 01</v>
      </c>
      <c r="G119" s="21">
        <v>928032000</v>
      </c>
      <c r="H119" s="17">
        <f t="shared" ref="H119:H124" si="53">VLOOKUP(G119,Z$2:AA$1905,2,FALSE)</f>
        <v>6.5519999999999995E-2</v>
      </c>
      <c r="I119" s="20"/>
      <c r="J119" s="17">
        <f>VLOOKUP(G119,W$2:X$1905,2,FALSE)</f>
        <v>150</v>
      </c>
      <c r="K119" s="17">
        <f t="shared" ref="K119:K124" si="54">I119/J119</f>
        <v>0</v>
      </c>
      <c r="L119" s="22">
        <v>20</v>
      </c>
      <c r="M119" s="22">
        <v>60</v>
      </c>
      <c r="N119" s="22" t="s">
        <v>155</v>
      </c>
      <c r="O119" s="22" t="str">
        <f t="shared" ref="O119:O124" si="55">VLOOKUP(N119,$AL$1285:$AM$1310,2,FALSE)</f>
        <v>001210</v>
      </c>
      <c r="P119" s="22">
        <f t="shared" ref="P119:P124" si="56">VLOOKUP(N119,AC$2:AD$1905,2,FALSE)</f>
        <v>55</v>
      </c>
      <c r="Q119" s="22"/>
      <c r="R119" s="23" t="s">
        <v>153</v>
      </c>
      <c r="S119" s="22">
        <f t="shared" ref="S119:S124" si="57">VLOOKUP(R119,AC$2:AD$1905,2,FALSE)</f>
        <v>0.56999999999999995</v>
      </c>
      <c r="T119" s="24">
        <f t="shared" ref="T119:T124" si="58">(H119*I119)+P119*Q119+S119*K119</f>
        <v>0</v>
      </c>
      <c r="U119" s="25">
        <f t="shared" ref="U119:U124" si="59">IF(TRIM(N119&amp;"")="111444",
    IF(ROUNDUP(MAX(0,K119-(MAX(1,Q119)-1)*10)/10,0)=1,3,2),
    IF(TRIM(N119&amp;"")="VWPAL",
        IF(TRIM(R119&amp;"")="004147",1,2),
        ""
    )
)</f>
        <v>2</v>
      </c>
      <c r="V119" s="26" t="str">
        <f t="shared" ref="V119:V124" si="60">IF(OR(TRIM(N119&amp;"")="111444",TRIM(N119&amp;"")="VWPAL"),
    IF(K119&lt;=0,"",
        IF(
            MIN(3,ROUNDUP(MAX(0,K119-(MAX(1,Q119)-1)*IF(TRIM(N119&amp;"")="111444",10,20))/IF(TRIM(N119&amp;"")="111444",10,20),0))=1,
            300,
            IF(
                MIN(3,ROUNDUP(MAX(0,K119-(MAX(1,Q119)-1)*IF(TRIM(N119&amp;"")="111444",10,20))/IF(TRIM(N119&amp;"")="111444",10,20),0))=2,
                450,
                600
            )
        )
    ),
    ""
)</f>
        <v/>
      </c>
    </row>
    <row r="120" spans="1:22" ht="48" customHeight="1" x14ac:dyDescent="0.25">
      <c r="A120" s="17">
        <f>VLOOKUP(C120,[1]Werke!$A$1:$C$168,3,0)</f>
        <v>37</v>
      </c>
      <c r="B120" s="17" t="str">
        <f>VLOOKUP(C120,[1]Werke!$A$1:$C$168,2,0)</f>
        <v>AKL</v>
      </c>
      <c r="C120" s="18" t="s">
        <v>184</v>
      </c>
      <c r="D120" s="17" t="str">
        <f>VLOOKUP(C120,[1]Maliteslimalan!$A$1:$B$210,2,0)</f>
        <v>8000012562</v>
      </c>
      <c r="E120" s="19" t="str">
        <f>VLOOKUP(C120,[1]Bestellnr.!$A$1:$B$174,2,0)</f>
        <v>000006</v>
      </c>
      <c r="F120" s="20" t="str">
        <f t="shared" si="52"/>
        <v>N   107 739 01</v>
      </c>
      <c r="G120" s="21">
        <v>928032000</v>
      </c>
      <c r="H120" s="17">
        <f t="shared" si="53"/>
        <v>6.5519999999999995E-2</v>
      </c>
      <c r="I120" s="20"/>
      <c r="J120" s="17">
        <f>VLOOKUP(G120,W$2:X$1905,2,FALSE)</f>
        <v>150</v>
      </c>
      <c r="K120" s="17">
        <f t="shared" si="54"/>
        <v>0</v>
      </c>
      <c r="L120" s="22">
        <v>10</v>
      </c>
      <c r="M120" s="22">
        <v>30</v>
      </c>
      <c r="N120" s="22">
        <v>111444</v>
      </c>
      <c r="O120" s="22" t="str">
        <f t="shared" si="55"/>
        <v>001006</v>
      </c>
      <c r="P120" s="22">
        <f t="shared" si="56"/>
        <v>34</v>
      </c>
      <c r="Q120" s="22"/>
      <c r="R120" s="23" t="s">
        <v>153</v>
      </c>
      <c r="S120" s="22">
        <f t="shared" si="57"/>
        <v>0.56999999999999995</v>
      </c>
      <c r="T120" s="24">
        <f t="shared" si="58"/>
        <v>0</v>
      </c>
      <c r="U120" s="25">
        <f t="shared" si="59"/>
        <v>2</v>
      </c>
      <c r="V120" s="26" t="str">
        <f t="shared" si="60"/>
        <v/>
      </c>
    </row>
    <row r="121" spans="1:22" ht="48" customHeight="1" x14ac:dyDescent="0.25">
      <c r="A121" s="17">
        <f>VLOOKUP(C121,[1]Werke!$A$1:$C$168,3,0)</f>
        <v>14</v>
      </c>
      <c r="B121" s="17" t="str">
        <f>VLOOKUP(C121,[1]Werke!$A$1:$C$168,2,0)</f>
        <v>D85</v>
      </c>
      <c r="C121" s="18" t="s">
        <v>204</v>
      </c>
      <c r="D121" s="17" t="str">
        <f>VLOOKUP(C121,[1]Maliteslimalan!$A$1:$B$210,2,0)</f>
        <v>8000012682</v>
      </c>
      <c r="E121" s="19">
        <f>VLOOKUP(C121,[1]Bestellnr.!$A$1:$B$174,2,0)</f>
        <v>0</v>
      </c>
      <c r="F121" s="20" t="str">
        <f t="shared" si="52"/>
        <v>N   107 739 01</v>
      </c>
      <c r="G121" s="21">
        <v>928032000</v>
      </c>
      <c r="H121" s="17">
        <f t="shared" si="53"/>
        <v>6.5519999999999995E-2</v>
      </c>
      <c r="I121" s="20"/>
      <c r="J121" s="17">
        <v>150</v>
      </c>
      <c r="K121" s="17">
        <f t="shared" si="54"/>
        <v>0</v>
      </c>
      <c r="L121" s="22">
        <v>10</v>
      </c>
      <c r="M121" s="22">
        <v>10</v>
      </c>
      <c r="N121" s="22">
        <v>111444</v>
      </c>
      <c r="O121" s="22" t="str">
        <f t="shared" si="55"/>
        <v>001006</v>
      </c>
      <c r="P121" s="22">
        <f t="shared" si="56"/>
        <v>34</v>
      </c>
      <c r="Q121" s="22"/>
      <c r="R121" s="23" t="s">
        <v>153</v>
      </c>
      <c r="S121" s="22">
        <f t="shared" si="57"/>
        <v>0.56999999999999995</v>
      </c>
      <c r="T121" s="24">
        <f t="shared" si="58"/>
        <v>0</v>
      </c>
      <c r="U121" s="25">
        <f t="shared" si="59"/>
        <v>2</v>
      </c>
      <c r="V121" s="26" t="str">
        <f t="shared" si="60"/>
        <v/>
      </c>
    </row>
    <row r="122" spans="1:22" ht="48" customHeight="1" x14ac:dyDescent="0.25">
      <c r="A122" s="17">
        <f>VLOOKUP(C122,[1]Werke!$A$1:$C$168,3,0)</f>
        <v>24</v>
      </c>
      <c r="B122" s="17" t="str">
        <f>VLOOKUP(C122,[1]Werke!$A$1:$C$168,2,0)</f>
        <v>CKH</v>
      </c>
      <c r="C122" s="18" t="s">
        <v>195</v>
      </c>
      <c r="D122" s="17">
        <f>VLOOKUP(C122,[1]Maliteslimalan!$A$1:$B$210,2,0)</f>
        <v>8000013551</v>
      </c>
      <c r="E122" s="19">
        <v>6</v>
      </c>
      <c r="F122" s="20" t="str">
        <f t="shared" si="52"/>
        <v>N   107 739 01</v>
      </c>
      <c r="G122" s="21">
        <v>928032000</v>
      </c>
      <c r="H122" s="17">
        <f t="shared" si="53"/>
        <v>6.5519999999999995E-2</v>
      </c>
      <c r="I122" s="20"/>
      <c r="J122" s="17">
        <f>VLOOKUP(G122,W$2:X$1905,2,FALSE)</f>
        <v>150</v>
      </c>
      <c r="K122" s="17">
        <f t="shared" si="54"/>
        <v>0</v>
      </c>
      <c r="L122" s="22">
        <v>10</v>
      </c>
      <c r="M122" s="22">
        <v>30</v>
      </c>
      <c r="N122" s="22">
        <v>111444</v>
      </c>
      <c r="O122" s="22" t="str">
        <f t="shared" si="55"/>
        <v>001006</v>
      </c>
      <c r="P122" s="22">
        <f t="shared" si="56"/>
        <v>34</v>
      </c>
      <c r="Q122" s="22"/>
      <c r="R122" s="23" t="s">
        <v>153</v>
      </c>
      <c r="S122" s="22">
        <f t="shared" si="57"/>
        <v>0.56999999999999995</v>
      </c>
      <c r="T122" s="24">
        <f t="shared" si="58"/>
        <v>0</v>
      </c>
      <c r="U122" s="25">
        <f t="shared" si="59"/>
        <v>2</v>
      </c>
      <c r="V122" s="26" t="str">
        <f t="shared" si="60"/>
        <v/>
      </c>
    </row>
    <row r="123" spans="1:22" ht="48" customHeight="1" x14ac:dyDescent="0.25">
      <c r="A123" s="17" t="str">
        <f>VLOOKUP(C123,[1]Werke!$A$1:$C$168,3,0)</f>
        <v>RC</v>
      </c>
      <c r="B123" s="17" t="str">
        <f>VLOOKUP(C123,[1]Werke!$A$1:$C$168,2,0)</f>
        <v>CKD</v>
      </c>
      <c r="C123" s="18" t="s">
        <v>214</v>
      </c>
      <c r="D123" s="17" t="str">
        <f>VLOOKUP(C123,[1]Maliteslimalan!$A$1:$B$210,2,0)</f>
        <v>8000012593</v>
      </c>
      <c r="E123" s="19" t="str">
        <f>VLOOKUP(C123,[1]Bestellnr.!$A$1:$B$174,2,0)</f>
        <v>000006</v>
      </c>
      <c r="F123" s="20" t="str">
        <f t="shared" si="52"/>
        <v>N   107 739 01</v>
      </c>
      <c r="G123" s="21">
        <v>928032000</v>
      </c>
      <c r="H123" s="17">
        <f t="shared" si="53"/>
        <v>6.5519999999999995E-2</v>
      </c>
      <c r="I123" s="20"/>
      <c r="J123" s="17">
        <f>VLOOKUP(G123,W$2:X$1905,2,FALSE)</f>
        <v>150</v>
      </c>
      <c r="K123" s="17">
        <f t="shared" si="54"/>
        <v>0</v>
      </c>
      <c r="L123" s="22">
        <v>10</v>
      </c>
      <c r="M123" s="22">
        <v>30</v>
      </c>
      <c r="N123" s="22">
        <v>111444</v>
      </c>
      <c r="O123" s="22" t="str">
        <f t="shared" si="55"/>
        <v>001006</v>
      </c>
      <c r="P123" s="22">
        <f t="shared" si="56"/>
        <v>34</v>
      </c>
      <c r="Q123" s="22"/>
      <c r="R123" s="23" t="s">
        <v>153</v>
      </c>
      <c r="S123" s="22">
        <f t="shared" si="57"/>
        <v>0.56999999999999995</v>
      </c>
      <c r="T123" s="24">
        <f t="shared" si="58"/>
        <v>0</v>
      </c>
      <c r="U123" s="25">
        <f t="shared" si="59"/>
        <v>2</v>
      </c>
      <c r="V123" s="26" t="str">
        <f t="shared" si="60"/>
        <v/>
      </c>
    </row>
    <row r="124" spans="1:22" ht="48" customHeight="1" x14ac:dyDescent="0.25">
      <c r="A124" s="17">
        <f>VLOOKUP(C124,[1]Werke!$A$1:$C$168,3,0)</f>
        <v>24</v>
      </c>
      <c r="B124" s="17" t="str">
        <f>VLOOKUP(C124,[1]Werke!$A$1:$C$168,2,0)</f>
        <v>CKS</v>
      </c>
      <c r="C124" s="18" t="s">
        <v>188</v>
      </c>
      <c r="D124" s="17" t="str">
        <f>VLOOKUP(C124,[1]Maliteslimalan!$A$1:$B$210,2,0)</f>
        <v>8000012647</v>
      </c>
      <c r="E124" s="19" t="str">
        <f>VLOOKUP(C124,[1]Bestellnr.!$A$1:$B$174,2,0)</f>
        <v>000006</v>
      </c>
      <c r="F124" s="20" t="str">
        <f t="shared" si="52"/>
        <v>N   107 739 01</v>
      </c>
      <c r="G124" s="21">
        <v>928032000</v>
      </c>
      <c r="H124" s="17">
        <f t="shared" si="53"/>
        <v>6.5519999999999995E-2</v>
      </c>
      <c r="I124" s="20"/>
      <c r="J124" s="17">
        <f>VLOOKUP(G124,W$2:X$1905,2,FALSE)</f>
        <v>150</v>
      </c>
      <c r="K124" s="17">
        <f t="shared" si="54"/>
        <v>0</v>
      </c>
      <c r="L124" s="22">
        <v>10</v>
      </c>
      <c r="M124" s="22">
        <v>30</v>
      </c>
      <c r="N124" s="22">
        <v>111444</v>
      </c>
      <c r="O124" s="22" t="str">
        <f t="shared" si="55"/>
        <v>001006</v>
      </c>
      <c r="P124" s="22">
        <f t="shared" si="56"/>
        <v>34</v>
      </c>
      <c r="Q124" s="22"/>
      <c r="R124" s="23" t="s">
        <v>153</v>
      </c>
      <c r="S124" s="22">
        <f t="shared" si="57"/>
        <v>0.56999999999999995</v>
      </c>
      <c r="T124" s="24">
        <f t="shared" si="58"/>
        <v>0</v>
      </c>
      <c r="U124" s="25">
        <f t="shared" si="59"/>
        <v>2</v>
      </c>
      <c r="V124" s="26" t="str">
        <f t="shared" si="60"/>
        <v/>
      </c>
    </row>
    <row r="125" spans="1:22" ht="48" customHeight="1" x14ac:dyDescent="0.25">
      <c r="A125" s="17"/>
      <c r="B125" s="17"/>
      <c r="C125" s="18"/>
      <c r="D125" s="17"/>
      <c r="E125" s="19"/>
      <c r="F125" s="20"/>
      <c r="G125" s="21"/>
      <c r="H125" s="17"/>
      <c r="I125" s="20"/>
      <c r="J125" s="17"/>
      <c r="K125" s="17"/>
      <c r="L125" s="22"/>
      <c r="M125" s="22"/>
      <c r="N125" s="22"/>
      <c r="O125" s="22"/>
      <c r="P125" s="22"/>
      <c r="Q125" s="22"/>
      <c r="R125" s="23"/>
      <c r="S125" s="22"/>
      <c r="T125" s="24"/>
      <c r="U125" s="25"/>
    </row>
    <row r="126" spans="1:22" ht="48.2" customHeight="1" x14ac:dyDescent="0.25">
      <c r="A126" s="17">
        <f>VLOOKUP(C126,[1]Werke!$A$1:$C$168,3,0)</f>
        <v>24</v>
      </c>
      <c r="B126" s="17" t="str">
        <f>VLOOKUP(C126,[1]Werke!$A$1:$C$168,2,0)</f>
        <v>CKH</v>
      </c>
      <c r="C126" s="18" t="s">
        <v>195</v>
      </c>
      <c r="D126" s="17">
        <f>VLOOKUP(C126,[1]Maliteslimalan!$A$1:$B$210,2,0)</f>
        <v>8000013551</v>
      </c>
      <c r="E126" s="19">
        <v>6</v>
      </c>
      <c r="F126" s="20" t="str">
        <f t="shared" ref="F126:F132" si="61">VLOOKUP(G126,$U$1:$V$1730,2,0)</f>
        <v>N   107 817 01</v>
      </c>
      <c r="G126" s="21">
        <v>933879000</v>
      </c>
      <c r="H126" s="17">
        <f t="shared" ref="H126:H132" si="62">VLOOKUP(G126,Z$2:AA$1905,2,FALSE)</f>
        <v>1.7330000000000002E-2</v>
      </c>
      <c r="I126" s="20"/>
      <c r="J126" s="17">
        <f t="shared" ref="J126:J132" si="63">VLOOKUP(G126,W$2:X$1905,2,FALSE)</f>
        <v>800</v>
      </c>
      <c r="K126" s="17">
        <f t="shared" ref="K126:K132" si="64">I126/J126</f>
        <v>0</v>
      </c>
      <c r="L126" s="22">
        <v>10</v>
      </c>
      <c r="M126" s="22">
        <v>30</v>
      </c>
      <c r="N126" s="22">
        <v>111444</v>
      </c>
      <c r="O126" s="22" t="str">
        <f t="shared" ref="O126:O132" si="65">VLOOKUP(N126,$AL$1285:$AM$1310,2,FALSE)</f>
        <v>001006</v>
      </c>
      <c r="P126" s="22">
        <f t="shared" ref="P126:P132" si="66">VLOOKUP(N126,AC$2:AD$1905,2,FALSE)</f>
        <v>34</v>
      </c>
      <c r="Q126" s="22"/>
      <c r="R126" s="23" t="s">
        <v>153</v>
      </c>
      <c r="S126" s="22">
        <f t="shared" ref="S126:S132" si="67">VLOOKUP(R126,AC$2:AD$1905,2,FALSE)</f>
        <v>0.56999999999999995</v>
      </c>
      <c r="T126" s="24">
        <f t="shared" ref="T126:T132" si="68">(H126*I126)+P126*Q126+S126*K126</f>
        <v>0</v>
      </c>
      <c r="U126" s="25">
        <f t="shared" ref="U126:U132" si="69">IF(TRIM(N126&amp;"")="111444",
    IF(ROUNDUP(MAX(0,K126-(MAX(1,Q126)-1)*10)/10,0)=1,3,2),
    IF(TRIM(N126&amp;"")="VWPAL",
        IF(TRIM(R126&amp;"")="004147",1,2),
        ""
    )
)</f>
        <v>2</v>
      </c>
      <c r="V126" s="26" t="str">
        <f t="shared" ref="V126:V132" si="70">IF(OR(TRIM(N126&amp;"")="111444",TRIM(N126&amp;"")="VWPAL"),
    IF(K126&lt;=0,"",
        IF(
            MIN(3,ROUNDUP(MAX(0,K126-(MAX(1,Q126)-1)*IF(TRIM(N126&amp;"")="111444",10,20))/IF(TRIM(N126&amp;"")="111444",10,20),0))=1,
            300,
            IF(
                MIN(3,ROUNDUP(MAX(0,K126-(MAX(1,Q126)-1)*IF(TRIM(N126&amp;"")="111444",10,20))/IF(TRIM(N126&amp;"")="111444",10,20),0))=2,
                450,
                600
            )
        )
    ),
    ""
)</f>
        <v/>
      </c>
    </row>
    <row r="127" spans="1:22" ht="48.2" customHeight="1" x14ac:dyDescent="0.25">
      <c r="A127" s="17">
        <f>VLOOKUP(C127,[1]Werke!$A$1:$C$168,3,0)</f>
        <v>22</v>
      </c>
      <c r="B127" s="17" t="str">
        <f>VLOOKUP(C127,[1]Werke!$A$1:$C$168,2,0)</f>
        <v>13P</v>
      </c>
      <c r="C127" s="18" t="s">
        <v>215</v>
      </c>
      <c r="D127" s="17" t="str">
        <f>VLOOKUP(C127,[1]Maliteslimalan!$A$1:$B$210,2,0)</f>
        <v>8000014259</v>
      </c>
      <c r="E127" s="19" t="str">
        <f>VLOOKUP(C127,[1]Bestellnr.!$A$1:$B$174,2,0)</f>
        <v>000006</v>
      </c>
      <c r="F127" s="20" t="str">
        <f t="shared" si="61"/>
        <v>N   107 817 01</v>
      </c>
      <c r="G127" s="21">
        <v>933879000</v>
      </c>
      <c r="H127" s="17">
        <f t="shared" si="62"/>
        <v>1.7330000000000002E-2</v>
      </c>
      <c r="I127" s="20"/>
      <c r="J127" s="17">
        <f t="shared" si="63"/>
        <v>800</v>
      </c>
      <c r="K127" s="17">
        <f t="shared" si="64"/>
        <v>0</v>
      </c>
      <c r="L127" s="22">
        <v>10</v>
      </c>
      <c r="M127" s="22">
        <v>30</v>
      </c>
      <c r="N127" s="22">
        <v>111444</v>
      </c>
      <c r="O127" s="22" t="str">
        <f t="shared" si="65"/>
        <v>001006</v>
      </c>
      <c r="P127" s="22">
        <f t="shared" si="66"/>
        <v>34</v>
      </c>
      <c r="Q127" s="22"/>
      <c r="R127" s="23" t="s">
        <v>153</v>
      </c>
      <c r="S127" s="22">
        <f t="shared" si="67"/>
        <v>0.56999999999999995</v>
      </c>
      <c r="T127" s="24">
        <f t="shared" si="68"/>
        <v>0</v>
      </c>
      <c r="U127" s="25">
        <f t="shared" si="69"/>
        <v>2</v>
      </c>
      <c r="V127" s="26" t="str">
        <f t="shared" si="70"/>
        <v/>
      </c>
    </row>
    <row r="128" spans="1:22" ht="48.2" customHeight="1" x14ac:dyDescent="0.25">
      <c r="A128" s="17">
        <f>VLOOKUP(C128,[1]Werke!$A$1:$C$168,3,0)</f>
        <v>37</v>
      </c>
      <c r="B128" s="17" t="str">
        <f>VLOOKUP(C128,[1]Werke!$A$1:$C$168,2,0)</f>
        <v>AKL</v>
      </c>
      <c r="C128" s="18" t="s">
        <v>184</v>
      </c>
      <c r="D128" s="17" t="str">
        <f>VLOOKUP(C128,[1]Maliteslimalan!$A$1:$B$210,2,0)</f>
        <v>8000012562</v>
      </c>
      <c r="E128" s="19" t="str">
        <f>VLOOKUP(C128,[1]Bestellnr.!$A$1:$B$174,2,0)</f>
        <v>000006</v>
      </c>
      <c r="F128" s="20" t="str">
        <f t="shared" si="61"/>
        <v>N   107 817 01</v>
      </c>
      <c r="G128" s="21">
        <v>933879000</v>
      </c>
      <c r="H128" s="17">
        <f t="shared" si="62"/>
        <v>1.7330000000000002E-2</v>
      </c>
      <c r="I128" s="20"/>
      <c r="J128" s="17">
        <f t="shared" si="63"/>
        <v>800</v>
      </c>
      <c r="K128" s="17">
        <f t="shared" si="64"/>
        <v>0</v>
      </c>
      <c r="L128" s="22">
        <v>10</v>
      </c>
      <c r="M128" s="22">
        <v>30</v>
      </c>
      <c r="N128" s="22">
        <v>111444</v>
      </c>
      <c r="O128" s="22" t="str">
        <f t="shared" si="65"/>
        <v>001006</v>
      </c>
      <c r="P128" s="22">
        <f t="shared" si="66"/>
        <v>34</v>
      </c>
      <c r="Q128" s="22"/>
      <c r="R128" s="23" t="s">
        <v>153</v>
      </c>
      <c r="S128" s="22">
        <f t="shared" si="67"/>
        <v>0.56999999999999995</v>
      </c>
      <c r="T128" s="24">
        <f t="shared" si="68"/>
        <v>0</v>
      </c>
      <c r="U128" s="25">
        <f t="shared" si="69"/>
        <v>2</v>
      </c>
      <c r="V128" s="26" t="str">
        <f t="shared" si="70"/>
        <v/>
      </c>
    </row>
    <row r="129" spans="1:22" ht="48.2" customHeight="1" x14ac:dyDescent="0.25">
      <c r="A129" s="17">
        <f>VLOOKUP(C129,[1]Werke!$A$1:$C$168,3,0)</f>
        <v>34</v>
      </c>
      <c r="B129" s="17" t="str">
        <f>VLOOKUP(C129,[1]Werke!$A$1:$C$168,2,0)</f>
        <v>01</v>
      </c>
      <c r="C129" s="18" t="s">
        <v>176</v>
      </c>
      <c r="D129" s="17" t="str">
        <f>VLOOKUP(C129,[1]Maliteslimalan!$A$1:$B$210,2,0)</f>
        <v>8000012622</v>
      </c>
      <c r="E129" s="19">
        <f>VLOOKUP(C129,[1]Bestellnr.!$A$1:$B$174,2,0)</f>
        <v>0</v>
      </c>
      <c r="F129" s="20" t="str">
        <f t="shared" si="61"/>
        <v>N   107 817 01</v>
      </c>
      <c r="G129" s="21">
        <v>933879000</v>
      </c>
      <c r="H129" s="17">
        <f t="shared" si="62"/>
        <v>1.7330000000000002E-2</v>
      </c>
      <c r="I129" s="20"/>
      <c r="J129" s="17">
        <f t="shared" si="63"/>
        <v>800</v>
      </c>
      <c r="K129" s="17">
        <f t="shared" si="64"/>
        <v>0</v>
      </c>
      <c r="L129" s="22">
        <v>10</v>
      </c>
      <c r="M129" s="22">
        <v>30</v>
      </c>
      <c r="N129" s="22">
        <v>111444</v>
      </c>
      <c r="O129" s="22" t="str">
        <f t="shared" si="65"/>
        <v>001006</v>
      </c>
      <c r="P129" s="22">
        <f t="shared" si="66"/>
        <v>34</v>
      </c>
      <c r="Q129" s="22"/>
      <c r="R129" s="23" t="s">
        <v>153</v>
      </c>
      <c r="S129" s="22">
        <f t="shared" si="67"/>
        <v>0.56999999999999995</v>
      </c>
      <c r="T129" s="24">
        <f t="shared" si="68"/>
        <v>0</v>
      </c>
      <c r="U129" s="25">
        <f t="shared" si="69"/>
        <v>2</v>
      </c>
      <c r="V129" s="26" t="str">
        <f t="shared" si="70"/>
        <v/>
      </c>
    </row>
    <row r="130" spans="1:22" ht="48.2" customHeight="1" x14ac:dyDescent="0.25">
      <c r="A130" s="17">
        <f>VLOOKUP(C130,[1]Werke!$A$1:$C$168,3,0)</f>
        <v>24</v>
      </c>
      <c r="B130" s="17" t="str">
        <f>VLOOKUP(C130,[1]Werke!$A$1:$C$168,2,0)</f>
        <v>CKS</v>
      </c>
      <c r="C130" s="18" t="s">
        <v>188</v>
      </c>
      <c r="D130" s="17" t="str">
        <f>VLOOKUP(C130,[1]Maliteslimalan!$A$1:$B$210,2,0)</f>
        <v>8000012647</v>
      </c>
      <c r="E130" s="19" t="str">
        <f>VLOOKUP(C130,[1]Bestellnr.!$A$1:$B$174,2,0)</f>
        <v>000006</v>
      </c>
      <c r="F130" s="20" t="str">
        <f t="shared" si="61"/>
        <v>N   107 817 01</v>
      </c>
      <c r="G130" s="21">
        <v>933879000</v>
      </c>
      <c r="H130" s="17">
        <f t="shared" si="62"/>
        <v>1.7330000000000002E-2</v>
      </c>
      <c r="I130" s="20"/>
      <c r="J130" s="17">
        <f t="shared" si="63"/>
        <v>800</v>
      </c>
      <c r="K130" s="17">
        <f t="shared" si="64"/>
        <v>0</v>
      </c>
      <c r="L130" s="22">
        <v>10</v>
      </c>
      <c r="M130" s="22">
        <v>30</v>
      </c>
      <c r="N130" s="22">
        <v>111444</v>
      </c>
      <c r="O130" s="22" t="str">
        <f t="shared" si="65"/>
        <v>001006</v>
      </c>
      <c r="P130" s="22">
        <f t="shared" si="66"/>
        <v>34</v>
      </c>
      <c r="Q130" s="22"/>
      <c r="R130" s="23" t="s">
        <v>153</v>
      </c>
      <c r="S130" s="22">
        <f t="shared" si="67"/>
        <v>0.56999999999999995</v>
      </c>
      <c r="T130" s="24">
        <f t="shared" si="68"/>
        <v>0</v>
      </c>
      <c r="U130" s="25">
        <f t="shared" si="69"/>
        <v>2</v>
      </c>
      <c r="V130" s="26" t="str">
        <f t="shared" si="70"/>
        <v/>
      </c>
    </row>
    <row r="131" spans="1:22" ht="48.2" customHeight="1" x14ac:dyDescent="0.25">
      <c r="A131" s="17">
        <f>VLOOKUP(C131,[1]Werke!$A$1:$C$168,3,0)</f>
        <v>24</v>
      </c>
      <c r="B131" s="17" t="str">
        <f>VLOOKUP(C131,[1]Werke!$A$1:$C$168,2,0)</f>
        <v>CKV</v>
      </c>
      <c r="C131" s="18" t="s">
        <v>202</v>
      </c>
      <c r="D131" s="17" t="str">
        <f>VLOOKUP(C131,[1]Maliteslimalan!$A$1:$B$210,2,0)</f>
        <v>8000013217</v>
      </c>
      <c r="E131" s="19" t="str">
        <f>VLOOKUP(C131,[1]Bestellnr.!$A$1:$B$174,2,0)</f>
        <v>000006</v>
      </c>
      <c r="F131" s="20" t="str">
        <f t="shared" si="61"/>
        <v>N   107 817 01</v>
      </c>
      <c r="G131" s="21">
        <v>933879000</v>
      </c>
      <c r="H131" s="17">
        <f t="shared" si="62"/>
        <v>1.7330000000000002E-2</v>
      </c>
      <c r="I131" s="20"/>
      <c r="J131" s="17">
        <f t="shared" si="63"/>
        <v>800</v>
      </c>
      <c r="K131" s="17">
        <f t="shared" si="64"/>
        <v>0</v>
      </c>
      <c r="L131" s="22">
        <v>10</v>
      </c>
      <c r="M131" s="22">
        <v>30</v>
      </c>
      <c r="N131" s="22">
        <v>111444</v>
      </c>
      <c r="O131" s="22" t="str">
        <f t="shared" si="65"/>
        <v>001006</v>
      </c>
      <c r="P131" s="22">
        <f t="shared" si="66"/>
        <v>34</v>
      </c>
      <c r="Q131" s="22"/>
      <c r="R131" s="23" t="s">
        <v>153</v>
      </c>
      <c r="S131" s="22">
        <f t="shared" si="67"/>
        <v>0.56999999999999995</v>
      </c>
      <c r="T131" s="24">
        <f t="shared" si="68"/>
        <v>0</v>
      </c>
      <c r="U131" s="25">
        <f t="shared" si="69"/>
        <v>2</v>
      </c>
      <c r="V131" s="26" t="str">
        <f t="shared" si="70"/>
        <v/>
      </c>
    </row>
    <row r="132" spans="1:22" ht="48.2" customHeight="1" x14ac:dyDescent="0.25">
      <c r="A132" s="17" t="str">
        <f>VLOOKUP(C132,[1]Werke!$A$1:$C$168,3,0)</f>
        <v>26D</v>
      </c>
      <c r="B132" s="17" t="str">
        <f>VLOOKUP(C132,[1]Werke!$A$1:$C$168,2,0)</f>
        <v>G18</v>
      </c>
      <c r="C132" s="18" t="s">
        <v>193</v>
      </c>
      <c r="D132" s="17" t="str">
        <f>VLOOKUP(C132,[1]Maliteslimalan!$A$1:$B$210,2,0)</f>
        <v>8000012580</v>
      </c>
      <c r="E132" s="19">
        <f>VLOOKUP(C132,[1]Bestellnr.!$A$1:$B$174,2,0)</f>
        <v>0</v>
      </c>
      <c r="F132" s="20" t="str">
        <f t="shared" si="61"/>
        <v>N   107 817 01</v>
      </c>
      <c r="G132" s="21">
        <v>933879000</v>
      </c>
      <c r="H132" s="17">
        <f t="shared" si="62"/>
        <v>1.7330000000000002E-2</v>
      </c>
      <c r="I132" s="20"/>
      <c r="J132" s="17">
        <f t="shared" si="63"/>
        <v>800</v>
      </c>
      <c r="K132" s="17">
        <f t="shared" si="64"/>
        <v>0</v>
      </c>
      <c r="L132" s="22">
        <v>10</v>
      </c>
      <c r="M132" s="22">
        <v>10</v>
      </c>
      <c r="N132" s="22">
        <v>111444</v>
      </c>
      <c r="O132" s="22" t="str">
        <f t="shared" si="65"/>
        <v>001006</v>
      </c>
      <c r="P132" s="22">
        <f t="shared" si="66"/>
        <v>34</v>
      </c>
      <c r="Q132" s="22"/>
      <c r="R132" s="23" t="s">
        <v>153</v>
      </c>
      <c r="S132" s="22">
        <f t="shared" si="67"/>
        <v>0.56999999999999995</v>
      </c>
      <c r="T132" s="24">
        <f t="shared" si="68"/>
        <v>0</v>
      </c>
      <c r="U132" s="25">
        <f t="shared" si="69"/>
        <v>2</v>
      </c>
      <c r="V132" s="26" t="str">
        <f t="shared" si="70"/>
        <v/>
      </c>
    </row>
    <row r="133" spans="1:22" ht="48.2" customHeight="1" x14ac:dyDescent="0.25">
      <c r="A133" s="17"/>
      <c r="B133" s="17"/>
      <c r="C133" s="18"/>
      <c r="D133" s="17"/>
      <c r="E133" s="19"/>
      <c r="F133" s="20"/>
      <c r="G133" s="21"/>
      <c r="H133" s="17"/>
      <c r="I133" s="20"/>
      <c r="J133" s="17"/>
      <c r="K133" s="17"/>
      <c r="L133" s="22"/>
      <c r="M133" s="22"/>
      <c r="N133" s="22"/>
      <c r="O133" s="22"/>
      <c r="P133" s="22"/>
      <c r="Q133" s="22"/>
      <c r="R133" s="23"/>
      <c r="S133" s="22"/>
      <c r="T133" s="24"/>
      <c r="U133" s="25"/>
    </row>
    <row r="134" spans="1:22" ht="48.2" customHeight="1" x14ac:dyDescent="0.25">
      <c r="A134" s="17">
        <f>VLOOKUP(C134,[1]Werke!$A$1:$C$168,3,0)</f>
        <v>22</v>
      </c>
      <c r="B134" s="17" t="str">
        <f>VLOOKUP(C134,[1]Werke!$A$1:$C$168,2,0)</f>
        <v>13P</v>
      </c>
      <c r="C134" s="18" t="s">
        <v>163</v>
      </c>
      <c r="D134" s="17" t="str">
        <f>VLOOKUP(C134,[1]Maliteslimalan!$A$1:$B$210,2,0)</f>
        <v>8000013344</v>
      </c>
      <c r="E134" s="19" t="str">
        <f>VLOOKUP(C134,[1]Bestellnr.!$A$1:$B$174,2,0)</f>
        <v>000006</v>
      </c>
      <c r="F134" s="20" t="str">
        <f>VLOOKUP(G134,$U$1:$V$1730,2,0)</f>
        <v>N   108 103 01</v>
      </c>
      <c r="G134" s="21">
        <v>932883000</v>
      </c>
      <c r="H134" s="17">
        <f>VLOOKUP(G134,Z$2:AA$1905,2,FALSE)</f>
        <v>3.3110000000000001E-2</v>
      </c>
      <c r="I134" s="20"/>
      <c r="J134" s="17">
        <f>VLOOKUP(G134,W$2:X$1905,2,FALSE)</f>
        <v>300</v>
      </c>
      <c r="K134" s="17">
        <f>I134/J134</f>
        <v>0</v>
      </c>
      <c r="L134" s="22">
        <v>10</v>
      </c>
      <c r="M134" s="22">
        <v>30</v>
      </c>
      <c r="N134" s="22">
        <v>111444</v>
      </c>
      <c r="O134" s="22" t="str">
        <f>VLOOKUP(N134,$AL$1285:$AM$1310,2,FALSE)</f>
        <v>001006</v>
      </c>
      <c r="P134" s="22">
        <f>VLOOKUP(N134,AC$2:AD$1905,2,FALSE)</f>
        <v>34</v>
      </c>
      <c r="Q134" s="22"/>
      <c r="R134" s="23" t="s">
        <v>153</v>
      </c>
      <c r="S134" s="22">
        <f>VLOOKUP(R134,AC$2:AD$1905,2,FALSE)</f>
        <v>0.56999999999999995</v>
      </c>
      <c r="T134" s="24">
        <f>(H134*I134)+P134*Q134+S134*K134</f>
        <v>0</v>
      </c>
      <c r="U134" s="25">
        <f>IF(TRIM(N134&amp;"")="111444",
    IF(ROUNDUP(MAX(0,K134-(MAX(1,Q134)-1)*10)/10,0)=1,3,2),
    IF(TRIM(N134&amp;"")="VWPAL",
        IF(TRIM(R134&amp;"")="004147",1,2),
        ""
    )
)</f>
        <v>2</v>
      </c>
      <c r="V134" s="26" t="str">
        <f>IF(OR(TRIM(N134&amp;"")="111444",TRIM(N134&amp;"")="VWPAL"),
    IF(K134&lt;=0,"",
        IF(
            MIN(3,ROUNDUP(MAX(0,K134-(MAX(1,Q134)-1)*IF(TRIM(N134&amp;"")="111444",10,20))/IF(TRIM(N134&amp;"")="111444",10,20),0))=1,
            300,
            IF(
                MIN(3,ROUNDUP(MAX(0,K134-(MAX(1,Q134)-1)*IF(TRIM(N134&amp;"")="111444",10,20))/IF(TRIM(N134&amp;"")="111444",10,20),0))=2,
                450,
                600
            )
        )
    ),
    ""
)</f>
        <v/>
      </c>
    </row>
    <row r="135" spans="1:22" ht="48.2" customHeight="1" x14ac:dyDescent="0.25">
      <c r="A135" s="17" t="str">
        <f>VLOOKUP(C135,[1]Werke!$A$1:$C$168,3,0)</f>
        <v>HT</v>
      </c>
      <c r="B135" s="17">
        <f>VLOOKUP(C135,[1]Werke!$A$1:$C$168,2,0)</f>
        <v>34</v>
      </c>
      <c r="C135" s="18">
        <v>80245</v>
      </c>
      <c r="D135" s="17">
        <f>VLOOKUP(C135,[1]Maliteslimalan!$A$1:$B$210,2,0)</f>
        <v>8000012604</v>
      </c>
      <c r="E135" s="19">
        <v>6</v>
      </c>
      <c r="F135" s="20" t="str">
        <f>VLOOKUP(G135,$U$1:$V$1730,2,0)</f>
        <v>N   108 103 01</v>
      </c>
      <c r="G135" s="21">
        <v>932883000</v>
      </c>
      <c r="H135" s="17">
        <f>VLOOKUP(G135,Z$2:AA$1905,2,FALSE)</f>
        <v>3.3110000000000001E-2</v>
      </c>
      <c r="I135" s="20"/>
      <c r="J135" s="17">
        <f>VLOOKUP(G135,W$2:X$1905,2,FALSE)</f>
        <v>300</v>
      </c>
      <c r="K135" s="17">
        <f>I135/J135</f>
        <v>0</v>
      </c>
      <c r="L135" s="22">
        <v>10</v>
      </c>
      <c r="M135" s="22">
        <v>30</v>
      </c>
      <c r="N135" s="22">
        <v>111444</v>
      </c>
      <c r="O135" s="22" t="str">
        <f>VLOOKUP(N135,$AL$1285:$AM$1310,2,FALSE)</f>
        <v>001006</v>
      </c>
      <c r="P135" s="22">
        <f>VLOOKUP(N135,AC$2:AD$1905,2,FALSE)</f>
        <v>34</v>
      </c>
      <c r="Q135" s="22"/>
      <c r="R135" s="23" t="s">
        <v>153</v>
      </c>
      <c r="S135" s="22">
        <f>VLOOKUP(R135,AC$2:AD$1905,2,FALSE)</f>
        <v>0.56999999999999995</v>
      </c>
      <c r="T135" s="24">
        <f>(H135*I135)+P135*Q135+S135*K135</f>
        <v>0</v>
      </c>
      <c r="U135" s="25">
        <f>IF(TRIM(N135&amp;"")="111444",
    IF(ROUNDUP(MAX(0,K135-(MAX(1,Q135)-1)*10)/10,0)=1,3,2),
    IF(TRIM(N135&amp;"")="VWPAL",
        IF(TRIM(R135&amp;"")="004147",1,2),
        ""
    )
)</f>
        <v>2</v>
      </c>
      <c r="V135" s="26" t="str">
        <f>IF(OR(TRIM(N135&amp;"")="111444",TRIM(N135&amp;"")="VWPAL"),
    IF(K135&lt;=0,"",
        IF(
            MIN(3,ROUNDUP(MAX(0,K135-(MAX(1,Q135)-1)*IF(TRIM(N135&amp;"")="111444",10,20))/IF(TRIM(N135&amp;"")="111444",10,20),0))=1,
            300,
            IF(
                MIN(3,ROUNDUP(MAX(0,K135-(MAX(1,Q135)-1)*IF(TRIM(N135&amp;"")="111444",10,20))/IF(TRIM(N135&amp;"")="111444",10,20),0))=2,
                450,
                600
            )
        )
    ),
    ""
)</f>
        <v/>
      </c>
    </row>
    <row r="136" spans="1:22" ht="48.2" customHeight="1" x14ac:dyDescent="0.25">
      <c r="A136" s="17">
        <f>VLOOKUP(C136,[1]Werke!$A$1:$C$168,3,0)</f>
        <v>14</v>
      </c>
      <c r="B136" s="17" t="str">
        <f>VLOOKUP(C136,[1]Werke!$A$1:$C$168,2,0)</f>
        <v>D47</v>
      </c>
      <c r="C136" s="18" t="s">
        <v>216</v>
      </c>
      <c r="D136" s="17" t="str">
        <f>VLOOKUP(C136,[1]Maliteslimalan!$A$1:$B$210,2,0)</f>
        <v>8000012583</v>
      </c>
      <c r="E136" s="19">
        <f>VLOOKUP(C136,[1]Bestellnr.!$A$1:$B$174,2,0)</f>
        <v>0</v>
      </c>
      <c r="F136" s="20" t="str">
        <f>VLOOKUP(G136,$U$1:$V$1730,2,0)</f>
        <v>N   108 103 01</v>
      </c>
      <c r="G136" s="21">
        <v>932883000</v>
      </c>
      <c r="H136" s="17">
        <f>VLOOKUP(G136,Z$2:AA$1905,2,FALSE)</f>
        <v>3.3110000000000001E-2</v>
      </c>
      <c r="I136" s="20"/>
      <c r="J136" s="17">
        <f>VLOOKUP(G136,W$2:X$1905,2,FALSE)</f>
        <v>300</v>
      </c>
      <c r="K136" s="17">
        <f>I136/J136</f>
        <v>0</v>
      </c>
      <c r="L136" s="22">
        <v>10</v>
      </c>
      <c r="M136" s="22">
        <v>30</v>
      </c>
      <c r="N136" s="22">
        <v>111444</v>
      </c>
      <c r="O136" s="22" t="str">
        <f>VLOOKUP(N136,$AL$1285:$AM$1310,2,FALSE)</f>
        <v>001006</v>
      </c>
      <c r="P136" s="22">
        <f>VLOOKUP(N136,AC$2:AD$1905,2,FALSE)</f>
        <v>34</v>
      </c>
      <c r="Q136" s="22"/>
      <c r="R136" s="23" t="s">
        <v>153</v>
      </c>
      <c r="S136" s="22">
        <f>VLOOKUP(R136,AC$2:AD$1905,2,FALSE)</f>
        <v>0.56999999999999995</v>
      </c>
      <c r="T136" s="24">
        <f>(H136*I136)+P136*Q136+S136*K136</f>
        <v>0</v>
      </c>
      <c r="U136" s="25">
        <f>IF(TRIM(N136&amp;"")="111444",
    IF(ROUNDUP(MAX(0,K136-(MAX(1,Q136)-1)*10)/10,0)=1,3,2),
    IF(TRIM(N136&amp;"")="VWPAL",
        IF(TRIM(R136&amp;"")="004147",1,2),
        ""
    )
)</f>
        <v>2</v>
      </c>
      <c r="V136" s="26" t="str">
        <f>IF(OR(TRIM(N136&amp;"")="111444",TRIM(N136&amp;"")="VWPAL"),
    IF(K136&lt;=0,"",
        IF(
            MIN(3,ROUNDUP(MAX(0,K136-(MAX(1,Q136)-1)*IF(TRIM(N136&amp;"")="111444",10,20))/IF(TRIM(N136&amp;"")="111444",10,20),0))=1,
            300,
            IF(
                MIN(3,ROUNDUP(MAX(0,K136-(MAX(1,Q136)-1)*IF(TRIM(N136&amp;"")="111444",10,20))/IF(TRIM(N136&amp;"")="111444",10,20),0))=2,
                450,
                600
            )
        )
    ),
    ""
)</f>
        <v/>
      </c>
    </row>
    <row r="137" spans="1:22" ht="48.2" customHeight="1" x14ac:dyDescent="0.25">
      <c r="A137" s="17">
        <f>VLOOKUP(C137,[1]Werke!$A$1:$C$168,3,0)</f>
        <v>24</v>
      </c>
      <c r="B137" s="17" t="str">
        <f>VLOOKUP(C137,[1]Werke!$A$1:$C$168,2,0)</f>
        <v>CKS</v>
      </c>
      <c r="C137" s="18" t="s">
        <v>188</v>
      </c>
      <c r="D137" s="17" t="str">
        <f>VLOOKUP(C137,[1]Maliteslimalan!$A$1:$B$210,2,0)</f>
        <v>8000012647</v>
      </c>
      <c r="E137" s="19" t="str">
        <f>VLOOKUP(C137,[1]Bestellnr.!$A$1:$B$174,2,0)</f>
        <v>000006</v>
      </c>
      <c r="F137" s="20" t="str">
        <f>VLOOKUP(G137,$U$1:$V$1730,2,0)</f>
        <v>N   108 103 01</v>
      </c>
      <c r="G137" s="21">
        <v>932883000</v>
      </c>
      <c r="H137" s="17">
        <f>VLOOKUP(G137,Z$2:AA$1905,2,FALSE)</f>
        <v>3.3110000000000001E-2</v>
      </c>
      <c r="I137" s="20"/>
      <c r="J137" s="17">
        <f>VLOOKUP(G137,W$2:X$1905,2,FALSE)</f>
        <v>300</v>
      </c>
      <c r="K137" s="17">
        <f>I137/J137</f>
        <v>0</v>
      </c>
      <c r="L137" s="22">
        <v>20</v>
      </c>
      <c r="M137" s="22">
        <v>60</v>
      </c>
      <c r="N137" s="22" t="s">
        <v>155</v>
      </c>
      <c r="O137" s="22" t="str">
        <f>VLOOKUP(N137,$AL$1285:$AM$1310,2,FALSE)</f>
        <v>001210</v>
      </c>
      <c r="P137" s="22">
        <f>VLOOKUP(N137,AC$2:AD$1905,2,FALSE)</f>
        <v>55</v>
      </c>
      <c r="Q137" s="22"/>
      <c r="R137" s="23" t="s">
        <v>153</v>
      </c>
      <c r="S137" s="22">
        <f>VLOOKUP(R137,AC$2:AD$1905,2,FALSE)</f>
        <v>0.56999999999999995</v>
      </c>
      <c r="T137" s="24">
        <f>(H137*I137)+P137*Q137+S137*K137</f>
        <v>0</v>
      </c>
      <c r="U137" s="25">
        <f>IF(TRIM(N137&amp;"")="111444",
    IF(ROUNDUP(MAX(0,K137-(MAX(1,Q137)-1)*10)/10,0)=1,3,2),
    IF(TRIM(N137&amp;"")="VWPAL",
        IF(TRIM(R137&amp;"")="004147",1,2),
        ""
    )
)</f>
        <v>2</v>
      </c>
      <c r="V137" s="26" t="str">
        <f>IF(OR(TRIM(N137&amp;"")="111444",TRIM(N137&amp;"")="VWPAL"),
    IF(K137&lt;=0,"",
        IF(
            MIN(3,ROUNDUP(MAX(0,K137-(MAX(1,Q137)-1)*IF(TRIM(N137&amp;"")="111444",10,20))/IF(TRIM(N137&amp;"")="111444",10,20),0))=1,
            300,
            IF(
                MIN(3,ROUNDUP(MAX(0,K137-(MAX(1,Q137)-1)*IF(TRIM(N137&amp;"")="111444",10,20))/IF(TRIM(N137&amp;"")="111444",10,20),0))=2,
                450,
                600
            )
        )
    ),
    ""
)</f>
        <v/>
      </c>
    </row>
    <row r="138" spans="1:22" ht="48.2" customHeight="1" x14ac:dyDescent="0.25">
      <c r="A138" s="17"/>
      <c r="B138" s="17"/>
      <c r="C138" s="18"/>
      <c r="D138" s="17"/>
      <c r="E138" s="19"/>
      <c r="F138" s="20"/>
      <c r="G138" s="21"/>
      <c r="H138" s="17"/>
      <c r="I138" s="20"/>
      <c r="J138" s="17"/>
      <c r="K138" s="17"/>
      <c r="L138" s="22"/>
      <c r="M138" s="22"/>
      <c r="N138" s="22"/>
      <c r="O138" s="22"/>
      <c r="P138" s="22"/>
      <c r="Q138" s="22"/>
      <c r="R138" s="23"/>
      <c r="S138" s="22"/>
      <c r="T138" s="24"/>
      <c r="U138" s="25"/>
    </row>
    <row r="139" spans="1:22" ht="48.2" customHeight="1" x14ac:dyDescent="0.25">
      <c r="A139" s="17">
        <f>VLOOKUP(C139,[1]Werke!$A$1:$C$168,3,0)</f>
        <v>14</v>
      </c>
      <c r="B139" s="17" t="str">
        <f>VLOOKUP(C139,[1]Werke!$A$1:$C$168,2,0)</f>
        <v>D85</v>
      </c>
      <c r="C139" s="18" t="s">
        <v>204</v>
      </c>
      <c r="D139" s="17" t="str">
        <f>VLOOKUP(C139,[1]Maliteslimalan!$A$1:$B$210,2,0)</f>
        <v>8000012682</v>
      </c>
      <c r="E139" s="19">
        <f>VLOOKUP(C139,[1]Bestellnr.!$A$1:$B$174,2,0)</f>
        <v>0</v>
      </c>
      <c r="F139" s="20" t="str">
        <f>VLOOKUP(G139,$U$1:$V$1730,2,0)</f>
        <v>N   108 214 01</v>
      </c>
      <c r="G139" s="21">
        <v>935958000</v>
      </c>
      <c r="H139" s="17">
        <f>VLOOKUP(G139,Z$2:AA$1905,2,FALSE)</f>
        <v>0.12291000000000001</v>
      </c>
      <c r="I139" s="20"/>
      <c r="J139" s="17">
        <f>VLOOKUP(G139,W$2:X$1905,2,FALSE)</f>
        <v>100</v>
      </c>
      <c r="K139" s="17">
        <f>I139/J139</f>
        <v>0</v>
      </c>
      <c r="L139" s="22">
        <v>10</v>
      </c>
      <c r="M139" s="22">
        <v>30</v>
      </c>
      <c r="N139" s="22">
        <v>111444</v>
      </c>
      <c r="O139" s="22" t="str">
        <f>VLOOKUP(N139,$AL$1285:$AM$1310,2,FALSE)</f>
        <v>001006</v>
      </c>
      <c r="P139" s="22">
        <f>VLOOKUP(N139,AC$2:AD$1905,2,FALSE)</f>
        <v>34</v>
      </c>
      <c r="Q139" s="22"/>
      <c r="R139" s="23" t="s">
        <v>153</v>
      </c>
      <c r="S139" s="22">
        <f>VLOOKUP(R139,AC$2:AD$1905,2,FALSE)</f>
        <v>0.56999999999999995</v>
      </c>
      <c r="T139" s="24">
        <f>(H139*I139)+P139*Q139+S139*K139</f>
        <v>0</v>
      </c>
      <c r="U139" s="25">
        <f>IF(TRIM(N139&amp;"")="111444",
    IF(ROUNDUP(MAX(0,K139-(MAX(1,Q139)-1)*10)/10,0)=1,3,2),
    IF(TRIM(N139&amp;"")="VWPAL",
        IF(TRIM(R139&amp;"")="004147",1,2),
        ""
    )
)</f>
        <v>2</v>
      </c>
      <c r="V139" s="26" t="str">
        <f>IF(OR(TRIM(N139&amp;"")="111444",TRIM(N139&amp;"")="VWPAL"),
    IF(K139&lt;=0,"",
        IF(
            MIN(3,ROUNDUP(MAX(0,K139-(MAX(1,Q139)-1)*IF(TRIM(N139&amp;"")="111444",10,20))/IF(TRIM(N139&amp;"")="111444",10,20),0))=1,
            300,
            IF(
                MIN(3,ROUNDUP(MAX(0,K139-(MAX(1,Q139)-1)*IF(TRIM(N139&amp;"")="111444",10,20))/IF(TRIM(N139&amp;"")="111444",10,20),0))=2,
                450,
                600
            )
        )
    ),
    ""
)</f>
        <v/>
      </c>
    </row>
    <row r="140" spans="1:22" ht="48.2" customHeight="1" x14ac:dyDescent="0.25">
      <c r="A140" s="17" t="str">
        <f>VLOOKUP(C140,[1]Werke!$A$1:$C$168,3,0)</f>
        <v>HT</v>
      </c>
      <c r="B140" s="17">
        <f>VLOOKUP(C140,[1]Werke!$A$1:$C$168,2,0)</f>
        <v>34</v>
      </c>
      <c r="C140" s="18">
        <v>80245</v>
      </c>
      <c r="D140" s="17">
        <f>VLOOKUP(C140,[1]Maliteslimalan!$A$1:$B$210,2,0)</f>
        <v>8000012604</v>
      </c>
      <c r="E140" s="19">
        <v>6</v>
      </c>
      <c r="F140" s="20" t="str">
        <f>VLOOKUP(G140,$U$1:$V$1730,2,0)</f>
        <v>N   108 214 01</v>
      </c>
      <c r="G140" s="21">
        <v>935958000</v>
      </c>
      <c r="H140" s="17">
        <f>VLOOKUP(G140,Z$2:AA$1905,2,FALSE)</f>
        <v>0.12291000000000001</v>
      </c>
      <c r="I140" s="20"/>
      <c r="J140" s="17">
        <f>VLOOKUP(G140,W$2:X$1905,2,FALSE)</f>
        <v>100</v>
      </c>
      <c r="K140" s="17">
        <f>I140/J140</f>
        <v>0</v>
      </c>
      <c r="L140" s="22">
        <v>20</v>
      </c>
      <c r="M140" s="22">
        <v>20</v>
      </c>
      <c r="N140" s="22" t="s">
        <v>155</v>
      </c>
      <c r="O140" s="22" t="str">
        <f>VLOOKUP(N140,$AL$1285:$AM$1310,2,FALSE)</f>
        <v>001210</v>
      </c>
      <c r="P140" s="22">
        <f>VLOOKUP(N140,AC$2:AD$1905,2,FALSE)</f>
        <v>55</v>
      </c>
      <c r="Q140" s="22"/>
      <c r="R140" s="23" t="s">
        <v>153</v>
      </c>
      <c r="S140" s="22">
        <f>VLOOKUP(R140,AC$2:AD$1905,2,FALSE)</f>
        <v>0.56999999999999995</v>
      </c>
      <c r="T140" s="24">
        <f>(H140*I140)+P140*Q140+S140*K140</f>
        <v>0</v>
      </c>
      <c r="U140" s="25">
        <f>IF(TRIM(N140&amp;"")="111444",
    IF(ROUNDUP(MAX(0,K140-(MAX(1,Q140)-1)*10)/10,0)=1,3,2),
    IF(TRIM(N140&amp;"")="VWPAL",
        IF(TRIM(R140&amp;"")="004147",1,2),
        ""
    )
)</f>
        <v>2</v>
      </c>
      <c r="V140" s="26" t="str">
        <f>IF(OR(TRIM(N140&amp;"")="111444",TRIM(N140&amp;"")="VWPAL"),
    IF(K140&lt;=0,"",
        IF(
            MIN(3,ROUNDUP(MAX(0,K140-(MAX(1,Q140)-1)*IF(TRIM(N140&amp;"")="111444",10,20))/IF(TRIM(N140&amp;"")="111444",10,20),0))=1,
            300,
            IF(
                MIN(3,ROUNDUP(MAX(0,K140-(MAX(1,Q140)-1)*IF(TRIM(N140&amp;"")="111444",10,20))/IF(TRIM(N140&amp;"")="111444",10,20),0))=2,
                450,
                600
            )
        )
    ),
    ""
)</f>
        <v/>
      </c>
    </row>
    <row r="141" spans="1:22" ht="48.2" customHeight="1" x14ac:dyDescent="0.25">
      <c r="A141" s="17"/>
      <c r="B141" s="17"/>
      <c r="C141" s="18"/>
      <c r="D141" s="17"/>
      <c r="E141" s="19"/>
      <c r="F141" s="20"/>
      <c r="G141" s="21"/>
      <c r="H141" s="17"/>
      <c r="I141" s="20"/>
      <c r="J141" s="17"/>
      <c r="K141" s="17"/>
      <c r="L141" s="22"/>
      <c r="M141" s="22"/>
      <c r="N141" s="22"/>
      <c r="O141" s="22"/>
      <c r="P141" s="22"/>
      <c r="Q141" s="22"/>
      <c r="R141" s="23"/>
      <c r="S141" s="22"/>
      <c r="T141" s="24"/>
      <c r="U141" s="25"/>
    </row>
    <row r="142" spans="1:22" ht="48.2" customHeight="1" x14ac:dyDescent="0.25">
      <c r="A142" s="17">
        <f>VLOOKUP(C142,[1]Werke!$A$1:$C$168,3,0)</f>
        <v>49</v>
      </c>
      <c r="B142" s="17" t="str">
        <f>VLOOKUP(C142,[1]Werke!$A$1:$C$168,2,0)</f>
        <v>CT</v>
      </c>
      <c r="C142" s="18" t="s">
        <v>217</v>
      </c>
      <c r="D142" s="17" t="str">
        <f>VLOOKUP(C142,[1]Maliteslimalan!$A$1:$B$210,2,0)</f>
        <v>8000012574</v>
      </c>
      <c r="E142" s="19" t="str">
        <f>VLOOKUP(C142,[1]Bestellnr.!$A$1:$B$174,2,0)</f>
        <v>000001</v>
      </c>
      <c r="F142" s="20" t="str">
        <f t="shared" ref="F142:F148" si="71">VLOOKUP(G142,$U$1:$V$1730,2,0)</f>
        <v>N   911 937 02</v>
      </c>
      <c r="G142" s="21">
        <v>100501600</v>
      </c>
      <c r="H142" s="17">
        <f t="shared" ref="H142:H148" si="72">VLOOKUP(G142,Z$2:AA$1905,2,FALSE)</f>
        <v>1.721E-2</v>
      </c>
      <c r="I142" s="20"/>
      <c r="J142" s="17" t="str">
        <f t="shared" ref="J142:J148" si="73">VLOOKUP(G142,W$2:X$1905,2,FALSE)</f>
        <v>500</v>
      </c>
      <c r="K142" s="17">
        <f t="shared" ref="K142:K148" si="74">I142/J142</f>
        <v>0</v>
      </c>
      <c r="L142" s="22">
        <v>20</v>
      </c>
      <c r="M142" s="22">
        <v>20</v>
      </c>
      <c r="N142" s="22" t="s">
        <v>155</v>
      </c>
      <c r="O142" s="22" t="str">
        <f t="shared" ref="O142:O148" si="75">VLOOKUP(N142,$AL$1285:$AM$1310,2,FALSE)</f>
        <v>001210</v>
      </c>
      <c r="P142" s="22">
        <f t="shared" ref="P142:P148" si="76">VLOOKUP(N142,AC$2:AD$1905,2,FALSE)</f>
        <v>55</v>
      </c>
      <c r="Q142" s="22"/>
      <c r="R142" s="23" t="s">
        <v>153</v>
      </c>
      <c r="S142" s="22">
        <f t="shared" ref="S142:S148" si="77">VLOOKUP(R142,AC$2:AD$1905,2,FALSE)</f>
        <v>0.56999999999999995</v>
      </c>
      <c r="T142" s="24">
        <f t="shared" ref="T142:T148" si="78">(H142*I142)+P142*Q142+S142*K142</f>
        <v>0</v>
      </c>
      <c r="U142" s="25">
        <f t="shared" ref="U142:U148" si="79">IF(TRIM(N142&amp;"")="111444",
    IF(ROUNDUP(MAX(0,K142-(MAX(1,Q142)-1)*10)/10,0)=1,3,2),
    IF(TRIM(N142&amp;"")="VWPAL",
        IF(TRIM(R142&amp;"")="004147",1,2),
        ""
    )
)</f>
        <v>2</v>
      </c>
      <c r="V142" s="26" t="str">
        <f t="shared" ref="V142:V148" si="80">IF(OR(TRIM(N142&amp;"")="111444",TRIM(N142&amp;"")="VWPAL"),
    IF(K142&lt;=0,"",
        IF(
            MIN(3,ROUNDUP(MAX(0,K142-(MAX(1,Q142)-1)*IF(TRIM(N142&amp;"")="111444",10,20))/IF(TRIM(N142&amp;"")="111444",10,20),0))=1,
            300,
            IF(
                MIN(3,ROUNDUP(MAX(0,K142-(MAX(1,Q142)-1)*IF(TRIM(N142&amp;"")="111444",10,20))/IF(TRIM(N142&amp;"")="111444",10,20),0))=2,
                450,
                600
            )
        )
    ),
    ""
)</f>
        <v/>
      </c>
    </row>
    <row r="143" spans="1:22" ht="48.2" customHeight="1" x14ac:dyDescent="0.25">
      <c r="A143" s="17">
        <f>VLOOKUP(C143,[1]Werke!$A$1:$C$168,3,0)</f>
        <v>11</v>
      </c>
      <c r="B143" s="17" t="str">
        <f>VLOOKUP(C143,[1]Werke!$A$1:$C$168,2,0)</f>
        <v>03A</v>
      </c>
      <c r="C143" s="18" t="s">
        <v>218</v>
      </c>
      <c r="D143" s="17" t="str">
        <f>VLOOKUP(C143,[1]Maliteslimalan!$A$1:$B$210,2,0)</f>
        <v>8000014603</v>
      </c>
      <c r="E143" s="19" t="str">
        <f>VLOOKUP(C143,[1]Bestellnr.!$A$1:$B$174,2,0)</f>
        <v>000006</v>
      </c>
      <c r="F143" s="20" t="str">
        <f t="shared" si="71"/>
        <v>N   911 937 02</v>
      </c>
      <c r="G143" s="21">
        <v>100501600</v>
      </c>
      <c r="H143" s="17">
        <f t="shared" si="72"/>
        <v>1.721E-2</v>
      </c>
      <c r="I143" s="20"/>
      <c r="J143" s="17" t="str">
        <f t="shared" si="73"/>
        <v>500</v>
      </c>
      <c r="K143" s="17">
        <f t="shared" si="74"/>
        <v>0</v>
      </c>
      <c r="L143" s="22">
        <v>10</v>
      </c>
      <c r="M143" s="22">
        <v>30</v>
      </c>
      <c r="N143" s="22">
        <v>111444</v>
      </c>
      <c r="O143" s="22" t="str">
        <f t="shared" si="75"/>
        <v>001006</v>
      </c>
      <c r="P143" s="22">
        <f t="shared" si="76"/>
        <v>34</v>
      </c>
      <c r="Q143" s="22"/>
      <c r="R143" s="23" t="s">
        <v>153</v>
      </c>
      <c r="S143" s="22">
        <f t="shared" si="77"/>
        <v>0.56999999999999995</v>
      </c>
      <c r="T143" s="24">
        <f t="shared" si="78"/>
        <v>0</v>
      </c>
      <c r="U143" s="25">
        <f t="shared" si="79"/>
        <v>2</v>
      </c>
      <c r="V143" s="26" t="str">
        <f t="shared" si="80"/>
        <v/>
      </c>
    </row>
    <row r="144" spans="1:22" ht="48.2" customHeight="1" x14ac:dyDescent="0.25">
      <c r="A144" s="17" t="str">
        <f>VLOOKUP(C144,[1]Werke!$A$1:$C$168,3,0)</f>
        <v>HT</v>
      </c>
      <c r="B144" s="17">
        <f>VLOOKUP(C144,[1]Werke!$A$1:$C$168,2,0)</f>
        <v>34</v>
      </c>
      <c r="C144" s="18">
        <v>80245</v>
      </c>
      <c r="D144" s="17">
        <f>VLOOKUP(C144,[1]Maliteslimalan!$A$1:$B$210,2,0)</f>
        <v>8000012604</v>
      </c>
      <c r="E144" s="19">
        <v>6</v>
      </c>
      <c r="F144" s="20" t="str">
        <f t="shared" si="71"/>
        <v>N   911 937 02</v>
      </c>
      <c r="G144" s="21">
        <v>100501600</v>
      </c>
      <c r="H144" s="17">
        <f t="shared" si="72"/>
        <v>1.721E-2</v>
      </c>
      <c r="I144" s="20"/>
      <c r="J144" s="17" t="str">
        <f t="shared" si="73"/>
        <v>500</v>
      </c>
      <c r="K144" s="17">
        <f t="shared" si="74"/>
        <v>0</v>
      </c>
      <c r="L144" s="22">
        <v>10</v>
      </c>
      <c r="M144" s="22">
        <v>30</v>
      </c>
      <c r="N144" s="22">
        <v>111444</v>
      </c>
      <c r="O144" s="22" t="str">
        <f t="shared" si="75"/>
        <v>001006</v>
      </c>
      <c r="P144" s="22">
        <f t="shared" si="76"/>
        <v>34</v>
      </c>
      <c r="Q144" s="22"/>
      <c r="R144" s="23" t="s">
        <v>153</v>
      </c>
      <c r="S144" s="22">
        <f t="shared" si="77"/>
        <v>0.56999999999999995</v>
      </c>
      <c r="T144" s="24">
        <f t="shared" si="78"/>
        <v>0</v>
      </c>
      <c r="U144" s="25">
        <f t="shared" si="79"/>
        <v>2</v>
      </c>
      <c r="V144" s="26" t="str">
        <f t="shared" si="80"/>
        <v/>
      </c>
    </row>
    <row r="145" spans="1:22" ht="48.2" customHeight="1" x14ac:dyDescent="0.25">
      <c r="A145" s="17">
        <f>VLOOKUP(C145,[1]Werke!$A$1:$C$168,3,0)</f>
        <v>42</v>
      </c>
      <c r="B145" s="17" t="str">
        <f>VLOOKUP(C145,[1]Werke!$A$1:$C$168,2,0)</f>
        <v>C1B</v>
      </c>
      <c r="C145" s="18" t="s">
        <v>219</v>
      </c>
      <c r="D145" s="17">
        <f>VLOOKUP(C145,[1]Maliteslimalan!$A$1:$B$210,2,0)</f>
        <v>8000015497</v>
      </c>
      <c r="E145" s="19">
        <v>6</v>
      </c>
      <c r="F145" s="20" t="str">
        <f t="shared" si="71"/>
        <v>N   911 937 02</v>
      </c>
      <c r="G145" s="21">
        <v>100501600</v>
      </c>
      <c r="H145" s="17">
        <f t="shared" si="72"/>
        <v>1.721E-2</v>
      </c>
      <c r="I145" s="20"/>
      <c r="J145" s="17" t="str">
        <f t="shared" si="73"/>
        <v>500</v>
      </c>
      <c r="K145" s="17">
        <f t="shared" si="74"/>
        <v>0</v>
      </c>
      <c r="L145" s="22">
        <v>20</v>
      </c>
      <c r="M145" s="22">
        <v>60</v>
      </c>
      <c r="N145" s="22" t="s">
        <v>155</v>
      </c>
      <c r="O145" s="22" t="str">
        <f t="shared" si="75"/>
        <v>001210</v>
      </c>
      <c r="P145" s="22">
        <f t="shared" si="76"/>
        <v>55</v>
      </c>
      <c r="Q145" s="22"/>
      <c r="R145" s="23" t="s">
        <v>153</v>
      </c>
      <c r="S145" s="22">
        <f t="shared" si="77"/>
        <v>0.56999999999999995</v>
      </c>
      <c r="T145" s="24">
        <f t="shared" si="78"/>
        <v>0</v>
      </c>
      <c r="U145" s="25">
        <f t="shared" si="79"/>
        <v>2</v>
      </c>
      <c r="V145" s="26" t="str">
        <f t="shared" si="80"/>
        <v/>
      </c>
    </row>
    <row r="146" spans="1:22" ht="48.2" customHeight="1" x14ac:dyDescent="0.25">
      <c r="A146" s="17">
        <f>VLOOKUP(C146,[1]Werke!$A$1:$C$168,3,0)</f>
        <v>14</v>
      </c>
      <c r="B146" s="17" t="str">
        <f>VLOOKUP(C146,[1]Werke!$A$1:$C$168,2,0)</f>
        <v>D72</v>
      </c>
      <c r="C146" s="18" t="s">
        <v>220</v>
      </c>
      <c r="D146" s="17" t="str">
        <f>VLOOKUP(C146,[1]Maliteslimalan!$A$1:$B$210,2,0)</f>
        <v>8000013493</v>
      </c>
      <c r="E146" s="19">
        <f>VLOOKUP(C146,[1]Bestellnr.!$A$1:$B$174,2,0)</f>
        <v>0</v>
      </c>
      <c r="F146" s="20" t="str">
        <f t="shared" si="71"/>
        <v>N   911 937 02</v>
      </c>
      <c r="G146" s="21">
        <v>100501600</v>
      </c>
      <c r="H146" s="17">
        <f t="shared" si="72"/>
        <v>1.721E-2</v>
      </c>
      <c r="I146" s="20"/>
      <c r="J146" s="17" t="str">
        <f t="shared" si="73"/>
        <v>500</v>
      </c>
      <c r="K146" s="17">
        <f t="shared" si="74"/>
        <v>0</v>
      </c>
      <c r="L146" s="22">
        <v>10</v>
      </c>
      <c r="M146" s="22">
        <v>30</v>
      </c>
      <c r="N146" s="22">
        <v>111444</v>
      </c>
      <c r="O146" s="22" t="str">
        <f t="shared" si="75"/>
        <v>001006</v>
      </c>
      <c r="P146" s="22">
        <f t="shared" si="76"/>
        <v>34</v>
      </c>
      <c r="Q146" s="22"/>
      <c r="R146" s="23" t="s">
        <v>153</v>
      </c>
      <c r="S146" s="22">
        <f t="shared" si="77"/>
        <v>0.56999999999999995</v>
      </c>
      <c r="T146" s="24">
        <f t="shared" si="78"/>
        <v>0</v>
      </c>
      <c r="U146" s="25">
        <f t="shared" si="79"/>
        <v>2</v>
      </c>
      <c r="V146" s="26" t="str">
        <f t="shared" si="80"/>
        <v/>
      </c>
    </row>
    <row r="147" spans="1:22" ht="48.2" customHeight="1" x14ac:dyDescent="0.25">
      <c r="A147" s="17">
        <f>VLOOKUP(C147,[1]Werke!$A$1:$C$168,3,0)</f>
        <v>42</v>
      </c>
      <c r="B147" s="17" t="str">
        <f>VLOOKUP(C147,[1]Werke!$A$1:$C$168,2,0)</f>
        <v>VS3</v>
      </c>
      <c r="C147" s="18" t="s">
        <v>221</v>
      </c>
      <c r="D147" s="17">
        <f>VLOOKUP(C147,[1]Maliteslimalan!$A$1:$B$210,2,0)</f>
        <v>8000012693</v>
      </c>
      <c r="E147" s="19">
        <v>6</v>
      </c>
      <c r="F147" s="20" t="str">
        <f t="shared" si="71"/>
        <v>N   911 937 02</v>
      </c>
      <c r="G147" s="21">
        <v>100501600</v>
      </c>
      <c r="H147" s="17">
        <f t="shared" si="72"/>
        <v>1.721E-2</v>
      </c>
      <c r="I147" s="20"/>
      <c r="J147" s="17" t="str">
        <f t="shared" si="73"/>
        <v>500</v>
      </c>
      <c r="K147" s="17">
        <f t="shared" si="74"/>
        <v>0</v>
      </c>
      <c r="L147" s="22">
        <v>20</v>
      </c>
      <c r="M147" s="22">
        <v>60</v>
      </c>
      <c r="N147" s="22" t="s">
        <v>155</v>
      </c>
      <c r="O147" s="22" t="str">
        <f t="shared" si="75"/>
        <v>001210</v>
      </c>
      <c r="P147" s="22">
        <f t="shared" si="76"/>
        <v>55</v>
      </c>
      <c r="Q147" s="22"/>
      <c r="R147" s="23" t="s">
        <v>153</v>
      </c>
      <c r="S147" s="22">
        <f t="shared" si="77"/>
        <v>0.56999999999999995</v>
      </c>
      <c r="T147" s="24">
        <f t="shared" si="78"/>
        <v>0</v>
      </c>
      <c r="U147" s="25">
        <f t="shared" si="79"/>
        <v>2</v>
      </c>
      <c r="V147" s="26" t="str">
        <f t="shared" si="80"/>
        <v/>
      </c>
    </row>
    <row r="148" spans="1:22" ht="48.2" customHeight="1" x14ac:dyDescent="0.25">
      <c r="A148" s="17">
        <f>VLOOKUP(C148,[1]Werke!$A$1:$C$168,3,0)</f>
        <v>49</v>
      </c>
      <c r="B148" s="17" t="str">
        <f>VLOOKUP(C148,[1]Werke!$A$1:$C$168,2,0)</f>
        <v>T03</v>
      </c>
      <c r="C148" s="18" t="s">
        <v>222</v>
      </c>
      <c r="D148" s="17" t="str">
        <f>VLOOKUP(C148,[1]Maliteslimalan!$A$1:$B$210,2,0)</f>
        <v>8000013725</v>
      </c>
      <c r="E148" s="19">
        <f>VLOOKUP(C148,[1]Bestellnr.!$A$1:$B$174,2,0)</f>
        <v>0</v>
      </c>
      <c r="F148" s="20" t="str">
        <f t="shared" si="71"/>
        <v>N   911 937 02</v>
      </c>
      <c r="G148" s="21">
        <v>100501600</v>
      </c>
      <c r="H148" s="17">
        <f t="shared" si="72"/>
        <v>1.721E-2</v>
      </c>
      <c r="I148" s="20"/>
      <c r="J148" s="17" t="str">
        <f t="shared" si="73"/>
        <v>500</v>
      </c>
      <c r="K148" s="17">
        <f t="shared" si="74"/>
        <v>0</v>
      </c>
      <c r="L148" s="22">
        <v>20</v>
      </c>
      <c r="M148" s="22">
        <v>20</v>
      </c>
      <c r="N148" s="22" t="s">
        <v>155</v>
      </c>
      <c r="O148" s="22" t="str">
        <f t="shared" si="75"/>
        <v>001210</v>
      </c>
      <c r="P148" s="22">
        <f t="shared" si="76"/>
        <v>55</v>
      </c>
      <c r="Q148" s="22"/>
      <c r="R148" s="23" t="s">
        <v>153</v>
      </c>
      <c r="S148" s="22">
        <f t="shared" si="77"/>
        <v>0.56999999999999995</v>
      </c>
      <c r="T148" s="24">
        <f t="shared" si="78"/>
        <v>0</v>
      </c>
      <c r="U148" s="25">
        <f t="shared" si="79"/>
        <v>2</v>
      </c>
      <c r="V148" s="26" t="str">
        <f t="shared" si="80"/>
        <v/>
      </c>
    </row>
    <row r="149" spans="1:22" ht="48.2" customHeight="1" x14ac:dyDescent="0.25">
      <c r="A149" s="17"/>
      <c r="B149" s="17"/>
      <c r="C149" s="18"/>
      <c r="D149" s="17"/>
      <c r="E149" s="19"/>
      <c r="F149" s="20"/>
      <c r="G149" s="21"/>
      <c r="H149" s="17"/>
      <c r="I149" s="20"/>
      <c r="J149" s="17"/>
      <c r="K149" s="17"/>
      <c r="L149" s="22"/>
      <c r="M149" s="22"/>
      <c r="N149" s="22"/>
      <c r="O149" s="22"/>
      <c r="P149" s="22"/>
      <c r="Q149" s="22"/>
      <c r="R149" s="23"/>
      <c r="S149" s="22"/>
      <c r="T149" s="24"/>
      <c r="U149" s="25"/>
    </row>
    <row r="150" spans="1:22" ht="48.2" customHeight="1" x14ac:dyDescent="0.25">
      <c r="A150" s="17">
        <f>VLOOKUP(C150,[1]Werke!$A$1:$C$168,3,0)</f>
        <v>21</v>
      </c>
      <c r="B150" s="17" t="str">
        <f>VLOOKUP(C150,[1]Werke!$A$1:$C$168,2,0)</f>
        <v>GZD</v>
      </c>
      <c r="C150" s="18" t="s">
        <v>223</v>
      </c>
      <c r="D150" s="17" t="str">
        <f>VLOOKUP(C150,[1]Maliteslimalan!$A$1:$B$210,2,0)</f>
        <v>8000012572</v>
      </c>
      <c r="E150" s="19" t="str">
        <f>VLOOKUP(C150,[1]Bestellnr.!$A$1:$B$174,2,0)</f>
        <v>000006</v>
      </c>
      <c r="F150" s="20" t="str">
        <f t="shared" ref="F150:F174" si="81">VLOOKUP(G150,$U$1:$V$1730,2,0)</f>
        <v>N   108 336 01</v>
      </c>
      <c r="G150" s="21">
        <v>940315000</v>
      </c>
      <c r="H150" s="17">
        <f t="shared" ref="H150:H174" si="82">VLOOKUP(G150,Z$2:AA$1905,2,FALSE)</f>
        <v>5.3400000000000001E-3</v>
      </c>
      <c r="I150" s="20"/>
      <c r="J150" s="17" t="str">
        <f t="shared" ref="J150:J167" si="83">VLOOKUP(G150,W$2:X$1905,2,FALSE)</f>
        <v>2800</v>
      </c>
      <c r="K150" s="17">
        <f t="shared" ref="K150:K174" si="84">I150/J150</f>
        <v>0</v>
      </c>
      <c r="L150" s="22">
        <v>20</v>
      </c>
      <c r="M150" s="22">
        <v>40</v>
      </c>
      <c r="N150" s="22" t="s">
        <v>155</v>
      </c>
      <c r="O150" s="22" t="str">
        <f t="shared" ref="O150:O174" si="85">VLOOKUP(N150,$AL$1285:$AM$1310,2,FALSE)</f>
        <v>001210</v>
      </c>
      <c r="P150" s="22">
        <f t="shared" ref="P150:P174" si="86">VLOOKUP(N150,AC$2:AD$1905,2,FALSE)</f>
        <v>55</v>
      </c>
      <c r="Q150" s="22"/>
      <c r="R150" s="23" t="s">
        <v>153</v>
      </c>
      <c r="S150" s="22">
        <f t="shared" ref="S150:S174" si="87">VLOOKUP(R150,AC$2:AD$1905,2,FALSE)</f>
        <v>0.56999999999999995</v>
      </c>
      <c r="T150" s="24">
        <f t="shared" ref="T150:T174" si="88">(H150*I150)+P150*Q150+S150*K150</f>
        <v>0</v>
      </c>
      <c r="U150" s="25">
        <f t="shared" ref="U150:U174" si="89">IF(TRIM(N150&amp;"")="111444",
    IF(ROUNDUP(MAX(0,K150-(MAX(1,Q150)-1)*10)/10,0)=1,3,2),
    IF(TRIM(N150&amp;"")="VWPAL",
        IF(TRIM(R150&amp;"")="004147",1,2),
        ""
    )
)</f>
        <v>2</v>
      </c>
      <c r="V150" s="26" t="str">
        <f t="shared" ref="V150:V174" si="90">IF(OR(TRIM(N150&amp;"")="111444",TRIM(N150&amp;"")="VWPAL"),
    IF(K150&lt;=0,"",
        IF(
            MIN(3,ROUNDUP(MAX(0,K150-(MAX(1,Q150)-1)*IF(TRIM(N150&amp;"")="111444",10,20))/IF(TRIM(N150&amp;"")="111444",10,20),0))=1,
            300,
            IF(
                MIN(3,ROUNDUP(MAX(0,K150-(MAX(1,Q150)-1)*IF(TRIM(N150&amp;"")="111444",10,20))/IF(TRIM(N150&amp;"")="111444",10,20),0))=2,
                450,
                600
            )
        )
    ),
    ""
)</f>
        <v/>
      </c>
    </row>
    <row r="151" spans="1:22" ht="48.2" customHeight="1" x14ac:dyDescent="0.25">
      <c r="A151" s="17">
        <f>VLOOKUP(C151,[1]Werke!$A$1:$C$168,3,0)</f>
        <v>24</v>
      </c>
      <c r="B151" s="17" t="str">
        <f>VLOOKUP(C151,[1]Werke!$A$1:$C$168,2,0)</f>
        <v>CKH</v>
      </c>
      <c r="C151" s="18" t="s">
        <v>224</v>
      </c>
      <c r="D151" s="17">
        <f>VLOOKUP(C151,[1]Maliteslimalan!$A$1:$B$210,2,0)</f>
        <v>8000013551</v>
      </c>
      <c r="E151" s="19">
        <v>6</v>
      </c>
      <c r="F151" s="20" t="str">
        <f t="shared" si="81"/>
        <v>N   108 336 01</v>
      </c>
      <c r="G151" s="21">
        <v>940315000</v>
      </c>
      <c r="H151" s="17">
        <f t="shared" si="82"/>
        <v>5.3400000000000001E-3</v>
      </c>
      <c r="I151" s="20"/>
      <c r="J151" s="17" t="str">
        <f t="shared" si="83"/>
        <v>2800</v>
      </c>
      <c r="K151" s="17">
        <f t="shared" si="84"/>
        <v>0</v>
      </c>
      <c r="L151" s="22">
        <v>20</v>
      </c>
      <c r="M151" s="22">
        <v>40</v>
      </c>
      <c r="N151" s="22" t="s">
        <v>155</v>
      </c>
      <c r="O151" s="22" t="str">
        <f t="shared" si="85"/>
        <v>001210</v>
      </c>
      <c r="P151" s="22">
        <f t="shared" si="86"/>
        <v>55</v>
      </c>
      <c r="Q151" s="22"/>
      <c r="R151" s="23" t="s">
        <v>153</v>
      </c>
      <c r="S151" s="22">
        <f t="shared" si="87"/>
        <v>0.56999999999999995</v>
      </c>
      <c r="T151" s="24">
        <f t="shared" si="88"/>
        <v>0</v>
      </c>
      <c r="U151" s="25">
        <f t="shared" si="89"/>
        <v>2</v>
      </c>
      <c r="V151" s="26" t="str">
        <f t="shared" si="90"/>
        <v/>
      </c>
    </row>
    <row r="152" spans="1:22" ht="48.2" customHeight="1" x14ac:dyDescent="0.25">
      <c r="A152" s="17">
        <f>VLOOKUP(C152,[1]Werke!$A$1:$C$168,3,0)</f>
        <v>49</v>
      </c>
      <c r="B152" s="17" t="str">
        <f>VLOOKUP(C152,[1]Werke!$A$1:$C$168,2,0)</f>
        <v>CT</v>
      </c>
      <c r="C152" s="18" t="s">
        <v>217</v>
      </c>
      <c r="D152" s="17" t="str">
        <f>VLOOKUP(C152,[1]Maliteslimalan!$A$1:$B$210,2,0)</f>
        <v>8000012574</v>
      </c>
      <c r="E152" s="19" t="str">
        <f>VLOOKUP(C152,[1]Bestellnr.!$A$1:$B$174,2,0)</f>
        <v>000001</v>
      </c>
      <c r="F152" s="20" t="str">
        <f t="shared" si="81"/>
        <v>N   108 336 01</v>
      </c>
      <c r="G152" s="21">
        <v>940315000</v>
      </c>
      <c r="H152" s="17">
        <f t="shared" si="82"/>
        <v>5.3400000000000001E-3</v>
      </c>
      <c r="I152" s="20"/>
      <c r="J152" s="17" t="str">
        <f t="shared" si="83"/>
        <v>2800</v>
      </c>
      <c r="K152" s="17">
        <f t="shared" si="84"/>
        <v>0</v>
      </c>
      <c r="L152" s="22">
        <v>20</v>
      </c>
      <c r="M152" s="22">
        <v>20</v>
      </c>
      <c r="N152" s="22" t="s">
        <v>155</v>
      </c>
      <c r="O152" s="22" t="str">
        <f t="shared" si="85"/>
        <v>001210</v>
      </c>
      <c r="P152" s="22">
        <f t="shared" si="86"/>
        <v>55</v>
      </c>
      <c r="Q152" s="22"/>
      <c r="R152" s="23" t="s">
        <v>153</v>
      </c>
      <c r="S152" s="22">
        <f t="shared" si="87"/>
        <v>0.56999999999999995</v>
      </c>
      <c r="T152" s="24">
        <f t="shared" si="88"/>
        <v>0</v>
      </c>
      <c r="U152" s="25">
        <f t="shared" si="89"/>
        <v>2</v>
      </c>
      <c r="V152" s="26" t="str">
        <f t="shared" si="90"/>
        <v/>
      </c>
    </row>
    <row r="153" spans="1:22" ht="48.2" customHeight="1" x14ac:dyDescent="0.25">
      <c r="A153" s="17" t="str">
        <f>VLOOKUP(C153,[1]Werke!$A$1:$C$168,3,0)</f>
        <v>IM</v>
      </c>
      <c r="B153" s="17">
        <f>VLOOKUP(C153,[1]Werke!$A$1:$C$168,2,0)</f>
        <v>889</v>
      </c>
      <c r="C153" s="18" t="s">
        <v>225</v>
      </c>
      <c r="D153" s="17">
        <f>VLOOKUP(C153,[1]Maliteslimalan!$A$1:$B$210,2,0)</f>
        <v>8000017117</v>
      </c>
      <c r="E153" s="19">
        <v>6</v>
      </c>
      <c r="F153" s="20" t="str">
        <f t="shared" si="81"/>
        <v>N   108 336 01</v>
      </c>
      <c r="G153" s="21">
        <v>940315000</v>
      </c>
      <c r="H153" s="17">
        <f t="shared" si="82"/>
        <v>5.3400000000000001E-3</v>
      </c>
      <c r="I153" s="20"/>
      <c r="J153" s="17" t="str">
        <f t="shared" si="83"/>
        <v>2800</v>
      </c>
      <c r="K153" s="17">
        <f t="shared" si="84"/>
        <v>0</v>
      </c>
      <c r="L153" s="22">
        <v>20</v>
      </c>
      <c r="M153" s="22">
        <v>20</v>
      </c>
      <c r="N153" s="22" t="s">
        <v>155</v>
      </c>
      <c r="O153" s="22" t="str">
        <f t="shared" si="85"/>
        <v>001210</v>
      </c>
      <c r="P153" s="22">
        <f t="shared" si="86"/>
        <v>55</v>
      </c>
      <c r="Q153" s="22"/>
      <c r="R153" s="23" t="s">
        <v>153</v>
      </c>
      <c r="S153" s="22">
        <f t="shared" si="87"/>
        <v>0.56999999999999995</v>
      </c>
      <c r="T153" s="24">
        <f t="shared" si="88"/>
        <v>0</v>
      </c>
      <c r="U153" s="25">
        <f t="shared" si="89"/>
        <v>2</v>
      </c>
      <c r="V153" s="26" t="str">
        <f t="shared" si="90"/>
        <v/>
      </c>
    </row>
    <row r="154" spans="1:22" ht="48.2" customHeight="1" x14ac:dyDescent="0.25">
      <c r="A154" s="17" t="str">
        <f>VLOOKUP(C154,[1]Werke!$A$1:$C$168,3,0)</f>
        <v>LD</v>
      </c>
      <c r="B154" s="17" t="str">
        <f>VLOOKUP(C154,[1]Werke!$A$1:$C$168,2,0)</f>
        <v>SLD</v>
      </c>
      <c r="C154" s="18">
        <v>83630</v>
      </c>
      <c r="D154" s="17" t="str">
        <f>VLOOKUP(C154,[1]Maliteslimalan!$A$1:$B$210,2,0)</f>
        <v>8000012862</v>
      </c>
      <c r="E154" s="19" t="str">
        <f>VLOOKUP(C154,[1]Bestellnr.!$A$1:$B$174,2,0)</f>
        <v>000006</v>
      </c>
      <c r="F154" s="20" t="str">
        <f t="shared" si="81"/>
        <v>N   108 336 01</v>
      </c>
      <c r="G154" s="21">
        <v>940315000</v>
      </c>
      <c r="H154" s="17">
        <f t="shared" si="82"/>
        <v>5.3400000000000001E-3</v>
      </c>
      <c r="I154" s="20"/>
      <c r="J154" s="17" t="str">
        <f t="shared" si="83"/>
        <v>2800</v>
      </c>
      <c r="K154" s="17">
        <f t="shared" si="84"/>
        <v>0</v>
      </c>
      <c r="L154" s="22">
        <v>10</v>
      </c>
      <c r="M154" s="22">
        <v>30</v>
      </c>
      <c r="N154" s="22">
        <v>111444</v>
      </c>
      <c r="O154" s="22" t="str">
        <f t="shared" si="85"/>
        <v>001006</v>
      </c>
      <c r="P154" s="22">
        <f t="shared" si="86"/>
        <v>34</v>
      </c>
      <c r="Q154" s="22"/>
      <c r="R154" s="23" t="s">
        <v>153</v>
      </c>
      <c r="S154" s="22">
        <f t="shared" si="87"/>
        <v>0.56999999999999995</v>
      </c>
      <c r="T154" s="24">
        <f t="shared" si="88"/>
        <v>0</v>
      </c>
      <c r="U154" s="25">
        <f t="shared" si="89"/>
        <v>2</v>
      </c>
      <c r="V154" s="26" t="str">
        <f t="shared" si="90"/>
        <v/>
      </c>
    </row>
    <row r="155" spans="1:22" ht="48.2" customHeight="1" x14ac:dyDescent="0.25">
      <c r="A155" s="17" t="str">
        <f>VLOOKUP(C155,[1]Werke!$A$1:$C$168,3,0)</f>
        <v>16D</v>
      </c>
      <c r="B155" s="17">
        <f>VLOOKUP(C155,[1]Werke!$A$1:$C$168,2,0)</f>
        <v>210</v>
      </c>
      <c r="C155" s="18" t="s">
        <v>226</v>
      </c>
      <c r="D155" s="17" t="str">
        <f>VLOOKUP(C155,[1]Maliteslimalan!$A$1:$B$210,2,0)</f>
        <v>8000012565</v>
      </c>
      <c r="E155" s="19">
        <f>VLOOKUP(C155,[1]Bestellnr.!$A$1:$B$174,2,0)</f>
        <v>0</v>
      </c>
      <c r="F155" s="20" t="str">
        <f t="shared" si="81"/>
        <v>N   108 336 01</v>
      </c>
      <c r="G155" s="21">
        <v>940315000</v>
      </c>
      <c r="H155" s="17">
        <f t="shared" si="82"/>
        <v>5.3400000000000001E-3</v>
      </c>
      <c r="I155" s="20"/>
      <c r="J155" s="17" t="str">
        <f t="shared" si="83"/>
        <v>2800</v>
      </c>
      <c r="K155" s="17">
        <f t="shared" si="84"/>
        <v>0</v>
      </c>
      <c r="L155" s="22">
        <v>10</v>
      </c>
      <c r="M155" s="22">
        <v>30</v>
      </c>
      <c r="N155" s="22">
        <v>111444</v>
      </c>
      <c r="O155" s="22" t="str">
        <f t="shared" si="85"/>
        <v>001006</v>
      </c>
      <c r="P155" s="22">
        <f t="shared" si="86"/>
        <v>34</v>
      </c>
      <c r="Q155" s="22"/>
      <c r="R155" s="23" t="s">
        <v>153</v>
      </c>
      <c r="S155" s="22">
        <f t="shared" si="87"/>
        <v>0.56999999999999995</v>
      </c>
      <c r="T155" s="24">
        <f t="shared" si="88"/>
        <v>0</v>
      </c>
      <c r="U155" s="25">
        <f t="shared" si="89"/>
        <v>2</v>
      </c>
      <c r="V155" s="26" t="str">
        <f t="shared" si="90"/>
        <v/>
      </c>
    </row>
    <row r="156" spans="1:22" ht="48.2" customHeight="1" x14ac:dyDescent="0.25">
      <c r="A156" s="17">
        <f>VLOOKUP(C156,[1]Werke!$A$1:$C$168,3,0)</f>
        <v>11</v>
      </c>
      <c r="B156" s="17" t="str">
        <f>VLOOKUP(C156,[1]Werke!$A$1:$C$168,2,0)</f>
        <v>AKL</v>
      </c>
      <c r="C156" s="18" t="s">
        <v>227</v>
      </c>
      <c r="D156" s="17" t="str">
        <f>VLOOKUP(C156,[1]Maliteslimalan!$A$1:$B$210,2,0)</f>
        <v>8000012570</v>
      </c>
      <c r="E156" s="19" t="str">
        <f>VLOOKUP(C156,[1]Bestellnr.!$A$1:$B$174,2,0)</f>
        <v>000006</v>
      </c>
      <c r="F156" s="20" t="str">
        <f t="shared" si="81"/>
        <v>N   108 336 01</v>
      </c>
      <c r="G156" s="21">
        <v>940315000</v>
      </c>
      <c r="H156" s="17">
        <f t="shared" si="82"/>
        <v>5.3400000000000001E-3</v>
      </c>
      <c r="I156" s="20"/>
      <c r="J156" s="17" t="str">
        <f t="shared" si="83"/>
        <v>2800</v>
      </c>
      <c r="K156" s="17">
        <f t="shared" si="84"/>
        <v>0</v>
      </c>
      <c r="L156" s="22">
        <v>20</v>
      </c>
      <c r="M156" s="22">
        <v>20</v>
      </c>
      <c r="N156" s="22" t="s">
        <v>155</v>
      </c>
      <c r="O156" s="22" t="str">
        <f t="shared" si="85"/>
        <v>001210</v>
      </c>
      <c r="P156" s="22">
        <f t="shared" si="86"/>
        <v>55</v>
      </c>
      <c r="Q156" s="22"/>
      <c r="R156" s="23" t="s">
        <v>153</v>
      </c>
      <c r="S156" s="22">
        <f t="shared" si="87"/>
        <v>0.56999999999999995</v>
      </c>
      <c r="T156" s="24">
        <f t="shared" si="88"/>
        <v>0</v>
      </c>
      <c r="U156" s="25">
        <f t="shared" si="89"/>
        <v>2</v>
      </c>
      <c r="V156" s="26" t="str">
        <f t="shared" si="90"/>
        <v/>
      </c>
    </row>
    <row r="157" spans="1:22" ht="48.2" customHeight="1" x14ac:dyDescent="0.25">
      <c r="A157" s="17">
        <f>VLOOKUP(C157,[1]Werke!$A$1:$C$168,3,0)</f>
        <v>12</v>
      </c>
      <c r="B157" s="17" t="str">
        <f>VLOOKUP(C157,[1]Werke!$A$1:$C$168,2,0)</f>
        <v>AKL</v>
      </c>
      <c r="C157" s="18" t="s">
        <v>228</v>
      </c>
      <c r="D157" s="17" t="str">
        <f>VLOOKUP(C157,[1]Maliteslimalan!$A$1:$B$210,2,0)</f>
        <v>8000012700</v>
      </c>
      <c r="E157" s="19" t="str">
        <f>VLOOKUP(C157,[1]Bestellnr.!$A$1:$B$174,2,0)</f>
        <v>000006</v>
      </c>
      <c r="F157" s="20" t="str">
        <f t="shared" si="81"/>
        <v>N   108 336 01</v>
      </c>
      <c r="G157" s="21">
        <v>940315000</v>
      </c>
      <c r="H157" s="17">
        <f t="shared" si="82"/>
        <v>5.3400000000000001E-3</v>
      </c>
      <c r="I157" s="20"/>
      <c r="J157" s="17" t="str">
        <f t="shared" si="83"/>
        <v>2800</v>
      </c>
      <c r="K157" s="17">
        <f t="shared" si="84"/>
        <v>0</v>
      </c>
      <c r="L157" s="22">
        <v>10</v>
      </c>
      <c r="M157" s="22">
        <v>30</v>
      </c>
      <c r="N157" s="22">
        <v>111444</v>
      </c>
      <c r="O157" s="22" t="str">
        <f t="shared" si="85"/>
        <v>001006</v>
      </c>
      <c r="P157" s="22">
        <f t="shared" si="86"/>
        <v>34</v>
      </c>
      <c r="Q157" s="22"/>
      <c r="R157" s="23" t="s">
        <v>153</v>
      </c>
      <c r="S157" s="22">
        <f t="shared" si="87"/>
        <v>0.56999999999999995</v>
      </c>
      <c r="T157" s="24">
        <f t="shared" si="88"/>
        <v>0</v>
      </c>
      <c r="U157" s="25">
        <f t="shared" si="89"/>
        <v>2</v>
      </c>
      <c r="V157" s="26" t="str">
        <f t="shared" si="90"/>
        <v/>
      </c>
    </row>
    <row r="158" spans="1:22" ht="48.2" customHeight="1" x14ac:dyDescent="0.25">
      <c r="A158" s="17">
        <f>VLOOKUP(C158,[1]Werke!$A$1:$C$168,3,0)</f>
        <v>28</v>
      </c>
      <c r="B158" s="17" t="str">
        <f>VLOOKUP(C158,[1]Werke!$A$1:$C$168,2,0)</f>
        <v>S1</v>
      </c>
      <c r="C158" s="18" t="s">
        <v>229</v>
      </c>
      <c r="D158" s="17" t="str">
        <f>VLOOKUP(C158,[1]Maliteslimalan!$A$1:$B$210,2,0)</f>
        <v>8000012596</v>
      </c>
      <c r="E158" s="19" t="str">
        <f>VLOOKUP(C158,[1]Bestellnr.!$A$1:$B$174,2,0)</f>
        <v>000006</v>
      </c>
      <c r="F158" s="20" t="str">
        <f t="shared" si="81"/>
        <v>N   108 336 01</v>
      </c>
      <c r="G158" s="21">
        <v>940315000</v>
      </c>
      <c r="H158" s="17">
        <f t="shared" si="82"/>
        <v>5.3400000000000001E-3</v>
      </c>
      <c r="I158" s="20"/>
      <c r="J158" s="17" t="str">
        <f t="shared" si="83"/>
        <v>2800</v>
      </c>
      <c r="K158" s="17">
        <f t="shared" si="84"/>
        <v>0</v>
      </c>
      <c r="L158" s="22">
        <v>10</v>
      </c>
      <c r="M158" s="22">
        <v>10</v>
      </c>
      <c r="N158" s="22">
        <v>111444</v>
      </c>
      <c r="O158" s="22" t="str">
        <f t="shared" si="85"/>
        <v>001006</v>
      </c>
      <c r="P158" s="22">
        <f t="shared" si="86"/>
        <v>34</v>
      </c>
      <c r="Q158" s="22"/>
      <c r="R158" s="23" t="s">
        <v>153</v>
      </c>
      <c r="S158" s="22">
        <f t="shared" si="87"/>
        <v>0.56999999999999995</v>
      </c>
      <c r="T158" s="24">
        <f t="shared" si="88"/>
        <v>0</v>
      </c>
      <c r="U158" s="25">
        <f t="shared" si="89"/>
        <v>2</v>
      </c>
      <c r="V158" s="26" t="str">
        <f t="shared" si="90"/>
        <v/>
      </c>
    </row>
    <row r="159" spans="1:22" ht="48.2" customHeight="1" x14ac:dyDescent="0.25">
      <c r="A159" s="17">
        <f>VLOOKUP(C159,[1]Werke!$A$1:$C$168,3,0)</f>
        <v>22</v>
      </c>
      <c r="B159" s="17" t="str">
        <f>VLOOKUP(C159,[1]Werke!$A$1:$C$168,2,0)</f>
        <v>13P</v>
      </c>
      <c r="C159" s="18" t="s">
        <v>230</v>
      </c>
      <c r="D159" s="17" t="str">
        <f>VLOOKUP(C159,[1]Maliteslimalan!$A$1:$B$210,2,0)</f>
        <v>8000013344</v>
      </c>
      <c r="E159" s="19" t="str">
        <f>VLOOKUP(C159,[1]Bestellnr.!$A$1:$B$174,2,0)</f>
        <v>000006</v>
      </c>
      <c r="F159" s="20" t="str">
        <f t="shared" si="81"/>
        <v>N   108 336 01</v>
      </c>
      <c r="G159" s="21">
        <v>940315000</v>
      </c>
      <c r="H159" s="17">
        <f t="shared" si="82"/>
        <v>5.3400000000000001E-3</v>
      </c>
      <c r="I159" s="20"/>
      <c r="J159" s="17" t="str">
        <f t="shared" si="83"/>
        <v>2800</v>
      </c>
      <c r="K159" s="17">
        <f t="shared" si="84"/>
        <v>0</v>
      </c>
      <c r="L159" s="22">
        <v>10</v>
      </c>
      <c r="M159" s="22">
        <v>10</v>
      </c>
      <c r="N159" s="22">
        <v>111444</v>
      </c>
      <c r="O159" s="22" t="str">
        <f t="shared" si="85"/>
        <v>001006</v>
      </c>
      <c r="P159" s="22">
        <f t="shared" si="86"/>
        <v>34</v>
      </c>
      <c r="Q159" s="22"/>
      <c r="R159" s="23" t="s">
        <v>153</v>
      </c>
      <c r="S159" s="22">
        <f t="shared" si="87"/>
        <v>0.56999999999999995</v>
      </c>
      <c r="T159" s="24">
        <f t="shared" si="88"/>
        <v>0</v>
      </c>
      <c r="U159" s="25">
        <f t="shared" si="89"/>
        <v>2</v>
      </c>
      <c r="V159" s="26" t="str">
        <f t="shared" si="90"/>
        <v/>
      </c>
    </row>
    <row r="160" spans="1:22" ht="48.2" customHeight="1" x14ac:dyDescent="0.25">
      <c r="A160" s="17">
        <f>VLOOKUP(C160,[1]Werke!$A$1:$C$168,3,0)</f>
        <v>35</v>
      </c>
      <c r="B160" s="17" t="str">
        <f>VLOOKUP(C160,[1]Werke!$A$1:$C$168,2,0)</f>
        <v>AKL</v>
      </c>
      <c r="C160" s="18" t="s">
        <v>231</v>
      </c>
      <c r="D160" s="17" t="str">
        <f>VLOOKUP(C160,[1]Maliteslimalan!$A$1:$B$210,2,0)</f>
        <v>8000013262</v>
      </c>
      <c r="E160" s="19" t="str">
        <f>VLOOKUP(C160,[1]Bestellnr.!$A$1:$B$174,2,0)</f>
        <v>000006</v>
      </c>
      <c r="F160" s="20" t="str">
        <f t="shared" si="81"/>
        <v>N   108 336 01</v>
      </c>
      <c r="G160" s="21">
        <v>940315000</v>
      </c>
      <c r="H160" s="17">
        <f t="shared" si="82"/>
        <v>5.3400000000000001E-3</v>
      </c>
      <c r="I160" s="20"/>
      <c r="J160" s="17" t="str">
        <f t="shared" si="83"/>
        <v>2800</v>
      </c>
      <c r="K160" s="17">
        <f t="shared" si="84"/>
        <v>0</v>
      </c>
      <c r="L160" s="22">
        <v>10</v>
      </c>
      <c r="M160" s="22">
        <v>30</v>
      </c>
      <c r="N160" s="22">
        <v>111444</v>
      </c>
      <c r="O160" s="22" t="str">
        <f t="shared" si="85"/>
        <v>001006</v>
      </c>
      <c r="P160" s="22">
        <f t="shared" si="86"/>
        <v>34</v>
      </c>
      <c r="Q160" s="22"/>
      <c r="R160" s="23" t="s">
        <v>153</v>
      </c>
      <c r="S160" s="22">
        <f t="shared" si="87"/>
        <v>0.56999999999999995</v>
      </c>
      <c r="T160" s="24">
        <f t="shared" si="88"/>
        <v>0</v>
      </c>
      <c r="U160" s="25">
        <f t="shared" si="89"/>
        <v>2</v>
      </c>
      <c r="V160" s="26" t="str">
        <f t="shared" si="90"/>
        <v/>
      </c>
    </row>
    <row r="161" spans="1:22" ht="48.2" customHeight="1" x14ac:dyDescent="0.25">
      <c r="A161" s="17">
        <f>VLOOKUP(C161,[1]Werke!$A$1:$C$168,3,0)</f>
        <v>37</v>
      </c>
      <c r="B161" s="17" t="str">
        <f>VLOOKUP(C161,[1]Werke!$A$1:$C$168,2,0)</f>
        <v>AKL</v>
      </c>
      <c r="C161" s="18" t="s">
        <v>232</v>
      </c>
      <c r="D161" s="17" t="str">
        <f>VLOOKUP(C161,[1]Maliteslimalan!$A$1:$B$210,2,0)</f>
        <v>8000012562</v>
      </c>
      <c r="E161" s="19" t="str">
        <f>VLOOKUP(C161,[1]Bestellnr.!$A$1:$B$174,2,0)</f>
        <v>000006</v>
      </c>
      <c r="F161" s="20" t="str">
        <f t="shared" si="81"/>
        <v>N   108 336 01</v>
      </c>
      <c r="G161" s="21">
        <v>940315000</v>
      </c>
      <c r="H161" s="17">
        <f t="shared" si="82"/>
        <v>5.3400000000000001E-3</v>
      </c>
      <c r="I161" s="20"/>
      <c r="J161" s="17" t="str">
        <f t="shared" si="83"/>
        <v>2800</v>
      </c>
      <c r="K161" s="17">
        <f t="shared" si="84"/>
        <v>0</v>
      </c>
      <c r="L161" s="22">
        <v>20</v>
      </c>
      <c r="M161" s="22">
        <v>20</v>
      </c>
      <c r="N161" s="22" t="s">
        <v>155</v>
      </c>
      <c r="O161" s="22" t="str">
        <f t="shared" si="85"/>
        <v>001210</v>
      </c>
      <c r="P161" s="22">
        <f t="shared" si="86"/>
        <v>55</v>
      </c>
      <c r="Q161" s="22"/>
      <c r="R161" s="23" t="s">
        <v>153</v>
      </c>
      <c r="S161" s="22">
        <f t="shared" si="87"/>
        <v>0.56999999999999995</v>
      </c>
      <c r="T161" s="24">
        <f t="shared" si="88"/>
        <v>0</v>
      </c>
      <c r="U161" s="25">
        <f t="shared" si="89"/>
        <v>2</v>
      </c>
      <c r="V161" s="26" t="str">
        <f t="shared" si="90"/>
        <v/>
      </c>
    </row>
    <row r="162" spans="1:22" ht="48.2" customHeight="1" x14ac:dyDescent="0.25">
      <c r="A162" s="17">
        <f>VLOOKUP(C162,[1]Werke!$A$1:$C$168,3,0)</f>
        <v>33</v>
      </c>
      <c r="B162" s="17" t="str">
        <f>VLOOKUP(C162,[1]Werke!$A$1:$C$168,2,0)</f>
        <v>KK2</v>
      </c>
      <c r="C162" s="18" t="s">
        <v>233</v>
      </c>
      <c r="D162" s="17" t="str">
        <f>VLOOKUP(C162,[1]Maliteslimalan!$A$1:$B$210,2,0)</f>
        <v>8000012709</v>
      </c>
      <c r="E162" s="19" t="str">
        <f>VLOOKUP(C162,[1]Bestellnr.!$A$1:$B$174,2,0)</f>
        <v>000055</v>
      </c>
      <c r="F162" s="20" t="str">
        <f t="shared" si="81"/>
        <v>N   108 336 01</v>
      </c>
      <c r="G162" s="21">
        <v>940315000</v>
      </c>
      <c r="H162" s="17">
        <f t="shared" si="82"/>
        <v>5.3400000000000001E-3</v>
      </c>
      <c r="I162" s="20"/>
      <c r="J162" s="17" t="str">
        <f t="shared" si="83"/>
        <v>2800</v>
      </c>
      <c r="K162" s="17">
        <f t="shared" si="84"/>
        <v>0</v>
      </c>
      <c r="L162" s="22">
        <v>20</v>
      </c>
      <c r="M162" s="22">
        <v>20</v>
      </c>
      <c r="N162" s="22" t="s">
        <v>155</v>
      </c>
      <c r="O162" s="22" t="str">
        <f t="shared" si="85"/>
        <v>001210</v>
      </c>
      <c r="P162" s="22">
        <f t="shared" si="86"/>
        <v>55</v>
      </c>
      <c r="Q162" s="22"/>
      <c r="R162" s="23" t="s">
        <v>153</v>
      </c>
      <c r="S162" s="22">
        <f t="shared" si="87"/>
        <v>0.56999999999999995</v>
      </c>
      <c r="T162" s="24">
        <f t="shared" si="88"/>
        <v>0</v>
      </c>
      <c r="U162" s="25">
        <f t="shared" si="89"/>
        <v>2</v>
      </c>
      <c r="V162" s="26" t="str">
        <f t="shared" si="90"/>
        <v/>
      </c>
    </row>
    <row r="163" spans="1:22" ht="48.2" customHeight="1" x14ac:dyDescent="0.25">
      <c r="A163" s="17" t="str">
        <f>VLOOKUP(C163,[1]Werke!$A$1:$C$168,3,0)</f>
        <v>3P</v>
      </c>
      <c r="B163" s="17" t="str">
        <f>VLOOKUP(C163,[1]Werke!$A$1:$C$168,2,0)</f>
        <v>BP4</v>
      </c>
      <c r="C163" s="18" t="s">
        <v>234</v>
      </c>
      <c r="D163" s="17" t="str">
        <f>VLOOKUP(C163,[1]Maliteslimalan!$A$1:$B$210,2,0)</f>
        <v>8000012617</v>
      </c>
      <c r="E163" s="19" t="str">
        <f>VLOOKUP(C163,[1]Bestellnr.!$A$1:$B$174,2,0)</f>
        <v>000055</v>
      </c>
      <c r="F163" s="20" t="str">
        <f t="shared" si="81"/>
        <v>N   108 336 01</v>
      </c>
      <c r="G163" s="21">
        <v>940315000</v>
      </c>
      <c r="H163" s="17">
        <f t="shared" si="82"/>
        <v>5.3400000000000001E-3</v>
      </c>
      <c r="I163" s="20"/>
      <c r="J163" s="17" t="str">
        <f t="shared" si="83"/>
        <v>2800</v>
      </c>
      <c r="K163" s="17">
        <f t="shared" si="84"/>
        <v>0</v>
      </c>
      <c r="L163" s="22">
        <v>10</v>
      </c>
      <c r="M163" s="22">
        <v>30</v>
      </c>
      <c r="N163" s="22">
        <v>111444</v>
      </c>
      <c r="O163" s="22" t="str">
        <f t="shared" si="85"/>
        <v>001006</v>
      </c>
      <c r="P163" s="22">
        <f t="shared" si="86"/>
        <v>34</v>
      </c>
      <c r="Q163" s="22"/>
      <c r="R163" s="23" t="s">
        <v>153</v>
      </c>
      <c r="S163" s="22">
        <f t="shared" si="87"/>
        <v>0.56999999999999995</v>
      </c>
      <c r="T163" s="24">
        <f t="shared" si="88"/>
        <v>0</v>
      </c>
      <c r="U163" s="25">
        <f t="shared" si="89"/>
        <v>2</v>
      </c>
      <c r="V163" s="26" t="str">
        <f t="shared" si="90"/>
        <v/>
      </c>
    </row>
    <row r="164" spans="1:22" ht="48.2" customHeight="1" x14ac:dyDescent="0.25">
      <c r="A164" s="17" t="str">
        <f>VLOOKUP(C164,[1]Werke!$A$1:$C$168,3,0)</f>
        <v>3U</v>
      </c>
      <c r="B164" s="17" t="str">
        <f>VLOOKUP(C164,[1]Werke!$A$1:$C$168,2,0)</f>
        <v>BZ2</v>
      </c>
      <c r="C164" s="18" t="s">
        <v>235</v>
      </c>
      <c r="D164" s="17" t="str">
        <f>VLOOKUP(C164,[1]Maliteslimalan!$A$1:$B$210,2,0)</f>
        <v>8000012860</v>
      </c>
      <c r="E164" s="19" t="str">
        <f>VLOOKUP(C164,[1]Bestellnr.!$A$1:$B$174,2,0)</f>
        <v>000055</v>
      </c>
      <c r="F164" s="20" t="str">
        <f t="shared" si="81"/>
        <v>N   108 336 01</v>
      </c>
      <c r="G164" s="21">
        <v>940315000</v>
      </c>
      <c r="H164" s="17">
        <f t="shared" si="82"/>
        <v>5.3400000000000001E-3</v>
      </c>
      <c r="I164" s="20"/>
      <c r="J164" s="17" t="str">
        <f t="shared" si="83"/>
        <v>2800</v>
      </c>
      <c r="K164" s="17">
        <f t="shared" si="84"/>
        <v>0</v>
      </c>
      <c r="L164" s="22">
        <v>10</v>
      </c>
      <c r="M164" s="22">
        <v>30</v>
      </c>
      <c r="N164" s="22">
        <v>111444</v>
      </c>
      <c r="O164" s="22" t="str">
        <f t="shared" si="85"/>
        <v>001006</v>
      </c>
      <c r="P164" s="22">
        <f t="shared" si="86"/>
        <v>34</v>
      </c>
      <c r="Q164" s="22"/>
      <c r="R164" s="23" t="s">
        <v>153</v>
      </c>
      <c r="S164" s="22">
        <f t="shared" si="87"/>
        <v>0.56999999999999995</v>
      </c>
      <c r="T164" s="24">
        <f t="shared" si="88"/>
        <v>0</v>
      </c>
      <c r="U164" s="25">
        <f t="shared" si="89"/>
        <v>2</v>
      </c>
      <c r="V164" s="26" t="str">
        <f t="shared" si="90"/>
        <v/>
      </c>
    </row>
    <row r="165" spans="1:22" ht="48.2" customHeight="1" x14ac:dyDescent="0.25">
      <c r="A165" s="17">
        <f>VLOOKUP(C165,[1]Werke!$A$1:$C$168,3,0)</f>
        <v>40</v>
      </c>
      <c r="B165" s="17">
        <f>VLOOKUP(C165,[1]Werke!$A$1:$C$168,2,0)</f>
        <v>908</v>
      </c>
      <c r="C165" s="18" t="s">
        <v>236</v>
      </c>
      <c r="D165" s="17" t="str">
        <f>VLOOKUP(C165,[1]Maliteslimalan!$A$1:$B$210,2,0)</f>
        <v>8000012582</v>
      </c>
      <c r="E165" s="19" t="str">
        <f>VLOOKUP(C165,[1]Bestellnr.!$A$1:$B$174,2,0)</f>
        <v>000001</v>
      </c>
      <c r="F165" s="20" t="str">
        <f t="shared" si="81"/>
        <v>N   108 336 01</v>
      </c>
      <c r="G165" s="21">
        <v>940315000</v>
      </c>
      <c r="H165" s="17">
        <f t="shared" si="82"/>
        <v>5.3400000000000001E-3</v>
      </c>
      <c r="I165" s="20"/>
      <c r="J165" s="17" t="str">
        <f t="shared" si="83"/>
        <v>2800</v>
      </c>
      <c r="K165" s="17">
        <f t="shared" si="84"/>
        <v>0</v>
      </c>
      <c r="L165" s="22">
        <v>10</v>
      </c>
      <c r="M165" s="22">
        <v>10</v>
      </c>
      <c r="N165" s="22">
        <v>111444</v>
      </c>
      <c r="O165" s="22" t="str">
        <f t="shared" si="85"/>
        <v>001006</v>
      </c>
      <c r="P165" s="22">
        <f t="shared" si="86"/>
        <v>34</v>
      </c>
      <c r="Q165" s="22"/>
      <c r="R165" s="23" t="s">
        <v>153</v>
      </c>
      <c r="S165" s="22">
        <f t="shared" si="87"/>
        <v>0.56999999999999995</v>
      </c>
      <c r="T165" s="24">
        <f t="shared" si="88"/>
        <v>0</v>
      </c>
      <c r="U165" s="25">
        <f t="shared" si="89"/>
        <v>2</v>
      </c>
      <c r="V165" s="26" t="str">
        <f t="shared" si="90"/>
        <v/>
      </c>
    </row>
    <row r="166" spans="1:22" ht="48.2" customHeight="1" x14ac:dyDescent="0.25">
      <c r="A166" s="17">
        <f>VLOOKUP(C166,[1]Werke!$A$1:$C$168,3,0)</f>
        <v>43</v>
      </c>
      <c r="B166" s="17" t="str">
        <f>VLOOKUP(C166,[1]Werke!$A$1:$C$168,2,0)</f>
        <v>FCK</v>
      </c>
      <c r="C166" s="18" t="s">
        <v>237</v>
      </c>
      <c r="D166" s="17" t="str">
        <f>VLOOKUP(C166,[1]Maliteslimalan!$A$1:$B$210,2,0)</f>
        <v>8000012579</v>
      </c>
      <c r="E166" s="19" t="str">
        <f>VLOOKUP(C166,[1]Bestellnr.!$A$1:$B$174,2,0)</f>
        <v>000006</v>
      </c>
      <c r="F166" s="20" t="str">
        <f t="shared" si="81"/>
        <v>N   108 336 01</v>
      </c>
      <c r="G166" s="21">
        <v>940315000</v>
      </c>
      <c r="H166" s="17">
        <f t="shared" si="82"/>
        <v>5.3400000000000001E-3</v>
      </c>
      <c r="I166" s="20"/>
      <c r="J166" s="17" t="str">
        <f t="shared" si="83"/>
        <v>2800</v>
      </c>
      <c r="K166" s="17">
        <f t="shared" si="84"/>
        <v>0</v>
      </c>
      <c r="L166" s="22">
        <v>10</v>
      </c>
      <c r="M166" s="22">
        <v>30</v>
      </c>
      <c r="N166" s="22">
        <v>111444</v>
      </c>
      <c r="O166" s="22" t="str">
        <f t="shared" si="85"/>
        <v>001006</v>
      </c>
      <c r="P166" s="22">
        <f t="shared" si="86"/>
        <v>34</v>
      </c>
      <c r="Q166" s="22"/>
      <c r="R166" s="23" t="s">
        <v>153</v>
      </c>
      <c r="S166" s="22">
        <f t="shared" si="87"/>
        <v>0.56999999999999995</v>
      </c>
      <c r="T166" s="24">
        <f t="shared" si="88"/>
        <v>0</v>
      </c>
      <c r="U166" s="25">
        <f t="shared" si="89"/>
        <v>2</v>
      </c>
      <c r="V166" s="26" t="str">
        <f t="shared" si="90"/>
        <v/>
      </c>
    </row>
    <row r="167" spans="1:22" ht="48.2" customHeight="1" x14ac:dyDescent="0.25">
      <c r="A167" s="17">
        <f>VLOOKUP(C167,[1]Werke!$A$1:$C$168,3,0)</f>
        <v>69</v>
      </c>
      <c r="B167" s="17" t="str">
        <f>VLOOKUP(C167,[1]Werke!$A$1:$C$168,2,0)</f>
        <v>AKL</v>
      </c>
      <c r="C167" s="18" t="s">
        <v>238</v>
      </c>
      <c r="D167" s="17">
        <f>VLOOKUP(C167,[1]Maliteslimalan!$A$1:$B$210,2,0)</f>
        <v>8000017492</v>
      </c>
      <c r="E167" s="19">
        <v>6</v>
      </c>
      <c r="F167" s="20" t="str">
        <f t="shared" si="81"/>
        <v>N   108 336 01</v>
      </c>
      <c r="G167" s="21">
        <v>940315000</v>
      </c>
      <c r="H167" s="17">
        <f t="shared" si="82"/>
        <v>5.3400000000000001E-3</v>
      </c>
      <c r="I167" s="20"/>
      <c r="J167" s="17" t="str">
        <f t="shared" si="83"/>
        <v>2800</v>
      </c>
      <c r="K167" s="17">
        <f t="shared" si="84"/>
        <v>0</v>
      </c>
      <c r="L167" s="22">
        <v>10</v>
      </c>
      <c r="M167" s="22">
        <v>30</v>
      </c>
      <c r="N167" s="22">
        <v>111444</v>
      </c>
      <c r="O167" s="22" t="str">
        <f t="shared" si="85"/>
        <v>001006</v>
      </c>
      <c r="P167" s="22">
        <f t="shared" si="86"/>
        <v>34</v>
      </c>
      <c r="Q167" s="22"/>
      <c r="R167" s="23" t="s">
        <v>153</v>
      </c>
      <c r="S167" s="22">
        <f t="shared" si="87"/>
        <v>0.56999999999999995</v>
      </c>
      <c r="T167" s="24">
        <f t="shared" si="88"/>
        <v>0</v>
      </c>
      <c r="U167" s="25">
        <f t="shared" si="89"/>
        <v>2</v>
      </c>
      <c r="V167" s="26" t="str">
        <f t="shared" si="90"/>
        <v/>
      </c>
    </row>
    <row r="168" spans="1:22" ht="48.2" customHeight="1" x14ac:dyDescent="0.25">
      <c r="A168" s="17">
        <f>VLOOKUP(C168,[1]Werke!$A$1:$C$168,3,0)</f>
        <v>14</v>
      </c>
      <c r="B168" s="17" t="str">
        <f>VLOOKUP(C168,[1]Werke!$A$1:$C$168,2,0)</f>
        <v>D85</v>
      </c>
      <c r="C168" s="18" t="s">
        <v>239</v>
      </c>
      <c r="D168" s="17" t="str">
        <f>VLOOKUP(C168,[1]Maliteslimalan!$A$1:$B$210,2,0)</f>
        <v>8000012682</v>
      </c>
      <c r="E168" s="19">
        <f>VLOOKUP(C168,[1]Bestellnr.!$A$1:$B$174,2,0)</f>
        <v>0</v>
      </c>
      <c r="F168" s="20" t="str">
        <f t="shared" si="81"/>
        <v>N   108 336 01</v>
      </c>
      <c r="G168" s="21">
        <v>940315000</v>
      </c>
      <c r="H168" s="17">
        <f t="shared" si="82"/>
        <v>5.3400000000000001E-3</v>
      </c>
      <c r="I168" s="20"/>
      <c r="J168" s="17">
        <v>2800</v>
      </c>
      <c r="K168" s="17">
        <f t="shared" si="84"/>
        <v>0</v>
      </c>
      <c r="L168" s="22">
        <v>20</v>
      </c>
      <c r="M168" s="22">
        <v>60</v>
      </c>
      <c r="N168" s="22" t="s">
        <v>155</v>
      </c>
      <c r="O168" s="22" t="str">
        <f t="shared" si="85"/>
        <v>001210</v>
      </c>
      <c r="P168" s="22">
        <f t="shared" si="86"/>
        <v>55</v>
      </c>
      <c r="Q168" s="22"/>
      <c r="R168" s="23" t="s">
        <v>153</v>
      </c>
      <c r="S168" s="22">
        <f t="shared" si="87"/>
        <v>0.56999999999999995</v>
      </c>
      <c r="T168" s="24">
        <f t="shared" si="88"/>
        <v>0</v>
      </c>
      <c r="U168" s="25">
        <f t="shared" si="89"/>
        <v>2</v>
      </c>
      <c r="V168" s="26" t="str">
        <f t="shared" si="90"/>
        <v/>
      </c>
    </row>
    <row r="169" spans="1:22" ht="48.2" customHeight="1" x14ac:dyDescent="0.25">
      <c r="A169" s="17">
        <f>VLOOKUP(C169,[1]Werke!$A$1:$C$168,3,0)</f>
        <v>15</v>
      </c>
      <c r="B169" s="17" t="str">
        <f>VLOOKUP(C169,[1]Werke!$A$1:$C$168,2,0)</f>
        <v>H9A</v>
      </c>
      <c r="C169" s="18" t="s">
        <v>240</v>
      </c>
      <c r="D169" s="17">
        <f>VLOOKUP(C169,[1]Maliteslimalan!$A$1:$B$210,2,0)</f>
        <v>8000017580</v>
      </c>
      <c r="E169" s="19">
        <v>6</v>
      </c>
      <c r="F169" s="20" t="str">
        <f t="shared" si="81"/>
        <v>N   108 336 01</v>
      </c>
      <c r="G169" s="21">
        <v>940315000</v>
      </c>
      <c r="H169" s="17">
        <f t="shared" si="82"/>
        <v>5.3400000000000001E-3</v>
      </c>
      <c r="I169" s="20"/>
      <c r="J169" s="17" t="str">
        <f t="shared" ref="J169:J174" si="91">VLOOKUP(G169,W$2:X$1905,2,FALSE)</f>
        <v>2800</v>
      </c>
      <c r="K169" s="17">
        <f t="shared" si="84"/>
        <v>0</v>
      </c>
      <c r="L169" s="22">
        <v>10</v>
      </c>
      <c r="M169" s="22">
        <v>10</v>
      </c>
      <c r="N169" s="22">
        <v>111444</v>
      </c>
      <c r="O169" s="22" t="str">
        <f t="shared" si="85"/>
        <v>001006</v>
      </c>
      <c r="P169" s="22">
        <f t="shared" si="86"/>
        <v>34</v>
      </c>
      <c r="Q169" s="22"/>
      <c r="R169" s="23" t="s">
        <v>153</v>
      </c>
      <c r="S169" s="22">
        <f t="shared" si="87"/>
        <v>0.56999999999999995</v>
      </c>
      <c r="T169" s="24">
        <f t="shared" si="88"/>
        <v>0</v>
      </c>
      <c r="U169" s="25">
        <f t="shared" si="89"/>
        <v>2</v>
      </c>
      <c r="V169" s="26" t="str">
        <f t="shared" si="90"/>
        <v/>
      </c>
    </row>
    <row r="170" spans="1:22" ht="48.2" customHeight="1" x14ac:dyDescent="0.25">
      <c r="A170" s="17">
        <f>VLOOKUP(C170,[1]Werke!$A$1:$C$168,3,0)</f>
        <v>42</v>
      </c>
      <c r="B170" s="17" t="str">
        <f>VLOOKUP(C170,[1]Werke!$A$1:$C$168,2,0)</f>
        <v>CC1</v>
      </c>
      <c r="C170" s="18" t="s">
        <v>241</v>
      </c>
      <c r="D170" s="17" t="str">
        <f>VLOOKUP(C170,[1]Maliteslimalan!$A$1:$B$210,2,0)</f>
        <v>8000012577</v>
      </c>
      <c r="E170" s="19" t="str">
        <f>VLOOKUP(C170,[1]Bestellnr.!$A$1:$B$174,2,0)</f>
        <v>000001</v>
      </c>
      <c r="F170" s="20" t="str">
        <f t="shared" si="81"/>
        <v>N   108 336 01</v>
      </c>
      <c r="G170" s="21">
        <v>940315000</v>
      </c>
      <c r="H170" s="17">
        <f t="shared" si="82"/>
        <v>5.3400000000000001E-3</v>
      </c>
      <c r="I170" s="20"/>
      <c r="J170" s="17" t="str">
        <f t="shared" si="91"/>
        <v>2800</v>
      </c>
      <c r="K170" s="17">
        <f t="shared" si="84"/>
        <v>0</v>
      </c>
      <c r="L170" s="22">
        <v>20</v>
      </c>
      <c r="M170" s="22">
        <v>60</v>
      </c>
      <c r="N170" s="22" t="s">
        <v>155</v>
      </c>
      <c r="O170" s="22" t="str">
        <f t="shared" si="85"/>
        <v>001210</v>
      </c>
      <c r="P170" s="22">
        <f t="shared" si="86"/>
        <v>55</v>
      </c>
      <c r="Q170" s="22"/>
      <c r="R170" s="23" t="s">
        <v>153</v>
      </c>
      <c r="S170" s="22">
        <f t="shared" si="87"/>
        <v>0.56999999999999995</v>
      </c>
      <c r="T170" s="24">
        <f t="shared" si="88"/>
        <v>0</v>
      </c>
      <c r="U170" s="25">
        <f t="shared" si="89"/>
        <v>2</v>
      </c>
      <c r="V170" s="26" t="str">
        <f t="shared" si="90"/>
        <v/>
      </c>
    </row>
    <row r="171" spans="1:22" ht="48" customHeight="1" x14ac:dyDescent="0.25">
      <c r="A171" s="17" t="str">
        <f>VLOOKUP(C171,[1]Werke!$A$1:$C$168,3,0)</f>
        <v>3T</v>
      </c>
      <c r="B171" s="17" t="str">
        <f>VLOOKUP(C171,[1]Werke!$A$1:$C$168,2,0)</f>
        <v>BZ5</v>
      </c>
      <c r="C171" s="18" t="s">
        <v>242</v>
      </c>
      <c r="D171" s="17">
        <f>VLOOKUP(C171,[1]Maliteslimalan!$A$1:$B$210,2,0)</f>
        <v>8000012711</v>
      </c>
      <c r="E171" s="19">
        <v>6</v>
      </c>
      <c r="F171" s="20" t="str">
        <f t="shared" si="81"/>
        <v>N   108 336 01</v>
      </c>
      <c r="G171" s="21">
        <v>940315000</v>
      </c>
      <c r="H171" s="17">
        <f t="shared" si="82"/>
        <v>5.3400000000000001E-3</v>
      </c>
      <c r="I171" s="20"/>
      <c r="J171" s="17" t="str">
        <f t="shared" si="91"/>
        <v>2800</v>
      </c>
      <c r="K171" s="17">
        <f t="shared" si="84"/>
        <v>0</v>
      </c>
      <c r="L171" s="22">
        <v>10</v>
      </c>
      <c r="M171" s="22">
        <v>30</v>
      </c>
      <c r="N171" s="22">
        <v>111444</v>
      </c>
      <c r="O171" s="22" t="str">
        <f t="shared" si="85"/>
        <v>001006</v>
      </c>
      <c r="P171" s="22">
        <f t="shared" si="86"/>
        <v>34</v>
      </c>
      <c r="Q171" s="22"/>
      <c r="R171" s="23" t="s">
        <v>153</v>
      </c>
      <c r="S171" s="22">
        <f t="shared" si="87"/>
        <v>0.56999999999999995</v>
      </c>
      <c r="T171" s="24">
        <f t="shared" si="88"/>
        <v>0</v>
      </c>
      <c r="U171" s="25">
        <f t="shared" si="89"/>
        <v>2</v>
      </c>
      <c r="V171" s="26" t="str">
        <f t="shared" si="90"/>
        <v/>
      </c>
    </row>
    <row r="172" spans="1:22" ht="48.2" customHeight="1" x14ac:dyDescent="0.25">
      <c r="A172" s="17">
        <f>VLOOKUP(C172,[1]Werke!$A$1:$C$168,3,0)</f>
        <v>24</v>
      </c>
      <c r="B172" s="17" t="str">
        <f>VLOOKUP(C172,[1]Werke!$A$1:$C$168,2,0)</f>
        <v>CKV</v>
      </c>
      <c r="C172" s="18" t="s">
        <v>243</v>
      </c>
      <c r="D172" s="17" t="str">
        <f>VLOOKUP(C172,[1]Maliteslimalan!$A$1:$B$210,2,0)</f>
        <v>8000013217</v>
      </c>
      <c r="E172" s="19" t="str">
        <f>VLOOKUP(C172,[1]Bestellnr.!$A$1:$B$174,2,0)</f>
        <v>000006</v>
      </c>
      <c r="F172" s="20" t="str">
        <f t="shared" si="81"/>
        <v>N   108 336 01</v>
      </c>
      <c r="G172" s="21">
        <v>940315000</v>
      </c>
      <c r="H172" s="17">
        <f t="shared" si="82"/>
        <v>5.3400000000000001E-3</v>
      </c>
      <c r="I172" s="20"/>
      <c r="J172" s="17" t="str">
        <f t="shared" si="91"/>
        <v>2800</v>
      </c>
      <c r="K172" s="17">
        <f t="shared" si="84"/>
        <v>0</v>
      </c>
      <c r="L172" s="22">
        <v>20</v>
      </c>
      <c r="M172" s="22">
        <v>40</v>
      </c>
      <c r="N172" s="22" t="s">
        <v>155</v>
      </c>
      <c r="O172" s="22" t="str">
        <f t="shared" si="85"/>
        <v>001210</v>
      </c>
      <c r="P172" s="22">
        <f t="shared" si="86"/>
        <v>55</v>
      </c>
      <c r="Q172" s="22"/>
      <c r="R172" s="23" t="s">
        <v>153</v>
      </c>
      <c r="S172" s="22">
        <f t="shared" si="87"/>
        <v>0.56999999999999995</v>
      </c>
      <c r="T172" s="24">
        <f t="shared" si="88"/>
        <v>0</v>
      </c>
      <c r="U172" s="25">
        <f t="shared" si="89"/>
        <v>2</v>
      </c>
      <c r="V172" s="26" t="str">
        <f t="shared" si="90"/>
        <v/>
      </c>
    </row>
    <row r="173" spans="1:22" ht="48.2" customHeight="1" x14ac:dyDescent="0.25">
      <c r="A173" s="17" t="str">
        <f>VLOOKUP(C173,[1]Werke!$A$1:$C$168,3,0)</f>
        <v>3R</v>
      </c>
      <c r="B173" s="17" t="str">
        <f>VLOOKUP(C173,[1]Werke!$A$1:$C$168,2,0)</f>
        <v>BC9</v>
      </c>
      <c r="C173" s="18" t="s">
        <v>244</v>
      </c>
      <c r="D173" s="17">
        <f>VLOOKUP(C173,[1]Maliteslimalan!$A$1:$B$210,2,0)</f>
        <v>8000017021</v>
      </c>
      <c r="E173" s="19">
        <v>6</v>
      </c>
      <c r="F173" s="20" t="str">
        <f t="shared" si="81"/>
        <v>N   108 336 01</v>
      </c>
      <c r="G173" s="21">
        <v>940315000</v>
      </c>
      <c r="H173" s="17">
        <f t="shared" si="82"/>
        <v>5.3400000000000001E-3</v>
      </c>
      <c r="I173" s="20"/>
      <c r="J173" s="17" t="str">
        <f t="shared" si="91"/>
        <v>2800</v>
      </c>
      <c r="K173" s="17">
        <f t="shared" si="84"/>
        <v>0</v>
      </c>
      <c r="L173" s="22">
        <v>10</v>
      </c>
      <c r="M173" s="22">
        <v>30</v>
      </c>
      <c r="N173" s="22">
        <v>111444</v>
      </c>
      <c r="O173" s="22" t="str">
        <f t="shared" si="85"/>
        <v>001006</v>
      </c>
      <c r="P173" s="22">
        <f t="shared" si="86"/>
        <v>34</v>
      </c>
      <c r="Q173" s="22"/>
      <c r="R173" s="23" t="s">
        <v>153</v>
      </c>
      <c r="S173" s="22">
        <f t="shared" si="87"/>
        <v>0.56999999999999995</v>
      </c>
      <c r="T173" s="24">
        <f t="shared" si="88"/>
        <v>0</v>
      </c>
      <c r="U173" s="25">
        <f t="shared" si="89"/>
        <v>2</v>
      </c>
      <c r="V173" s="26" t="str">
        <f t="shared" si="90"/>
        <v/>
      </c>
    </row>
    <row r="174" spans="1:22" ht="48.2" customHeight="1" x14ac:dyDescent="0.25">
      <c r="A174" s="17">
        <f>VLOOKUP(C174,[1]Werke!$A$1:$C$168,3,0)</f>
        <v>24</v>
      </c>
      <c r="B174" s="17" t="str">
        <f>VLOOKUP(C174,[1]Werke!$A$1:$C$168,2,0)</f>
        <v>CKS</v>
      </c>
      <c r="C174" s="18" t="s">
        <v>245</v>
      </c>
      <c r="D174" s="17" t="str">
        <f>VLOOKUP(C174,[1]Maliteslimalan!$A$1:$B$210,2,0)</f>
        <v>8000012647</v>
      </c>
      <c r="E174" s="19" t="str">
        <f>VLOOKUP(C174,[1]Bestellnr.!$A$1:$B$174,2,0)</f>
        <v>000006</v>
      </c>
      <c r="F174" s="20" t="str">
        <f t="shared" si="81"/>
        <v>N   108 336 01</v>
      </c>
      <c r="G174" s="21">
        <v>940315000</v>
      </c>
      <c r="H174" s="17">
        <f t="shared" si="82"/>
        <v>5.3400000000000001E-3</v>
      </c>
      <c r="I174" s="20"/>
      <c r="J174" s="17" t="str">
        <f t="shared" si="91"/>
        <v>2800</v>
      </c>
      <c r="K174" s="17">
        <f t="shared" si="84"/>
        <v>0</v>
      </c>
      <c r="L174" s="22">
        <v>20</v>
      </c>
      <c r="M174" s="22">
        <v>40</v>
      </c>
      <c r="N174" s="22" t="s">
        <v>155</v>
      </c>
      <c r="O174" s="22" t="str">
        <f t="shared" si="85"/>
        <v>001210</v>
      </c>
      <c r="P174" s="22">
        <f t="shared" si="86"/>
        <v>55</v>
      </c>
      <c r="Q174" s="22"/>
      <c r="R174" s="23" t="s">
        <v>153</v>
      </c>
      <c r="S174" s="22">
        <f t="shared" si="87"/>
        <v>0.56999999999999995</v>
      </c>
      <c r="T174" s="24">
        <f t="shared" si="88"/>
        <v>0</v>
      </c>
      <c r="U174" s="25">
        <f t="shared" si="89"/>
        <v>2</v>
      </c>
      <c r="V174" s="26" t="str">
        <f t="shared" si="90"/>
        <v/>
      </c>
    </row>
    <row r="175" spans="1:22" ht="48.2" customHeight="1" x14ac:dyDescent="0.25">
      <c r="A175" s="17"/>
      <c r="B175" s="17"/>
      <c r="C175" s="18"/>
      <c r="D175" s="17"/>
      <c r="E175" s="19"/>
      <c r="F175" s="20"/>
      <c r="G175" s="21"/>
      <c r="H175" s="17"/>
      <c r="I175" s="20"/>
      <c r="J175" s="17"/>
      <c r="K175" s="17"/>
      <c r="L175" s="22"/>
      <c r="M175" s="22"/>
      <c r="N175" s="22"/>
      <c r="O175" s="22"/>
      <c r="P175" s="22"/>
      <c r="Q175" s="22"/>
      <c r="R175" s="23"/>
      <c r="S175" s="22"/>
      <c r="T175" s="24"/>
      <c r="U175" s="25"/>
    </row>
    <row r="176" spans="1:22" ht="48.2" customHeight="1" x14ac:dyDescent="0.25">
      <c r="A176" s="17" t="str">
        <f>VLOOKUP(C176,[1]Werke!$A$1:$C$168,3,0)</f>
        <v>LD</v>
      </c>
      <c r="B176" s="17" t="str">
        <f>VLOOKUP(C176,[1]Werke!$A$1:$C$168,2,0)</f>
        <v>SLD</v>
      </c>
      <c r="C176" s="18">
        <v>83630</v>
      </c>
      <c r="D176" s="17" t="str">
        <f>VLOOKUP(C176,[1]Maliteslimalan!$A$1:$B$210,2,0)</f>
        <v>8000012862</v>
      </c>
      <c r="E176" s="19" t="str">
        <f>VLOOKUP(C176,[1]Bestellnr.!$A$1:$B$174,2,0)</f>
        <v>000006</v>
      </c>
      <c r="F176" s="20" t="str">
        <f>VLOOKUP(G176,$U$1:$V$1730,2,0)</f>
        <v>N   108 458 01</v>
      </c>
      <c r="G176" s="21">
        <v>100149000</v>
      </c>
      <c r="H176" s="17">
        <f>VLOOKUP(G176,Z$2:AA$1905,2,FALSE)</f>
        <v>0.13800000000000001</v>
      </c>
      <c r="I176" s="20"/>
      <c r="J176" s="17">
        <f>VLOOKUP(G176,W$2:X$1905,2,FALSE)</f>
        <v>75</v>
      </c>
      <c r="K176" s="17">
        <f>I176/J176</f>
        <v>0</v>
      </c>
      <c r="L176" s="22">
        <v>10</v>
      </c>
      <c r="M176" s="22">
        <v>30</v>
      </c>
      <c r="N176" s="22">
        <v>111444</v>
      </c>
      <c r="O176" s="22" t="str">
        <f>VLOOKUP(N176,$AL$1285:$AM$1310,2,FALSE)</f>
        <v>001006</v>
      </c>
      <c r="P176" s="22">
        <f>VLOOKUP(N176,AC$2:AD$1905,2,FALSE)</f>
        <v>34</v>
      </c>
      <c r="Q176" s="22"/>
      <c r="R176" s="23" t="s">
        <v>153</v>
      </c>
      <c r="S176" s="22">
        <f>VLOOKUP(R176,AC$2:AD$1905,2,FALSE)</f>
        <v>0.56999999999999995</v>
      </c>
      <c r="T176" s="24">
        <f>(H176*I176)+P176*Q176+S176*K176</f>
        <v>0</v>
      </c>
      <c r="U176" s="25">
        <f>IF(TRIM(N176&amp;"")="111444",
    IF(ROUNDUP(MAX(0,K176-(MAX(1,Q176)-1)*10)/10,0)=1,3,2),
    IF(TRIM(N176&amp;"")="VWPAL",
        IF(TRIM(R176&amp;"")="004147",1,2),
        ""
    )
)</f>
        <v>2</v>
      </c>
      <c r="V176" s="26" t="str">
        <f>IF(OR(TRIM(N176&amp;"")="111444",TRIM(N176&amp;"")="VWPAL"),
    IF(K176&lt;=0,"",
        IF(
            MIN(3,ROUNDUP(MAX(0,K176-(MAX(1,Q176)-1)*IF(TRIM(N176&amp;"")="111444",10,20))/IF(TRIM(N176&amp;"")="111444",10,20),0))=1,
            300,
            IF(
                MIN(3,ROUNDUP(MAX(0,K176-(MAX(1,Q176)-1)*IF(TRIM(N176&amp;"")="111444",10,20))/IF(TRIM(N176&amp;"")="111444",10,20),0))=2,
                450,
                600
            )
        )
    ),
    ""
)</f>
        <v/>
      </c>
    </row>
    <row r="177" spans="1:22" ht="48.2" customHeight="1" x14ac:dyDescent="0.25">
      <c r="A177" s="17">
        <f>VLOOKUP(C177,[1]Werke!$A$1:$C$168,3,0)</f>
        <v>14</v>
      </c>
      <c r="B177" s="17" t="str">
        <f>VLOOKUP(C177,[1]Werke!$A$1:$C$168,2,0)</f>
        <v>D47</v>
      </c>
      <c r="C177" s="18" t="s">
        <v>246</v>
      </c>
      <c r="D177" s="17" t="str">
        <f>VLOOKUP(C177,[1]Maliteslimalan!$A$1:$B$210,2,0)</f>
        <v>8000012583</v>
      </c>
      <c r="E177" s="19">
        <f>VLOOKUP(C177,[1]Bestellnr.!$A$1:$B$174,2,0)</f>
        <v>0</v>
      </c>
      <c r="F177" s="20" t="str">
        <f>VLOOKUP(G177,$U$1:$V$1730,2,0)</f>
        <v>N   108 458 01</v>
      </c>
      <c r="G177" s="21">
        <v>100149000</v>
      </c>
      <c r="H177" s="17">
        <f>VLOOKUP(G177,Z$2:AA$1905,2,FALSE)</f>
        <v>0.13800000000000001</v>
      </c>
      <c r="I177" s="20"/>
      <c r="J177" s="17">
        <f>VLOOKUP(G177,W$2:X$1905,2,FALSE)</f>
        <v>75</v>
      </c>
      <c r="K177" s="17">
        <f>I177/J177</f>
        <v>0</v>
      </c>
      <c r="L177" s="22">
        <v>10</v>
      </c>
      <c r="M177" s="22">
        <v>30</v>
      </c>
      <c r="N177" s="22">
        <v>111444</v>
      </c>
      <c r="O177" s="22" t="str">
        <f>VLOOKUP(N177,$AL$1285:$AM$1310,2,FALSE)</f>
        <v>001006</v>
      </c>
      <c r="P177" s="22">
        <f>VLOOKUP(N177,AC$2:AD$1905,2,FALSE)</f>
        <v>34</v>
      </c>
      <c r="Q177" s="22"/>
      <c r="R177" s="23" t="s">
        <v>153</v>
      </c>
      <c r="S177" s="22">
        <f>VLOOKUP(R177,AC$2:AD$1905,2,FALSE)</f>
        <v>0.56999999999999995</v>
      </c>
      <c r="T177" s="24">
        <f>(H177*I177)+P177*Q177+S177*K177</f>
        <v>0</v>
      </c>
      <c r="U177" s="25">
        <f>IF(TRIM(N177&amp;"")="111444",
    IF(ROUNDUP(MAX(0,K177-(MAX(1,Q177)-1)*10)/10,0)=1,3,2),
    IF(TRIM(N177&amp;"")="VWPAL",
        IF(TRIM(R177&amp;"")="004147",1,2),
        ""
    )
)</f>
        <v>2</v>
      </c>
      <c r="V177" s="26" t="str">
        <f>IF(OR(TRIM(N177&amp;"")="111444",TRIM(N177&amp;"")="VWPAL"),
    IF(K177&lt;=0,"",
        IF(
            MIN(3,ROUNDUP(MAX(0,K177-(MAX(1,Q177)-1)*IF(TRIM(N177&amp;"")="111444",10,20))/IF(TRIM(N177&amp;"")="111444",10,20),0))=1,
            300,
            IF(
                MIN(3,ROUNDUP(MAX(0,K177-(MAX(1,Q177)-1)*IF(TRIM(N177&amp;"")="111444",10,20))/IF(TRIM(N177&amp;"")="111444",10,20),0))=2,
                450,
                600
            )
        )
    ),
    ""
)</f>
        <v/>
      </c>
    </row>
    <row r="178" spans="1:22" ht="48.2" customHeight="1" x14ac:dyDescent="0.25">
      <c r="A178" s="17"/>
      <c r="B178" s="17"/>
      <c r="C178" s="18"/>
      <c r="D178" s="17"/>
      <c r="E178" s="19"/>
      <c r="F178" s="20"/>
      <c r="G178" s="21"/>
      <c r="H178" s="17"/>
      <c r="I178" s="20"/>
      <c r="J178" s="17"/>
      <c r="K178" s="17"/>
      <c r="L178" s="22"/>
      <c r="M178" s="22"/>
      <c r="N178" s="22"/>
      <c r="O178" s="22"/>
      <c r="P178" s="22"/>
      <c r="Q178" s="22"/>
      <c r="R178" s="23"/>
      <c r="S178" s="22"/>
      <c r="T178" s="24"/>
      <c r="U178" s="25"/>
    </row>
    <row r="179" spans="1:22" ht="48.2" customHeight="1" x14ac:dyDescent="0.25">
      <c r="A179" s="17">
        <f>VLOOKUP(C179,[1]Werke!$A$1:$C$168,3,0)</f>
        <v>14</v>
      </c>
      <c r="B179" s="17" t="str">
        <f>VLOOKUP(C179,[1]Werke!$A$1:$C$168,2,0)</f>
        <v>D85</v>
      </c>
      <c r="C179" s="18" t="s">
        <v>239</v>
      </c>
      <c r="D179" s="17" t="str">
        <f>VLOOKUP(C179,[1]Maliteslimalan!$A$1:$B$210,2,0)</f>
        <v>8000012682</v>
      </c>
      <c r="E179" s="19">
        <f>VLOOKUP(C179,[1]Bestellnr.!$A$1:$B$174,2,0)</f>
        <v>0</v>
      </c>
      <c r="F179" s="20" t="str">
        <f>VLOOKUP(G179,$U$1:$V$1730,2,0)</f>
        <v>N   108 463 01</v>
      </c>
      <c r="G179" s="21">
        <v>937273000</v>
      </c>
      <c r="H179" s="17">
        <f>VLOOKUP(G179,Z$2:AA$1905,2,FALSE)</f>
        <v>6.7530000000000007E-2</v>
      </c>
      <c r="I179" s="20"/>
      <c r="J179" s="17">
        <f>VLOOKUP(G179,W$2:X$1905,2,FALSE)</f>
        <v>150</v>
      </c>
      <c r="K179" s="17">
        <f>I179/J179</f>
        <v>0</v>
      </c>
      <c r="L179" s="22">
        <v>10</v>
      </c>
      <c r="M179" s="22">
        <v>30</v>
      </c>
      <c r="N179" s="22">
        <v>111444</v>
      </c>
      <c r="O179" s="22" t="str">
        <f>VLOOKUP(N179,$AL$1285:$AM$1310,2,FALSE)</f>
        <v>001006</v>
      </c>
      <c r="P179" s="22">
        <f>VLOOKUP(N179,AC$2:AD$1905,2,FALSE)</f>
        <v>34</v>
      </c>
      <c r="Q179" s="22"/>
      <c r="R179" s="23" t="s">
        <v>153</v>
      </c>
      <c r="S179" s="22">
        <f>VLOOKUP(R179,AC$2:AD$1905,2,FALSE)</f>
        <v>0.56999999999999995</v>
      </c>
      <c r="T179" s="24">
        <f>(H179*I179)+P179*Q179+S179*K179</f>
        <v>0</v>
      </c>
      <c r="U179" s="25">
        <f>IF(TRIM(N179&amp;"")="111444",
    IF(ROUNDUP(MAX(0,K179-(MAX(1,Q179)-1)*10)/10,0)=1,3,2),
    IF(TRIM(N179&amp;"")="VWPAL",
        IF(TRIM(R179&amp;"")="004147",1,2),
        ""
    )
)</f>
        <v>2</v>
      </c>
      <c r="V179" s="26" t="str">
        <f>IF(OR(TRIM(N179&amp;"")="111444",TRIM(N179&amp;"")="VWPAL"),
    IF(K179&lt;=0,"",
        IF(
            MIN(3,ROUNDUP(MAX(0,K179-(MAX(1,Q179)-1)*IF(TRIM(N179&amp;"")="111444",10,20))/IF(TRIM(N179&amp;"")="111444",10,20),0))=1,
            300,
            IF(
                MIN(3,ROUNDUP(MAX(0,K179-(MAX(1,Q179)-1)*IF(TRIM(N179&amp;"")="111444",10,20))/IF(TRIM(N179&amp;"")="111444",10,20),0))=2,
                450,
                600
            )
        )
    ),
    ""
)</f>
        <v/>
      </c>
    </row>
    <row r="180" spans="1:22" ht="48.2" customHeight="1" x14ac:dyDescent="0.25">
      <c r="A180" s="17"/>
      <c r="B180" s="17"/>
      <c r="C180" s="18"/>
      <c r="D180" s="17"/>
      <c r="E180" s="19"/>
      <c r="F180" s="20"/>
      <c r="G180" s="21"/>
      <c r="H180" s="17"/>
      <c r="I180" s="20"/>
      <c r="J180" s="17"/>
      <c r="K180" s="17"/>
      <c r="L180" s="22"/>
      <c r="M180" s="22"/>
      <c r="N180" s="22"/>
      <c r="O180" s="22"/>
      <c r="P180" s="22"/>
      <c r="Q180" s="22"/>
      <c r="R180" s="23"/>
      <c r="S180" s="22"/>
      <c r="T180" s="24"/>
      <c r="U180" s="25"/>
    </row>
    <row r="181" spans="1:22" ht="48" customHeight="1" x14ac:dyDescent="0.25">
      <c r="A181" s="17">
        <f>VLOOKUP(C181,[1]Werke!$A$1:$C$168,3,0)</f>
        <v>40</v>
      </c>
      <c r="B181" s="17">
        <f>VLOOKUP(C181,[1]Werke!$A$1:$C$168,2,0)</f>
        <v>908</v>
      </c>
      <c r="C181" s="18" t="s">
        <v>247</v>
      </c>
      <c r="D181" s="17" t="str">
        <f>VLOOKUP(C181,[1]Maliteslimalan!$A$1:$B$210,2,0)</f>
        <v>8000012582</v>
      </c>
      <c r="E181" s="19" t="str">
        <f>VLOOKUP(C181,[1]Bestellnr.!$A$1:$B$174,2,0)</f>
        <v>000001</v>
      </c>
      <c r="F181" s="20" t="str">
        <f t="shared" ref="F181:F190" si="92">VLOOKUP(G181,$U$1:$V$1730,2,0)</f>
        <v>N   108 549 01</v>
      </c>
      <c r="G181" s="21">
        <v>940328000</v>
      </c>
      <c r="H181" s="17">
        <f t="shared" ref="H181:H190" si="93">VLOOKUP(G181,Z$2:AA$1905,2,FALSE)</f>
        <v>5.2429999999999997E-2</v>
      </c>
      <c r="I181" s="20"/>
      <c r="J181" s="17">
        <f t="shared" ref="J181:J190" si="94">VLOOKUP(G181,W$2:X$1905,2,FALSE)</f>
        <v>200</v>
      </c>
      <c r="K181" s="17">
        <f t="shared" ref="K181:K190" si="95">I181/J181</f>
        <v>0</v>
      </c>
      <c r="L181" s="22">
        <v>10</v>
      </c>
      <c r="M181" s="22">
        <v>30</v>
      </c>
      <c r="N181" s="22">
        <v>111444</v>
      </c>
      <c r="O181" s="22" t="str">
        <f t="shared" ref="O181:O190" si="96">VLOOKUP(N181,$AL$1285:$AM$1310,2,FALSE)</f>
        <v>001006</v>
      </c>
      <c r="P181" s="22">
        <f t="shared" ref="P181:P190" si="97">VLOOKUP(N181,AC$2:AD$1905,2,FALSE)</f>
        <v>34</v>
      </c>
      <c r="Q181" s="22"/>
      <c r="R181" s="23" t="s">
        <v>153</v>
      </c>
      <c r="S181" s="22">
        <f t="shared" ref="S181:S190" si="98">VLOOKUP(R181,AC$2:AD$1905,2,FALSE)</f>
        <v>0.56999999999999995</v>
      </c>
      <c r="T181" s="24">
        <f t="shared" ref="T181:T190" si="99">(H181*I181)+P181*Q181+S181*K181</f>
        <v>0</v>
      </c>
      <c r="U181" s="25">
        <f t="shared" ref="U181:U190" si="100">IF(TRIM(N181&amp;"")="111444",
    IF(ROUNDUP(MAX(0,K181-(MAX(1,Q181)-1)*10)/10,0)=1,3,2),
    IF(TRIM(N181&amp;"")="VWPAL",
        IF(TRIM(R181&amp;"")="004147",1,2),
        ""
    )
)</f>
        <v>2</v>
      </c>
      <c r="V181" s="26" t="str">
        <f t="shared" ref="V181:V190" si="101">IF(OR(TRIM(N181&amp;"")="111444",TRIM(N181&amp;"")="VWPAL"),
    IF(K181&lt;=0,"",
        IF(
            MIN(3,ROUNDUP(MAX(0,K181-(MAX(1,Q181)-1)*IF(TRIM(N181&amp;"")="111444",10,20))/IF(TRIM(N181&amp;"")="111444",10,20),0))=1,
            300,
            IF(
                MIN(3,ROUNDUP(MAX(0,K181-(MAX(1,Q181)-1)*IF(TRIM(N181&amp;"")="111444",10,20))/IF(TRIM(N181&amp;"")="111444",10,20),0))=2,
                450,
                600
            )
        )
    ),
    ""
)</f>
        <v/>
      </c>
    </row>
    <row r="182" spans="1:22" ht="48" customHeight="1" x14ac:dyDescent="0.25">
      <c r="A182" s="17" t="str">
        <f>VLOOKUP(C182,[1]Werke!$A$1:$C$168,3,0)</f>
        <v>16D</v>
      </c>
      <c r="B182" s="17">
        <f>VLOOKUP(C182,[1]Werke!$A$1:$C$168,2,0)</f>
        <v>210</v>
      </c>
      <c r="C182" s="18" t="s">
        <v>182</v>
      </c>
      <c r="D182" s="17" t="str">
        <f>VLOOKUP(C182,[1]Maliteslimalan!$A$1:$B$210,2,0)</f>
        <v>8000012565</v>
      </c>
      <c r="E182" s="19">
        <f>VLOOKUP(C182,[1]Bestellnr.!$A$1:$B$174,2,0)</f>
        <v>0</v>
      </c>
      <c r="F182" s="20" t="str">
        <f t="shared" si="92"/>
        <v>N   108 549 01</v>
      </c>
      <c r="G182" s="21">
        <v>940328000</v>
      </c>
      <c r="H182" s="17">
        <f t="shared" si="93"/>
        <v>5.2429999999999997E-2</v>
      </c>
      <c r="I182" s="20"/>
      <c r="J182" s="17">
        <f t="shared" si="94"/>
        <v>200</v>
      </c>
      <c r="K182" s="17">
        <f t="shared" si="95"/>
        <v>0</v>
      </c>
      <c r="L182" s="22">
        <v>10</v>
      </c>
      <c r="M182" s="22">
        <v>30</v>
      </c>
      <c r="N182" s="22">
        <v>111444</v>
      </c>
      <c r="O182" s="22" t="str">
        <f t="shared" si="96"/>
        <v>001006</v>
      </c>
      <c r="P182" s="22">
        <f t="shared" si="97"/>
        <v>34</v>
      </c>
      <c r="Q182" s="22"/>
      <c r="R182" s="23" t="s">
        <v>153</v>
      </c>
      <c r="S182" s="22">
        <f t="shared" si="98"/>
        <v>0.56999999999999995</v>
      </c>
      <c r="T182" s="24">
        <f t="shared" si="99"/>
        <v>0</v>
      </c>
      <c r="U182" s="25">
        <f t="shared" si="100"/>
        <v>2</v>
      </c>
      <c r="V182" s="26" t="str">
        <f t="shared" si="101"/>
        <v/>
      </c>
    </row>
    <row r="183" spans="1:22" ht="48" customHeight="1" x14ac:dyDescent="0.25">
      <c r="A183" s="17" t="str">
        <f>VLOOKUP(C183,[1]Werke!$A$1:$C$168,3,0)</f>
        <v>3R</v>
      </c>
      <c r="B183" s="17" t="str">
        <f>VLOOKUP(C183,[1]Werke!$A$1:$C$168,2,0)</f>
        <v>BC9</v>
      </c>
      <c r="C183" s="18" t="s">
        <v>203</v>
      </c>
      <c r="D183" s="17">
        <f>VLOOKUP(C183,[1]Maliteslimalan!$A$1:$B$210,2,0)</f>
        <v>8000017021</v>
      </c>
      <c r="E183" s="19">
        <v>6</v>
      </c>
      <c r="F183" s="20" t="str">
        <f t="shared" si="92"/>
        <v>N   108 549 01</v>
      </c>
      <c r="G183" s="21">
        <v>940328000</v>
      </c>
      <c r="H183" s="17">
        <f t="shared" si="93"/>
        <v>5.2429999999999997E-2</v>
      </c>
      <c r="I183" s="20"/>
      <c r="J183" s="17">
        <f t="shared" si="94"/>
        <v>200</v>
      </c>
      <c r="K183" s="17">
        <f t="shared" si="95"/>
        <v>0</v>
      </c>
      <c r="L183" s="22">
        <v>20</v>
      </c>
      <c r="M183" s="22">
        <v>60</v>
      </c>
      <c r="N183" s="22" t="s">
        <v>155</v>
      </c>
      <c r="O183" s="22" t="str">
        <f t="shared" si="96"/>
        <v>001210</v>
      </c>
      <c r="P183" s="22">
        <f t="shared" si="97"/>
        <v>55</v>
      </c>
      <c r="Q183" s="22"/>
      <c r="R183" s="23" t="s">
        <v>153</v>
      </c>
      <c r="S183" s="22">
        <f t="shared" si="98"/>
        <v>0.56999999999999995</v>
      </c>
      <c r="T183" s="24">
        <f t="shared" si="99"/>
        <v>0</v>
      </c>
      <c r="U183" s="25">
        <f t="shared" si="100"/>
        <v>2</v>
      </c>
      <c r="V183" s="26" t="str">
        <f t="shared" si="101"/>
        <v/>
      </c>
    </row>
    <row r="184" spans="1:22" ht="48" customHeight="1" x14ac:dyDescent="0.25">
      <c r="A184" s="17">
        <f>VLOOKUP(C184,[1]Werke!$A$1:$C$168,3,0)</f>
        <v>14</v>
      </c>
      <c r="B184" s="17" t="str">
        <f>VLOOKUP(C184,[1]Werke!$A$1:$C$168,2,0)</f>
        <v>D66</v>
      </c>
      <c r="C184" s="18" t="s">
        <v>248</v>
      </c>
      <c r="D184" s="17" t="str">
        <f>VLOOKUP(C184,[1]Maliteslimalan!$A$1:$B$210,2,0)</f>
        <v>8000012561</v>
      </c>
      <c r="E184" s="19">
        <f>VLOOKUP(C184,[1]Bestellnr.!$A$1:$B$174,2,0)</f>
        <v>0</v>
      </c>
      <c r="F184" s="20" t="str">
        <f t="shared" si="92"/>
        <v>N   108 549 01</v>
      </c>
      <c r="G184" s="21">
        <v>940328000</v>
      </c>
      <c r="H184" s="17">
        <f t="shared" si="93"/>
        <v>5.2429999999999997E-2</v>
      </c>
      <c r="I184" s="20"/>
      <c r="J184" s="17">
        <f t="shared" si="94"/>
        <v>200</v>
      </c>
      <c r="K184" s="17">
        <f t="shared" si="95"/>
        <v>0</v>
      </c>
      <c r="L184" s="22">
        <v>10</v>
      </c>
      <c r="M184" s="22">
        <v>30</v>
      </c>
      <c r="N184" s="22">
        <v>111444</v>
      </c>
      <c r="O184" s="22" t="str">
        <f t="shared" si="96"/>
        <v>001006</v>
      </c>
      <c r="P184" s="22">
        <f t="shared" si="97"/>
        <v>34</v>
      </c>
      <c r="Q184" s="22"/>
      <c r="R184" s="23" t="s">
        <v>153</v>
      </c>
      <c r="S184" s="22">
        <f t="shared" si="98"/>
        <v>0.56999999999999995</v>
      </c>
      <c r="T184" s="24">
        <f t="shared" si="99"/>
        <v>0</v>
      </c>
      <c r="U184" s="25">
        <f t="shared" si="100"/>
        <v>2</v>
      </c>
      <c r="V184" s="26" t="str">
        <f t="shared" si="101"/>
        <v/>
      </c>
    </row>
    <row r="185" spans="1:22" ht="48" customHeight="1" x14ac:dyDescent="0.25">
      <c r="A185" s="17">
        <f>VLOOKUP(C185,[1]Werke!$A$1:$C$168,3,0)</f>
        <v>24</v>
      </c>
      <c r="B185" s="17" t="str">
        <f>VLOOKUP(C185,[1]Werke!$A$1:$C$168,2,0)</f>
        <v>CKS</v>
      </c>
      <c r="C185" s="18" t="s">
        <v>188</v>
      </c>
      <c r="D185" s="17" t="str">
        <f>VLOOKUP(C185,[1]Maliteslimalan!$A$1:$B$210,2,0)</f>
        <v>8000012647</v>
      </c>
      <c r="E185" s="19" t="str">
        <f>VLOOKUP(C185,[1]Bestellnr.!$A$1:$B$174,2,0)</f>
        <v>000006</v>
      </c>
      <c r="F185" s="20" t="str">
        <f t="shared" si="92"/>
        <v>N   108 549 01</v>
      </c>
      <c r="G185" s="21">
        <v>940328000</v>
      </c>
      <c r="H185" s="17">
        <f t="shared" si="93"/>
        <v>5.2429999999999997E-2</v>
      </c>
      <c r="I185" s="20"/>
      <c r="J185" s="17">
        <f t="shared" si="94"/>
        <v>200</v>
      </c>
      <c r="K185" s="17">
        <f t="shared" si="95"/>
        <v>0</v>
      </c>
      <c r="L185" s="22">
        <v>10</v>
      </c>
      <c r="M185" s="22">
        <v>30</v>
      </c>
      <c r="N185" s="22">
        <v>111444</v>
      </c>
      <c r="O185" s="22" t="str">
        <f t="shared" si="96"/>
        <v>001006</v>
      </c>
      <c r="P185" s="22">
        <f t="shared" si="97"/>
        <v>34</v>
      </c>
      <c r="Q185" s="22"/>
      <c r="R185" s="23" t="s">
        <v>153</v>
      </c>
      <c r="S185" s="22">
        <f t="shared" si="98"/>
        <v>0.56999999999999995</v>
      </c>
      <c r="T185" s="24">
        <f t="shared" si="99"/>
        <v>0</v>
      </c>
      <c r="U185" s="25">
        <f t="shared" si="100"/>
        <v>2</v>
      </c>
      <c r="V185" s="26" t="str">
        <f t="shared" si="101"/>
        <v/>
      </c>
    </row>
    <row r="186" spans="1:22" ht="48" customHeight="1" x14ac:dyDescent="0.25">
      <c r="A186" s="17" t="str">
        <f>VLOOKUP(C186,[1]Werke!$A$1:$C$168,3,0)</f>
        <v>IM</v>
      </c>
      <c r="B186" s="17">
        <f>VLOOKUP(C186,[1]Werke!$A$1:$C$168,2,0)</f>
        <v>889</v>
      </c>
      <c r="C186" s="18" t="s">
        <v>225</v>
      </c>
      <c r="D186" s="17">
        <f>VLOOKUP(C186,[1]Maliteslimalan!$A$1:$B$210,2,0)</f>
        <v>8000017117</v>
      </c>
      <c r="E186" s="19">
        <v>6</v>
      </c>
      <c r="F186" s="20" t="str">
        <f t="shared" si="92"/>
        <v>N   108 549 01</v>
      </c>
      <c r="G186" s="21">
        <v>940328000</v>
      </c>
      <c r="H186" s="17">
        <f t="shared" si="93"/>
        <v>5.2429999999999997E-2</v>
      </c>
      <c r="I186" s="20"/>
      <c r="J186" s="17">
        <f t="shared" si="94"/>
        <v>200</v>
      </c>
      <c r="K186" s="17">
        <f t="shared" si="95"/>
        <v>0</v>
      </c>
      <c r="L186" s="22">
        <v>10</v>
      </c>
      <c r="M186" s="22">
        <v>30</v>
      </c>
      <c r="N186" s="22">
        <v>111444</v>
      </c>
      <c r="O186" s="22" t="str">
        <f t="shared" si="96"/>
        <v>001006</v>
      </c>
      <c r="P186" s="22">
        <f t="shared" si="97"/>
        <v>34</v>
      </c>
      <c r="Q186" s="22"/>
      <c r="R186" s="23" t="s">
        <v>153</v>
      </c>
      <c r="S186" s="22">
        <f t="shared" si="98"/>
        <v>0.56999999999999995</v>
      </c>
      <c r="T186" s="24">
        <f t="shared" si="99"/>
        <v>0</v>
      </c>
      <c r="U186" s="25">
        <f t="shared" si="100"/>
        <v>2</v>
      </c>
      <c r="V186" s="26" t="str">
        <f t="shared" si="101"/>
        <v/>
      </c>
    </row>
    <row r="187" spans="1:22" ht="48" customHeight="1" x14ac:dyDescent="0.25">
      <c r="A187" s="17" t="str">
        <f>VLOOKUP(C187,[1]Werke!$A$1:$C$168,3,0)</f>
        <v>3T</v>
      </c>
      <c r="B187" s="17" t="str">
        <f>VLOOKUP(C187,[1]Werke!$A$1:$C$168,2,0)</f>
        <v>BZ5</v>
      </c>
      <c r="C187" s="18" t="s">
        <v>249</v>
      </c>
      <c r="D187" s="17">
        <f>VLOOKUP(C187,[1]Maliteslimalan!$A$1:$B$210,2,0)</f>
        <v>8000012711</v>
      </c>
      <c r="E187" s="19">
        <v>6</v>
      </c>
      <c r="F187" s="20" t="str">
        <f t="shared" si="92"/>
        <v>N   108 549 01</v>
      </c>
      <c r="G187" s="21">
        <v>940328000</v>
      </c>
      <c r="H187" s="17">
        <f t="shared" si="93"/>
        <v>5.2429999999999997E-2</v>
      </c>
      <c r="I187" s="20"/>
      <c r="J187" s="17">
        <f t="shared" si="94"/>
        <v>200</v>
      </c>
      <c r="K187" s="17">
        <f t="shared" si="95"/>
        <v>0</v>
      </c>
      <c r="L187" s="22">
        <v>10</v>
      </c>
      <c r="M187" s="22">
        <v>30</v>
      </c>
      <c r="N187" s="22">
        <v>111444</v>
      </c>
      <c r="O187" s="22" t="str">
        <f t="shared" si="96"/>
        <v>001006</v>
      </c>
      <c r="P187" s="22">
        <f t="shared" si="97"/>
        <v>34</v>
      </c>
      <c r="Q187" s="22"/>
      <c r="R187" s="23" t="s">
        <v>153</v>
      </c>
      <c r="S187" s="22">
        <f t="shared" si="98"/>
        <v>0.56999999999999995</v>
      </c>
      <c r="T187" s="24">
        <f t="shared" si="99"/>
        <v>0</v>
      </c>
      <c r="U187" s="25">
        <f t="shared" si="100"/>
        <v>2</v>
      </c>
      <c r="V187" s="26" t="str">
        <f t="shared" si="101"/>
        <v/>
      </c>
    </row>
    <row r="188" spans="1:22" ht="48" customHeight="1" x14ac:dyDescent="0.25">
      <c r="A188" s="17">
        <f>VLOOKUP(C188,[1]Werke!$A$1:$C$168,3,0)</f>
        <v>49</v>
      </c>
      <c r="B188" s="17" t="str">
        <f>VLOOKUP(C188,[1]Werke!$A$1:$C$168,2,0)</f>
        <v>CT</v>
      </c>
      <c r="C188" s="18" t="s">
        <v>217</v>
      </c>
      <c r="D188" s="17" t="str">
        <f>VLOOKUP(C188,[1]Maliteslimalan!$A$1:$B$210,2,0)</f>
        <v>8000012574</v>
      </c>
      <c r="E188" s="19" t="str">
        <f>VLOOKUP(C188,[1]Bestellnr.!$A$1:$B$174,2,0)</f>
        <v>000001</v>
      </c>
      <c r="F188" s="20" t="str">
        <f t="shared" si="92"/>
        <v>N   108 549 01</v>
      </c>
      <c r="G188" s="21">
        <v>940328000</v>
      </c>
      <c r="H188" s="17">
        <f t="shared" si="93"/>
        <v>5.2429999999999997E-2</v>
      </c>
      <c r="I188" s="20"/>
      <c r="J188" s="17">
        <f t="shared" si="94"/>
        <v>200</v>
      </c>
      <c r="K188" s="17">
        <f t="shared" si="95"/>
        <v>0</v>
      </c>
      <c r="L188" s="22">
        <v>10</v>
      </c>
      <c r="M188" s="22">
        <v>30</v>
      </c>
      <c r="N188" s="22">
        <v>111444</v>
      </c>
      <c r="O188" s="22" t="str">
        <f t="shared" si="96"/>
        <v>001006</v>
      </c>
      <c r="P188" s="22">
        <f t="shared" si="97"/>
        <v>34</v>
      </c>
      <c r="Q188" s="22"/>
      <c r="R188" s="23" t="s">
        <v>153</v>
      </c>
      <c r="S188" s="22">
        <f t="shared" si="98"/>
        <v>0.56999999999999995</v>
      </c>
      <c r="T188" s="24">
        <f t="shared" si="99"/>
        <v>0</v>
      </c>
      <c r="U188" s="25">
        <f t="shared" si="100"/>
        <v>2</v>
      </c>
      <c r="V188" s="26" t="str">
        <f t="shared" si="101"/>
        <v/>
      </c>
    </row>
    <row r="189" spans="1:22" ht="48" customHeight="1" x14ac:dyDescent="0.25">
      <c r="A189" s="17" t="str">
        <f>VLOOKUP(C189,[1]Werke!$A$1:$C$168,3,0)</f>
        <v>K3</v>
      </c>
      <c r="B189" s="17">
        <f>VLOOKUP(C189,[1]Werke!$A$1:$C$168,2,0)</f>
        <v>501</v>
      </c>
      <c r="C189" s="18">
        <v>15501</v>
      </c>
      <c r="D189" s="17">
        <f>VLOOKUP(C189,[1]Maliteslimalan!$A$1:$B$210,2,0)</f>
        <v>8000012800</v>
      </c>
      <c r="E189" s="19">
        <v>6</v>
      </c>
      <c r="F189" s="20" t="str">
        <f t="shared" si="92"/>
        <v>N   108 549 01</v>
      </c>
      <c r="G189" s="21">
        <v>940328000</v>
      </c>
      <c r="H189" s="17">
        <f t="shared" si="93"/>
        <v>5.2429999999999997E-2</v>
      </c>
      <c r="I189" s="20"/>
      <c r="J189" s="17">
        <f t="shared" si="94"/>
        <v>200</v>
      </c>
      <c r="K189" s="17">
        <f t="shared" si="95"/>
        <v>0</v>
      </c>
      <c r="L189" s="22">
        <v>20</v>
      </c>
      <c r="M189" s="22">
        <v>20</v>
      </c>
      <c r="N189" s="22" t="s">
        <v>155</v>
      </c>
      <c r="O189" s="22" t="str">
        <f t="shared" si="96"/>
        <v>001210</v>
      </c>
      <c r="P189" s="22">
        <f t="shared" si="97"/>
        <v>55</v>
      </c>
      <c r="Q189" s="22"/>
      <c r="R189" s="23" t="s">
        <v>153</v>
      </c>
      <c r="S189" s="22">
        <f t="shared" si="98"/>
        <v>0.56999999999999995</v>
      </c>
      <c r="T189" s="24">
        <f t="shared" si="99"/>
        <v>0</v>
      </c>
      <c r="U189" s="25">
        <f t="shared" si="100"/>
        <v>2</v>
      </c>
      <c r="V189" s="26" t="str">
        <f t="shared" si="101"/>
        <v/>
      </c>
    </row>
    <row r="190" spans="1:22" ht="48" customHeight="1" x14ac:dyDescent="0.25">
      <c r="A190" s="17" t="str">
        <f>VLOOKUP(C190,[1]Werke!$A$1:$C$168,3,0)</f>
        <v>3P</v>
      </c>
      <c r="B190" s="17" t="str">
        <f>VLOOKUP(C190,[1]Werke!$A$1:$C$168,2,0)</f>
        <v>BP4</v>
      </c>
      <c r="C190" s="18" t="s">
        <v>234</v>
      </c>
      <c r="D190" s="17" t="str">
        <f>VLOOKUP(C190,[1]Maliteslimalan!$A$1:$B$210,2,0)</f>
        <v>8000012617</v>
      </c>
      <c r="E190" s="19" t="str">
        <f>VLOOKUP(C190,[1]Bestellnr.!$A$1:$B$174,2,0)</f>
        <v>000055</v>
      </c>
      <c r="F190" s="20" t="str">
        <f t="shared" si="92"/>
        <v>N   108 549 01</v>
      </c>
      <c r="G190" s="21">
        <v>940328000</v>
      </c>
      <c r="H190" s="17">
        <f t="shared" si="93"/>
        <v>5.2429999999999997E-2</v>
      </c>
      <c r="I190" s="20"/>
      <c r="J190" s="17">
        <f t="shared" si="94"/>
        <v>200</v>
      </c>
      <c r="K190" s="17">
        <f t="shared" si="95"/>
        <v>0</v>
      </c>
      <c r="L190" s="22">
        <v>20</v>
      </c>
      <c r="M190" s="22">
        <v>20</v>
      </c>
      <c r="N190" s="22" t="s">
        <v>155</v>
      </c>
      <c r="O190" s="22" t="str">
        <f t="shared" si="96"/>
        <v>001210</v>
      </c>
      <c r="P190" s="22">
        <f t="shared" si="97"/>
        <v>55</v>
      </c>
      <c r="Q190" s="22"/>
      <c r="R190" s="23" t="s">
        <v>153</v>
      </c>
      <c r="S190" s="22">
        <f t="shared" si="98"/>
        <v>0.56999999999999995</v>
      </c>
      <c r="T190" s="24">
        <f t="shared" si="99"/>
        <v>0</v>
      </c>
      <c r="U190" s="25">
        <f t="shared" si="100"/>
        <v>2</v>
      </c>
      <c r="V190" s="26" t="str">
        <f t="shared" si="101"/>
        <v/>
      </c>
    </row>
    <row r="191" spans="1:22" ht="48" customHeight="1" x14ac:dyDescent="0.25">
      <c r="A191" s="17"/>
      <c r="B191" s="17"/>
      <c r="C191" s="18"/>
      <c r="D191" s="17"/>
      <c r="E191" s="19"/>
      <c r="F191" s="20"/>
      <c r="G191" s="21"/>
      <c r="H191" s="17"/>
      <c r="I191" s="20"/>
      <c r="J191" s="17"/>
      <c r="K191" s="17"/>
      <c r="L191" s="22"/>
      <c r="M191" s="22"/>
      <c r="N191" s="22"/>
      <c r="O191" s="22"/>
      <c r="P191" s="22"/>
      <c r="Q191" s="22"/>
      <c r="R191" s="23"/>
      <c r="S191" s="22"/>
      <c r="T191" s="24"/>
      <c r="U191" s="25"/>
    </row>
    <row r="192" spans="1:22" ht="48.2" customHeight="1" x14ac:dyDescent="0.25">
      <c r="A192" s="17">
        <f>VLOOKUP(C192,[1]Werke!$A$1:$C$168,3,0)</f>
        <v>21</v>
      </c>
      <c r="B192" s="17" t="str">
        <f>VLOOKUP(C192,[1]Werke!$A$1:$C$168,2,0)</f>
        <v>GZD</v>
      </c>
      <c r="C192" s="18" t="s">
        <v>223</v>
      </c>
      <c r="D192" s="17" t="str">
        <f>VLOOKUP(C192,[1]Maliteslimalan!$A$1:$B$210,2,0)</f>
        <v>8000012572</v>
      </c>
      <c r="E192" s="19" t="str">
        <f>VLOOKUP(C192,[1]Bestellnr.!$A$1:$B$174,2,0)</f>
        <v>000006</v>
      </c>
      <c r="F192" s="20" t="str">
        <f t="shared" ref="F192:F201" si="102">VLOOKUP(G192,$U$1:$V$1730,2,0)</f>
        <v>N   901 838 04</v>
      </c>
      <c r="G192" s="21">
        <v>967230000</v>
      </c>
      <c r="H192" s="17">
        <f t="shared" ref="H192:H201" si="103">VLOOKUP(G192,Z$2:AA$1905,2,FALSE)</f>
        <v>8.9499999999999996E-3</v>
      </c>
      <c r="I192" s="20"/>
      <c r="J192" s="17">
        <f>VLOOKUP(G192,W$2:X$1905,2,FALSE)</f>
        <v>1200</v>
      </c>
      <c r="K192" s="17">
        <f t="shared" ref="K192:K201" si="104">I192/J192</f>
        <v>0</v>
      </c>
      <c r="L192" s="22">
        <v>20</v>
      </c>
      <c r="M192" s="22">
        <v>20</v>
      </c>
      <c r="N192" s="22" t="s">
        <v>155</v>
      </c>
      <c r="O192" s="22" t="str">
        <f t="shared" ref="O192:O201" si="105">VLOOKUP(N192,$AL$1285:$AM$1310,2,FALSE)</f>
        <v>001210</v>
      </c>
      <c r="P192" s="22">
        <f t="shared" ref="P192:P201" si="106">VLOOKUP(N192,AC$2:AD$1905,2,FALSE)</f>
        <v>55</v>
      </c>
      <c r="Q192" s="22"/>
      <c r="R192" s="23" t="s">
        <v>153</v>
      </c>
      <c r="S192" s="22">
        <f t="shared" ref="S192:S201" si="107">VLOOKUP(R192,AC$2:AD$1905,2,FALSE)</f>
        <v>0.56999999999999995</v>
      </c>
      <c r="T192" s="24">
        <f t="shared" ref="T192:T201" si="108">(H192*I192)+P192*Q192+S192*K192</f>
        <v>0</v>
      </c>
      <c r="U192" s="25">
        <f t="shared" ref="U192:U201" si="109">IF(TRIM(N192&amp;"")="111444",
    IF(ROUNDUP(MAX(0,K192-(MAX(1,Q192)-1)*10)/10,0)=1,3,2),
    IF(TRIM(N192&amp;"")="VWPAL",
        IF(TRIM(R192&amp;"")="004147",1,2),
        ""
    )
)</f>
        <v>2</v>
      </c>
      <c r="V192" s="26" t="str">
        <f t="shared" ref="V192:V201" si="110">IF(OR(TRIM(N192&amp;"")="111444",TRIM(N192&amp;"")="VWPAL"),
    IF(K192&lt;=0,"",
        IF(
            MIN(3,ROUNDUP(MAX(0,K192-(MAX(1,Q192)-1)*IF(TRIM(N192&amp;"")="111444",10,20))/IF(TRIM(N192&amp;"")="111444",10,20),0))=1,
            300,
            IF(
                MIN(3,ROUNDUP(MAX(0,K192-(MAX(1,Q192)-1)*IF(TRIM(N192&amp;"")="111444",10,20))/IF(TRIM(N192&amp;"")="111444",10,20),0))=2,
                450,
                600
            )
        )
    ),
    ""
)</f>
        <v/>
      </c>
    </row>
    <row r="193" spans="1:22" ht="48.2" customHeight="1" x14ac:dyDescent="0.25">
      <c r="A193" s="17">
        <f>VLOOKUP(C193,[1]Werke!$A$1:$C$168,3,0)</f>
        <v>13</v>
      </c>
      <c r="B193" s="17" t="str">
        <f>VLOOKUP(C193,[1]Werke!$A$1:$C$168,2,0)</f>
        <v>H30</v>
      </c>
      <c r="C193" s="18">
        <v>30367</v>
      </c>
      <c r="D193" s="17">
        <f>VLOOKUP(C193,[1]Maliteslimalan!$A$1:$B$210,2,0)</f>
        <v>8000015910</v>
      </c>
      <c r="E193" s="19">
        <v>6</v>
      </c>
      <c r="F193" s="20" t="str">
        <f t="shared" si="102"/>
        <v>N   901 838 04</v>
      </c>
      <c r="G193" s="21">
        <v>967230000</v>
      </c>
      <c r="H193" s="17">
        <f t="shared" si="103"/>
        <v>8.9499999999999996E-3</v>
      </c>
      <c r="I193" s="20"/>
      <c r="J193" s="17">
        <f>VLOOKUP(G193,W$2:X$1905,2,FALSE)</f>
        <v>1200</v>
      </c>
      <c r="K193" s="17">
        <f t="shared" si="104"/>
        <v>0</v>
      </c>
      <c r="L193" s="22">
        <v>10</v>
      </c>
      <c r="M193" s="22">
        <v>20</v>
      </c>
      <c r="N193" s="22">
        <v>111444</v>
      </c>
      <c r="O193" s="22" t="str">
        <f t="shared" si="105"/>
        <v>001006</v>
      </c>
      <c r="P193" s="22">
        <f t="shared" si="106"/>
        <v>34</v>
      </c>
      <c r="Q193" s="22"/>
      <c r="R193" s="23" t="s">
        <v>153</v>
      </c>
      <c r="S193" s="22">
        <f t="shared" si="107"/>
        <v>0.56999999999999995</v>
      </c>
      <c r="T193" s="24">
        <f t="shared" si="108"/>
        <v>0</v>
      </c>
      <c r="U193" s="25">
        <f t="shared" si="109"/>
        <v>2</v>
      </c>
      <c r="V193" s="26" t="str">
        <f t="shared" si="110"/>
        <v/>
      </c>
    </row>
    <row r="194" spans="1:22" ht="48.2" customHeight="1" x14ac:dyDescent="0.25">
      <c r="A194" s="17">
        <f>VLOOKUP(C194,[1]Werke!$A$1:$C$168,3,0)</f>
        <v>24</v>
      </c>
      <c r="B194" s="17" t="str">
        <f>VLOOKUP(C194,[1]Werke!$A$1:$C$168,2,0)</f>
        <v>CKH</v>
      </c>
      <c r="C194" s="18" t="s">
        <v>224</v>
      </c>
      <c r="D194" s="17">
        <f>VLOOKUP(C194,[1]Maliteslimalan!$A$1:$B$210,2,0)</f>
        <v>8000013551</v>
      </c>
      <c r="E194" s="19">
        <v>6</v>
      </c>
      <c r="F194" s="20" t="str">
        <f t="shared" si="102"/>
        <v>N   901 838 04</v>
      </c>
      <c r="G194" s="21">
        <v>967230000</v>
      </c>
      <c r="H194" s="17">
        <f t="shared" si="103"/>
        <v>8.9499999999999996E-3</v>
      </c>
      <c r="I194" s="20"/>
      <c r="J194" s="17">
        <f>VLOOKUP(G194,W$2:X$1905,2,FALSE)</f>
        <v>1200</v>
      </c>
      <c r="K194" s="17">
        <f t="shared" si="104"/>
        <v>0</v>
      </c>
      <c r="L194" s="22">
        <v>10</v>
      </c>
      <c r="M194" s="22">
        <v>30</v>
      </c>
      <c r="N194" s="22">
        <v>111444</v>
      </c>
      <c r="O194" s="22" t="str">
        <f t="shared" si="105"/>
        <v>001006</v>
      </c>
      <c r="P194" s="22">
        <f t="shared" si="106"/>
        <v>34</v>
      </c>
      <c r="Q194" s="22"/>
      <c r="R194" s="23" t="s">
        <v>153</v>
      </c>
      <c r="S194" s="22">
        <f t="shared" si="107"/>
        <v>0.56999999999999995</v>
      </c>
      <c r="T194" s="24">
        <f t="shared" si="108"/>
        <v>0</v>
      </c>
      <c r="U194" s="25">
        <f t="shared" si="109"/>
        <v>2</v>
      </c>
      <c r="V194" s="26" t="str">
        <f t="shared" si="110"/>
        <v/>
      </c>
    </row>
    <row r="195" spans="1:22" ht="48.2" customHeight="1" x14ac:dyDescent="0.25">
      <c r="A195" s="17">
        <f>VLOOKUP(C195,[1]Werke!$A$1:$C$168,3,0)</f>
        <v>31</v>
      </c>
      <c r="B195" s="17" t="str">
        <f>VLOOKUP(C195,[1]Werke!$A$1:$C$168,2,0)</f>
        <v>BH7</v>
      </c>
      <c r="C195" s="18" t="s">
        <v>250</v>
      </c>
      <c r="D195" s="17">
        <f>VLOOKUP(C195,[1]Maliteslimalan!$A$1:$B$210,2,0)</f>
        <v>8000015577</v>
      </c>
      <c r="E195" s="19">
        <v>6</v>
      </c>
      <c r="F195" s="20" t="str">
        <f t="shared" si="102"/>
        <v>N   901 838 04</v>
      </c>
      <c r="G195" s="21">
        <v>967230000</v>
      </c>
      <c r="H195" s="17">
        <f t="shared" si="103"/>
        <v>8.9499999999999996E-3</v>
      </c>
      <c r="I195" s="20"/>
      <c r="J195" s="17">
        <v>1200</v>
      </c>
      <c r="K195" s="17">
        <f t="shared" si="104"/>
        <v>0</v>
      </c>
      <c r="L195" s="22">
        <v>10</v>
      </c>
      <c r="M195" s="22">
        <v>10</v>
      </c>
      <c r="N195" s="22">
        <v>111444</v>
      </c>
      <c r="O195" s="22" t="str">
        <f t="shared" si="105"/>
        <v>001006</v>
      </c>
      <c r="P195" s="22">
        <f t="shared" si="106"/>
        <v>34</v>
      </c>
      <c r="Q195" s="22"/>
      <c r="R195" s="23" t="s">
        <v>153</v>
      </c>
      <c r="S195" s="22">
        <f t="shared" si="107"/>
        <v>0.56999999999999995</v>
      </c>
      <c r="T195" s="24">
        <f t="shared" si="108"/>
        <v>0</v>
      </c>
      <c r="U195" s="25">
        <f t="shared" si="109"/>
        <v>2</v>
      </c>
      <c r="V195" s="26" t="str">
        <f t="shared" si="110"/>
        <v/>
      </c>
    </row>
    <row r="196" spans="1:22" ht="48.2" customHeight="1" x14ac:dyDescent="0.25">
      <c r="A196" s="17" t="str">
        <f>VLOOKUP(C196,[1]Werke!$A$1:$C$168,3,0)</f>
        <v>3P</v>
      </c>
      <c r="B196" s="17" t="str">
        <f>VLOOKUP(C196,[1]Werke!$A$1:$C$168,2,0)</f>
        <v>BP4</v>
      </c>
      <c r="C196" s="18" t="s">
        <v>234</v>
      </c>
      <c r="D196" s="17" t="str">
        <f>VLOOKUP(C196,[1]Maliteslimalan!$A$1:$B$210,2,0)</f>
        <v>8000012617</v>
      </c>
      <c r="E196" s="19" t="str">
        <f>VLOOKUP(C196,[1]Bestellnr.!$A$1:$B$174,2,0)</f>
        <v>000055</v>
      </c>
      <c r="F196" s="20" t="str">
        <f t="shared" si="102"/>
        <v>N   901 838 04</v>
      </c>
      <c r="G196" s="21">
        <v>967230000</v>
      </c>
      <c r="H196" s="17">
        <f t="shared" si="103"/>
        <v>8.9499999999999996E-3</v>
      </c>
      <c r="I196" s="20"/>
      <c r="J196" s="17">
        <f t="shared" ref="J196:J201" si="111">VLOOKUP(G196,W$2:X$1905,2,FALSE)</f>
        <v>1200</v>
      </c>
      <c r="K196" s="17">
        <f t="shared" si="104"/>
        <v>0</v>
      </c>
      <c r="L196" s="22">
        <v>10</v>
      </c>
      <c r="M196" s="22">
        <v>10</v>
      </c>
      <c r="N196" s="22">
        <v>111444</v>
      </c>
      <c r="O196" s="22" t="str">
        <f t="shared" si="105"/>
        <v>001006</v>
      </c>
      <c r="P196" s="22">
        <f t="shared" si="106"/>
        <v>34</v>
      </c>
      <c r="Q196" s="22"/>
      <c r="R196" s="23" t="s">
        <v>153</v>
      </c>
      <c r="S196" s="22">
        <f t="shared" si="107"/>
        <v>0.56999999999999995</v>
      </c>
      <c r="T196" s="24">
        <f t="shared" si="108"/>
        <v>0</v>
      </c>
      <c r="U196" s="25">
        <f t="shared" si="109"/>
        <v>2</v>
      </c>
      <c r="V196" s="26" t="str">
        <f t="shared" si="110"/>
        <v/>
      </c>
    </row>
    <row r="197" spans="1:22" ht="48.2" customHeight="1" x14ac:dyDescent="0.25">
      <c r="A197" s="17" t="str">
        <f>VLOOKUP(C197,[1]Werke!$A$1:$C$168,3,0)</f>
        <v>IM</v>
      </c>
      <c r="B197" s="17">
        <f>VLOOKUP(C197,[1]Werke!$A$1:$C$168,2,0)</f>
        <v>889</v>
      </c>
      <c r="C197" s="18" t="s">
        <v>225</v>
      </c>
      <c r="D197" s="17">
        <f>VLOOKUP(C197,[1]Maliteslimalan!$A$1:$B$210,2,0)</f>
        <v>8000017117</v>
      </c>
      <c r="E197" s="19">
        <v>6</v>
      </c>
      <c r="F197" s="20" t="str">
        <f t="shared" si="102"/>
        <v>N   901 838 04</v>
      </c>
      <c r="G197" s="21">
        <v>967230000</v>
      </c>
      <c r="H197" s="17">
        <f t="shared" si="103"/>
        <v>8.9499999999999996E-3</v>
      </c>
      <c r="I197" s="20"/>
      <c r="J197" s="17">
        <f t="shared" si="111"/>
        <v>1200</v>
      </c>
      <c r="K197" s="17">
        <f t="shared" si="104"/>
        <v>0</v>
      </c>
      <c r="L197" s="22">
        <v>10</v>
      </c>
      <c r="M197" s="22">
        <v>30</v>
      </c>
      <c r="N197" s="22">
        <v>111444</v>
      </c>
      <c r="O197" s="22" t="str">
        <f t="shared" si="105"/>
        <v>001006</v>
      </c>
      <c r="P197" s="22">
        <f t="shared" si="106"/>
        <v>34</v>
      </c>
      <c r="Q197" s="22"/>
      <c r="R197" s="23" t="s">
        <v>153</v>
      </c>
      <c r="S197" s="22">
        <f t="shared" si="107"/>
        <v>0.56999999999999995</v>
      </c>
      <c r="T197" s="24">
        <f t="shared" si="108"/>
        <v>0</v>
      </c>
      <c r="U197" s="25">
        <f t="shared" si="109"/>
        <v>2</v>
      </c>
      <c r="V197" s="26" t="str">
        <f t="shared" si="110"/>
        <v/>
      </c>
    </row>
    <row r="198" spans="1:22" ht="48.2" customHeight="1" x14ac:dyDescent="0.25">
      <c r="A198" s="17" t="str">
        <f>VLOOKUP(C198,[1]Werke!$A$1:$C$168,3,0)</f>
        <v>LD</v>
      </c>
      <c r="B198" s="17" t="str">
        <f>VLOOKUP(C198,[1]Werke!$A$1:$C$168,2,0)</f>
        <v>SLD</v>
      </c>
      <c r="C198" s="18">
        <v>83630</v>
      </c>
      <c r="D198" s="17" t="str">
        <f>VLOOKUP(C198,[1]Maliteslimalan!$A$1:$B$210,2,0)</f>
        <v>8000012862</v>
      </c>
      <c r="E198" s="19" t="str">
        <f>VLOOKUP(C198,[1]Bestellnr.!$A$1:$B$174,2,0)</f>
        <v>000006</v>
      </c>
      <c r="F198" s="20" t="str">
        <f t="shared" si="102"/>
        <v>N   901 838 04</v>
      </c>
      <c r="G198" s="21">
        <v>967230000</v>
      </c>
      <c r="H198" s="17">
        <f t="shared" si="103"/>
        <v>8.9499999999999996E-3</v>
      </c>
      <c r="I198" s="20"/>
      <c r="J198" s="17">
        <f t="shared" si="111"/>
        <v>1200</v>
      </c>
      <c r="K198" s="17">
        <f t="shared" si="104"/>
        <v>0</v>
      </c>
      <c r="L198" s="22">
        <v>10</v>
      </c>
      <c r="M198" s="22">
        <v>30</v>
      </c>
      <c r="N198" s="22">
        <v>111444</v>
      </c>
      <c r="O198" s="22" t="str">
        <f t="shared" si="105"/>
        <v>001006</v>
      </c>
      <c r="P198" s="22">
        <f t="shared" si="106"/>
        <v>34</v>
      </c>
      <c r="Q198" s="22"/>
      <c r="R198" s="23" t="s">
        <v>153</v>
      </c>
      <c r="S198" s="22">
        <f t="shared" si="107"/>
        <v>0.56999999999999995</v>
      </c>
      <c r="T198" s="24">
        <f t="shared" si="108"/>
        <v>0</v>
      </c>
      <c r="U198" s="25">
        <f t="shared" si="109"/>
        <v>2</v>
      </c>
      <c r="V198" s="26" t="str">
        <f t="shared" si="110"/>
        <v/>
      </c>
    </row>
    <row r="199" spans="1:22" ht="48.2" customHeight="1" x14ac:dyDescent="0.25">
      <c r="A199" s="17">
        <f>VLOOKUP(C199,[1]Werke!$A$1:$C$168,3,0)</f>
        <v>14</v>
      </c>
      <c r="B199" s="17" t="str">
        <f>VLOOKUP(C199,[1]Werke!$A$1:$C$168,2,0)</f>
        <v>D85</v>
      </c>
      <c r="C199" s="18" t="s">
        <v>239</v>
      </c>
      <c r="D199" s="17" t="str">
        <f>VLOOKUP(C199,[1]Maliteslimalan!$A$1:$B$210,2,0)</f>
        <v>8000012682</v>
      </c>
      <c r="E199" s="19">
        <f>VLOOKUP(C199,[1]Bestellnr.!$A$1:$B$174,2,0)</f>
        <v>0</v>
      </c>
      <c r="F199" s="20" t="str">
        <f t="shared" si="102"/>
        <v>N   901 838 04</v>
      </c>
      <c r="G199" s="21">
        <v>967230000</v>
      </c>
      <c r="H199" s="17">
        <f t="shared" si="103"/>
        <v>8.9499999999999996E-3</v>
      </c>
      <c r="I199" s="20"/>
      <c r="J199" s="17">
        <f t="shared" si="111"/>
        <v>1200</v>
      </c>
      <c r="K199" s="17">
        <f t="shared" si="104"/>
        <v>0</v>
      </c>
      <c r="L199" s="22">
        <v>10</v>
      </c>
      <c r="M199" s="22">
        <v>30</v>
      </c>
      <c r="N199" s="22">
        <v>111444</v>
      </c>
      <c r="O199" s="22" t="str">
        <f t="shared" si="105"/>
        <v>001006</v>
      </c>
      <c r="P199" s="22">
        <f t="shared" si="106"/>
        <v>34</v>
      </c>
      <c r="Q199" s="22"/>
      <c r="R199" s="23" t="s">
        <v>153</v>
      </c>
      <c r="S199" s="22">
        <f t="shared" si="107"/>
        <v>0.56999999999999995</v>
      </c>
      <c r="T199" s="24">
        <f t="shared" si="108"/>
        <v>0</v>
      </c>
      <c r="U199" s="25">
        <f t="shared" si="109"/>
        <v>2</v>
      </c>
      <c r="V199" s="26" t="str">
        <f t="shared" si="110"/>
        <v/>
      </c>
    </row>
    <row r="200" spans="1:22" ht="48.2" customHeight="1" x14ac:dyDescent="0.25">
      <c r="A200" s="17" t="str">
        <f>VLOOKUP(C200,[1]Werke!$A$1:$C$168,3,0)</f>
        <v>3R</v>
      </c>
      <c r="B200" s="17" t="str">
        <f>VLOOKUP(C200,[1]Werke!$A$1:$C$168,2,0)</f>
        <v>BC9</v>
      </c>
      <c r="C200" s="18" t="s">
        <v>244</v>
      </c>
      <c r="D200" s="17">
        <f>VLOOKUP(C200,[1]Maliteslimalan!$A$1:$B$210,2,0)</f>
        <v>8000017021</v>
      </c>
      <c r="E200" s="19">
        <v>6</v>
      </c>
      <c r="F200" s="20" t="str">
        <f t="shared" si="102"/>
        <v>N   901 838 04</v>
      </c>
      <c r="G200" s="21">
        <v>967230000</v>
      </c>
      <c r="H200" s="17">
        <f t="shared" si="103"/>
        <v>8.9499999999999996E-3</v>
      </c>
      <c r="I200" s="20"/>
      <c r="J200" s="17">
        <f t="shared" si="111"/>
        <v>1200</v>
      </c>
      <c r="K200" s="17">
        <f t="shared" si="104"/>
        <v>0</v>
      </c>
      <c r="L200" s="22">
        <v>10</v>
      </c>
      <c r="M200" s="22">
        <v>10</v>
      </c>
      <c r="N200" s="22">
        <v>111444</v>
      </c>
      <c r="O200" s="22" t="str">
        <f t="shared" si="105"/>
        <v>001006</v>
      </c>
      <c r="P200" s="22">
        <f t="shared" si="106"/>
        <v>34</v>
      </c>
      <c r="Q200" s="22"/>
      <c r="R200" s="23" t="s">
        <v>153</v>
      </c>
      <c r="S200" s="22">
        <f t="shared" si="107"/>
        <v>0.56999999999999995</v>
      </c>
      <c r="T200" s="24">
        <f t="shared" si="108"/>
        <v>0</v>
      </c>
      <c r="U200" s="25">
        <f t="shared" si="109"/>
        <v>2</v>
      </c>
      <c r="V200" s="26" t="str">
        <f t="shared" si="110"/>
        <v/>
      </c>
    </row>
    <row r="201" spans="1:22" ht="48.2" customHeight="1" x14ac:dyDescent="0.25">
      <c r="A201" s="17">
        <f>VLOOKUP(C201,[1]Werke!$A$1:$C$168,3,0)</f>
        <v>24</v>
      </c>
      <c r="B201" s="17" t="str">
        <f>VLOOKUP(C201,[1]Werke!$A$1:$C$168,2,0)</f>
        <v>CKS</v>
      </c>
      <c r="C201" s="18" t="s">
        <v>245</v>
      </c>
      <c r="D201" s="17" t="str">
        <f>VLOOKUP(C201,[1]Maliteslimalan!$A$1:$B$210,2,0)</f>
        <v>8000012647</v>
      </c>
      <c r="E201" s="19" t="str">
        <f>VLOOKUP(C201,[1]Bestellnr.!$A$1:$B$174,2,0)</f>
        <v>000006</v>
      </c>
      <c r="F201" s="20" t="str">
        <f t="shared" si="102"/>
        <v>N   901 838 04</v>
      </c>
      <c r="G201" s="21">
        <v>967230000</v>
      </c>
      <c r="H201" s="17">
        <f t="shared" si="103"/>
        <v>8.9499999999999996E-3</v>
      </c>
      <c r="I201" s="20"/>
      <c r="J201" s="17">
        <f t="shared" si="111"/>
        <v>1200</v>
      </c>
      <c r="K201" s="17">
        <f t="shared" si="104"/>
        <v>0</v>
      </c>
      <c r="L201" s="22">
        <v>10</v>
      </c>
      <c r="M201" s="22">
        <v>30</v>
      </c>
      <c r="N201" s="22">
        <v>111444</v>
      </c>
      <c r="O201" s="22" t="str">
        <f t="shared" si="105"/>
        <v>001006</v>
      </c>
      <c r="P201" s="22">
        <f t="shared" si="106"/>
        <v>34</v>
      </c>
      <c r="Q201" s="22"/>
      <c r="R201" s="23" t="s">
        <v>153</v>
      </c>
      <c r="S201" s="22">
        <f t="shared" si="107"/>
        <v>0.56999999999999995</v>
      </c>
      <c r="T201" s="24">
        <f t="shared" si="108"/>
        <v>0</v>
      </c>
      <c r="U201" s="25">
        <f t="shared" si="109"/>
        <v>2</v>
      </c>
      <c r="V201" s="26" t="str">
        <f t="shared" si="110"/>
        <v/>
      </c>
    </row>
    <row r="202" spans="1:22" ht="48.2" customHeight="1" x14ac:dyDescent="0.25">
      <c r="A202" s="17"/>
      <c r="B202" s="17"/>
      <c r="C202" s="18"/>
      <c r="D202" s="17"/>
      <c r="E202" s="19"/>
      <c r="F202" s="20"/>
      <c r="G202" s="21"/>
      <c r="H202" s="17"/>
      <c r="I202" s="20"/>
      <c r="J202" s="17"/>
      <c r="K202" s="17"/>
      <c r="L202" s="22"/>
      <c r="M202" s="22"/>
      <c r="N202" s="22"/>
      <c r="O202" s="22"/>
      <c r="P202" s="22"/>
      <c r="Q202" s="22"/>
      <c r="R202" s="23"/>
      <c r="S202" s="22"/>
      <c r="T202" s="24"/>
      <c r="U202" s="25"/>
    </row>
    <row r="203" spans="1:22" ht="48.2" customHeight="1" x14ac:dyDescent="0.25">
      <c r="A203" s="17">
        <f>VLOOKUP(C203,[1]Werke!$A$1:$C$168,3,0)</f>
        <v>24</v>
      </c>
      <c r="B203" s="17" t="str">
        <f>VLOOKUP(C203,[1]Werke!$A$1:$C$168,2,0)</f>
        <v>CKH</v>
      </c>
      <c r="C203" s="18" t="s">
        <v>224</v>
      </c>
      <c r="D203" s="17">
        <f>VLOOKUP(C203,[1]Maliteslimalan!$A$1:$B$210,2,0)</f>
        <v>8000013551</v>
      </c>
      <c r="E203" s="19">
        <v>6</v>
      </c>
      <c r="F203" s="20" t="str">
        <f t="shared" ref="F203:F208" si="112">VLOOKUP(G203,$U$1:$V$1730,2,0)</f>
        <v>8B1 614 306</v>
      </c>
      <c r="G203" s="21">
        <v>100458000</v>
      </c>
      <c r="H203" s="17">
        <f t="shared" ref="H203:H208" si="113">VLOOKUP(G203,Z$2:AA$1905,2,FALSE)</f>
        <v>5.7500000000000002E-2</v>
      </c>
      <c r="I203" s="20"/>
      <c r="J203" s="17" t="str">
        <f t="shared" ref="J203:J208" si="114">VLOOKUP(G203,W$2:X$1905,2,FALSE)</f>
        <v>200</v>
      </c>
      <c r="K203" s="17">
        <f t="shared" ref="K203:K208" si="115">I203/J203</f>
        <v>0</v>
      </c>
      <c r="L203" s="22">
        <v>10</v>
      </c>
      <c r="M203" s="22">
        <v>30</v>
      </c>
      <c r="N203" s="22">
        <v>111444</v>
      </c>
      <c r="O203" s="22" t="str">
        <f t="shared" ref="O203:O208" si="116">VLOOKUP(N203,$AL$1285:$AM$1310,2,FALSE)</f>
        <v>001006</v>
      </c>
      <c r="P203" s="22">
        <f t="shared" ref="P203:P208" si="117">VLOOKUP(N203,AC$2:AD$1905,2,FALSE)</f>
        <v>34</v>
      </c>
      <c r="Q203" s="22"/>
      <c r="R203" s="23" t="s">
        <v>153</v>
      </c>
      <c r="S203" s="22">
        <f t="shared" ref="S203:S208" si="118">VLOOKUP(R203,AC$2:AD$1905,2,FALSE)</f>
        <v>0.56999999999999995</v>
      </c>
      <c r="T203" s="24">
        <f t="shared" ref="T203:T208" si="119">(H203*I203)+P203*Q203+S203*K203</f>
        <v>0</v>
      </c>
      <c r="U203" s="25">
        <f t="shared" ref="U203:U208" si="120">IF(TRIM(N203&amp;"")="111444",
    IF(ROUNDUP(MAX(0,K203-(MAX(1,Q203)-1)*10)/10,0)=1,3,2),
    IF(TRIM(N203&amp;"")="VWPAL",
        IF(TRIM(R203&amp;"")="004147",1,2),
        ""
    )
)</f>
        <v>2</v>
      </c>
      <c r="V203" s="26" t="str">
        <f t="shared" ref="V203:V208" si="121">IF(OR(TRIM(N203&amp;"")="111444",TRIM(N203&amp;"")="VWPAL"),
    IF(K203&lt;=0,"",
        IF(
            MIN(3,ROUNDUP(MAX(0,K203-(MAX(1,Q203)-1)*IF(TRIM(N203&amp;"")="111444",10,20))/IF(TRIM(N203&amp;"")="111444",10,20),0))=1,
            300,
            IF(
                MIN(3,ROUNDUP(MAX(0,K203-(MAX(1,Q203)-1)*IF(TRIM(N203&amp;"")="111444",10,20))/IF(TRIM(N203&amp;"")="111444",10,20),0))=2,
                450,
                600
            )
        )
    ),
    ""
)</f>
        <v/>
      </c>
    </row>
    <row r="204" spans="1:22" ht="48.2" customHeight="1" x14ac:dyDescent="0.25">
      <c r="A204" s="17">
        <f>VLOOKUP(C204,[1]Werke!$A$1:$C$168,3,0)</f>
        <v>22</v>
      </c>
      <c r="B204" s="17" t="str">
        <f>VLOOKUP(C204,[1]Werke!$A$1:$C$168,2,0)</f>
        <v>13P</v>
      </c>
      <c r="C204" s="18" t="s">
        <v>230</v>
      </c>
      <c r="D204" s="17" t="str">
        <f>VLOOKUP(C204,[1]Maliteslimalan!$A$1:$B$210,2,0)</f>
        <v>8000013344</v>
      </c>
      <c r="E204" s="19" t="str">
        <f>VLOOKUP(C204,[1]Bestellnr.!$A$1:$B$174,2,0)</f>
        <v>000006</v>
      </c>
      <c r="F204" s="20" t="str">
        <f t="shared" si="112"/>
        <v>8B1 614 306</v>
      </c>
      <c r="G204" s="21">
        <v>100458000</v>
      </c>
      <c r="H204" s="17">
        <f t="shared" si="113"/>
        <v>5.7500000000000002E-2</v>
      </c>
      <c r="I204" s="20"/>
      <c r="J204" s="17" t="str">
        <f t="shared" si="114"/>
        <v>200</v>
      </c>
      <c r="K204" s="17">
        <f t="shared" si="115"/>
        <v>0</v>
      </c>
      <c r="L204" s="22">
        <v>10</v>
      </c>
      <c r="M204" s="22">
        <v>30</v>
      </c>
      <c r="N204" s="22">
        <v>111444</v>
      </c>
      <c r="O204" s="22" t="str">
        <f t="shared" si="116"/>
        <v>001006</v>
      </c>
      <c r="P204" s="22">
        <f t="shared" si="117"/>
        <v>34</v>
      </c>
      <c r="Q204" s="22"/>
      <c r="R204" s="23" t="s">
        <v>153</v>
      </c>
      <c r="S204" s="22">
        <f t="shared" si="118"/>
        <v>0.56999999999999995</v>
      </c>
      <c r="T204" s="24">
        <f t="shared" si="119"/>
        <v>0</v>
      </c>
      <c r="U204" s="25">
        <f t="shared" si="120"/>
        <v>2</v>
      </c>
      <c r="V204" s="26" t="str">
        <f t="shared" si="121"/>
        <v/>
      </c>
    </row>
    <row r="205" spans="1:22" ht="48.2" customHeight="1" x14ac:dyDescent="0.25">
      <c r="A205" s="17">
        <f>VLOOKUP(C205,[1]Werke!$A$1:$C$168,3,0)</f>
        <v>37</v>
      </c>
      <c r="B205" s="17" t="str">
        <f>VLOOKUP(C205,[1]Werke!$A$1:$C$168,2,0)</f>
        <v>AKL</v>
      </c>
      <c r="C205" s="18" t="s">
        <v>232</v>
      </c>
      <c r="D205" s="17" t="str">
        <f>VLOOKUP(C205,[1]Maliteslimalan!$A$1:$B$210,2,0)</f>
        <v>8000012562</v>
      </c>
      <c r="E205" s="19" t="str">
        <f>VLOOKUP(C205,[1]Bestellnr.!$A$1:$B$174,2,0)</f>
        <v>000006</v>
      </c>
      <c r="F205" s="20" t="str">
        <f t="shared" si="112"/>
        <v>8B1 614 306</v>
      </c>
      <c r="G205" s="21">
        <v>100458000</v>
      </c>
      <c r="H205" s="17">
        <f t="shared" si="113"/>
        <v>5.7500000000000002E-2</v>
      </c>
      <c r="I205" s="20"/>
      <c r="J205" s="17" t="str">
        <f t="shared" si="114"/>
        <v>200</v>
      </c>
      <c r="K205" s="17">
        <f t="shared" si="115"/>
        <v>0</v>
      </c>
      <c r="L205" s="22">
        <v>10</v>
      </c>
      <c r="M205" s="22">
        <v>30</v>
      </c>
      <c r="N205" s="22">
        <v>111444</v>
      </c>
      <c r="O205" s="22" t="str">
        <f t="shared" si="116"/>
        <v>001006</v>
      </c>
      <c r="P205" s="22">
        <f t="shared" si="117"/>
        <v>34</v>
      </c>
      <c r="Q205" s="22"/>
      <c r="R205" s="23" t="s">
        <v>153</v>
      </c>
      <c r="S205" s="22">
        <f t="shared" si="118"/>
        <v>0.56999999999999995</v>
      </c>
      <c r="T205" s="24">
        <f t="shared" si="119"/>
        <v>0</v>
      </c>
      <c r="U205" s="25">
        <f t="shared" si="120"/>
        <v>2</v>
      </c>
      <c r="V205" s="26" t="str">
        <f t="shared" si="121"/>
        <v/>
      </c>
    </row>
    <row r="206" spans="1:22" ht="48.2" customHeight="1" x14ac:dyDescent="0.25">
      <c r="A206" s="17">
        <f>VLOOKUP(C206,[1]Werke!$A$1:$C$168,3,0)</f>
        <v>88</v>
      </c>
      <c r="B206" s="17" t="str">
        <f>VLOOKUP(C206,[1]Werke!$A$1:$C$168,2,0)</f>
        <v>02</v>
      </c>
      <c r="C206" s="20" t="s">
        <v>167</v>
      </c>
      <c r="D206" s="17" t="str">
        <f>VLOOKUP(C206,[1]Maliteslimalan!$A$1:$B$210,2,0)</f>
        <v>8000012643</v>
      </c>
      <c r="E206" s="19" t="str">
        <f>VLOOKUP(C206,[1]Bestellnr.!$A$1:$B$174,2,0)</f>
        <v>000088</v>
      </c>
      <c r="F206" s="20" t="str">
        <f t="shared" si="112"/>
        <v>8B1 614 306</v>
      </c>
      <c r="G206" s="21">
        <v>100458000</v>
      </c>
      <c r="H206" s="17">
        <f t="shared" si="113"/>
        <v>5.7500000000000002E-2</v>
      </c>
      <c r="I206" s="20"/>
      <c r="J206" s="17" t="str">
        <f t="shared" si="114"/>
        <v>200</v>
      </c>
      <c r="K206" s="17">
        <f t="shared" si="115"/>
        <v>0</v>
      </c>
      <c r="L206" s="22">
        <v>10</v>
      </c>
      <c r="M206" s="22">
        <v>30</v>
      </c>
      <c r="N206" s="22">
        <v>111444</v>
      </c>
      <c r="O206" s="22" t="str">
        <f t="shared" si="116"/>
        <v>001006</v>
      </c>
      <c r="P206" s="22">
        <f t="shared" si="117"/>
        <v>34</v>
      </c>
      <c r="Q206" s="22"/>
      <c r="R206" s="23" t="s">
        <v>153</v>
      </c>
      <c r="S206" s="22">
        <f t="shared" si="118"/>
        <v>0.56999999999999995</v>
      </c>
      <c r="T206" s="24">
        <f t="shared" si="119"/>
        <v>0</v>
      </c>
      <c r="U206" s="25">
        <f t="shared" si="120"/>
        <v>2</v>
      </c>
      <c r="V206" s="26" t="str">
        <f t="shared" si="121"/>
        <v/>
      </c>
    </row>
    <row r="207" spans="1:22" ht="48.2" customHeight="1" x14ac:dyDescent="0.25">
      <c r="A207" s="17">
        <f>VLOOKUP(C207,[1]Werke!$A$1:$C$168,3,0)</f>
        <v>14</v>
      </c>
      <c r="B207" s="17" t="str">
        <f>VLOOKUP(C207,[1]Werke!$A$1:$C$168,2,0)</f>
        <v>D86</v>
      </c>
      <c r="C207" s="18" t="s">
        <v>251</v>
      </c>
      <c r="D207" s="17" t="str">
        <f>VLOOKUP(C207,[1]Maliteslimalan!$A$1:$B$210,2,0)</f>
        <v>8000012642</v>
      </c>
      <c r="E207" s="19">
        <f>VLOOKUP(C207,[1]Bestellnr.!$A$1:$B$174,2,0)</f>
        <v>0</v>
      </c>
      <c r="F207" s="20" t="str">
        <f t="shared" si="112"/>
        <v>8B1 614 306</v>
      </c>
      <c r="G207" s="21">
        <v>100458000</v>
      </c>
      <c r="H207" s="17">
        <f t="shared" si="113"/>
        <v>5.7500000000000002E-2</v>
      </c>
      <c r="I207" s="20"/>
      <c r="J207" s="17" t="str">
        <f t="shared" si="114"/>
        <v>200</v>
      </c>
      <c r="K207" s="17">
        <f t="shared" si="115"/>
        <v>0</v>
      </c>
      <c r="L207" s="22">
        <v>10</v>
      </c>
      <c r="M207" s="22">
        <v>30</v>
      </c>
      <c r="N207" s="22">
        <v>111444</v>
      </c>
      <c r="O207" s="22" t="str">
        <f t="shared" si="116"/>
        <v>001006</v>
      </c>
      <c r="P207" s="22">
        <f t="shared" si="117"/>
        <v>34</v>
      </c>
      <c r="Q207" s="22"/>
      <c r="R207" s="23" t="s">
        <v>153</v>
      </c>
      <c r="S207" s="22">
        <f t="shared" si="118"/>
        <v>0.56999999999999995</v>
      </c>
      <c r="T207" s="24">
        <f t="shared" si="119"/>
        <v>0</v>
      </c>
      <c r="U207" s="25">
        <f t="shared" si="120"/>
        <v>2</v>
      </c>
      <c r="V207" s="26" t="str">
        <f t="shared" si="121"/>
        <v/>
      </c>
    </row>
    <row r="208" spans="1:22" ht="48.2" customHeight="1" x14ac:dyDescent="0.25">
      <c r="A208" s="17">
        <f>VLOOKUP(C208,[1]Werke!$A$1:$C$168,3,0)</f>
        <v>24</v>
      </c>
      <c r="B208" s="17" t="str">
        <f>VLOOKUP(C208,[1]Werke!$A$1:$C$168,2,0)</f>
        <v>CKS</v>
      </c>
      <c r="C208" s="18" t="s">
        <v>245</v>
      </c>
      <c r="D208" s="17" t="str">
        <f>VLOOKUP(C208,[1]Maliteslimalan!$A$1:$B$210,2,0)</f>
        <v>8000012647</v>
      </c>
      <c r="E208" s="19" t="str">
        <f>VLOOKUP(C208,[1]Bestellnr.!$A$1:$B$174,2,0)</f>
        <v>000006</v>
      </c>
      <c r="F208" s="20" t="str">
        <f t="shared" si="112"/>
        <v>8B1 614 306</v>
      </c>
      <c r="G208" s="21">
        <v>100458000</v>
      </c>
      <c r="H208" s="17">
        <f t="shared" si="113"/>
        <v>5.7500000000000002E-2</v>
      </c>
      <c r="I208" s="20"/>
      <c r="J208" s="17" t="str">
        <f t="shared" si="114"/>
        <v>200</v>
      </c>
      <c r="K208" s="17">
        <f t="shared" si="115"/>
        <v>0</v>
      </c>
      <c r="L208" s="22">
        <v>10</v>
      </c>
      <c r="M208" s="22">
        <v>30</v>
      </c>
      <c r="N208" s="22">
        <v>111444</v>
      </c>
      <c r="O208" s="22" t="str">
        <f t="shared" si="116"/>
        <v>001006</v>
      </c>
      <c r="P208" s="22">
        <f t="shared" si="117"/>
        <v>34</v>
      </c>
      <c r="Q208" s="22"/>
      <c r="R208" s="23" t="s">
        <v>153</v>
      </c>
      <c r="S208" s="22">
        <f t="shared" si="118"/>
        <v>0.56999999999999995</v>
      </c>
      <c r="T208" s="24">
        <f t="shared" si="119"/>
        <v>0</v>
      </c>
      <c r="U208" s="25">
        <f t="shared" si="120"/>
        <v>2</v>
      </c>
      <c r="V208" s="26" t="str">
        <f t="shared" si="121"/>
        <v/>
      </c>
    </row>
    <row r="209" spans="1:22" ht="48.2" customHeight="1" x14ac:dyDescent="0.25">
      <c r="A209" s="17"/>
      <c r="B209" s="17"/>
      <c r="C209" s="18"/>
      <c r="D209" s="17"/>
      <c r="E209" s="19"/>
      <c r="F209" s="20"/>
      <c r="G209" s="21"/>
      <c r="H209" s="17"/>
      <c r="I209" s="20"/>
      <c r="J209" s="17"/>
      <c r="K209" s="17"/>
      <c r="L209" s="22"/>
      <c r="M209" s="22"/>
      <c r="N209" s="22"/>
      <c r="O209" s="22"/>
      <c r="P209" s="22"/>
      <c r="Q209" s="22"/>
      <c r="R209" s="23"/>
      <c r="S209" s="22"/>
      <c r="T209" s="24"/>
      <c r="U209" s="25"/>
    </row>
    <row r="210" spans="1:22" ht="48.2" customHeight="1" x14ac:dyDescent="0.25">
      <c r="A210" s="17" t="str">
        <f>VLOOKUP(C210,[1]Werke!$A$1:$C$168,3,0)</f>
        <v>3P</v>
      </c>
      <c r="B210" s="17" t="str">
        <f>VLOOKUP(C210,[1]Werke!$A$1:$C$168,2,0)</f>
        <v>BP4</v>
      </c>
      <c r="C210" s="18" t="s">
        <v>234</v>
      </c>
      <c r="D210" s="17" t="str">
        <f>VLOOKUP(C210,[1]Maliteslimalan!$A$1:$B$210,2,0)</f>
        <v>8000012617</v>
      </c>
      <c r="E210" s="19" t="str">
        <f>VLOOKUP(C210,[1]Bestellnr.!$A$1:$B$174,2,0)</f>
        <v>000055</v>
      </c>
      <c r="F210" s="20" t="str">
        <f>VLOOKUP(G210,$U$1:$V$1730,2,0)</f>
        <v>N   903 536 04</v>
      </c>
      <c r="G210" s="21">
        <v>969061000</v>
      </c>
      <c r="H210" s="17">
        <f>VLOOKUP(G210,Z$2:AA$1905,2,FALSE)</f>
        <v>2.4670000000000001E-2</v>
      </c>
      <c r="I210" s="20"/>
      <c r="J210" s="17">
        <f>VLOOKUP(G210,W$2:X$1905,2,FALSE)</f>
        <v>500</v>
      </c>
      <c r="K210" s="17">
        <f>I210/J210</f>
        <v>0</v>
      </c>
      <c r="L210" s="22">
        <v>10</v>
      </c>
      <c r="M210" s="22">
        <v>30</v>
      </c>
      <c r="N210" s="22">
        <v>111444</v>
      </c>
      <c r="O210" s="22" t="str">
        <f>VLOOKUP(N210,$AL$1285:$AM$1310,2,FALSE)</f>
        <v>001006</v>
      </c>
      <c r="P210" s="22">
        <f>VLOOKUP(N210,AC$2:AD$1905,2,FALSE)</f>
        <v>34</v>
      </c>
      <c r="Q210" s="22"/>
      <c r="R210" s="23" t="s">
        <v>153</v>
      </c>
      <c r="S210" s="22">
        <f>VLOOKUP(R210,AC$2:AD$1905,2,FALSE)</f>
        <v>0.56999999999999995</v>
      </c>
      <c r="T210" s="24">
        <f>(H210*I210)+P210*Q210+S210*K210</f>
        <v>0</v>
      </c>
      <c r="U210" s="25">
        <f>IF(TRIM(N210&amp;"")="111444",
    IF(ROUNDUP(MAX(0,K210-(MAX(1,Q210)-1)*10)/10,0)=1,3,2),
    IF(TRIM(N210&amp;"")="VWPAL",
        IF(TRIM(R210&amp;"")="004147",1,2),
        ""
    )
)</f>
        <v>2</v>
      </c>
      <c r="V210" s="26" t="str">
        <f>IF(OR(TRIM(N210&amp;"")="111444",TRIM(N210&amp;"")="VWPAL"),
    IF(K210&lt;=0,"",
        IF(
            MIN(3,ROUNDUP(MAX(0,K210-(MAX(1,Q210)-1)*IF(TRIM(N210&amp;"")="111444",10,20))/IF(TRIM(N210&amp;"")="111444",10,20),0))=1,
            300,
            IF(
                MIN(3,ROUNDUP(MAX(0,K210-(MAX(1,Q210)-1)*IF(TRIM(N210&amp;"")="111444",10,20))/IF(TRIM(N210&amp;"")="111444",10,20),0))=2,
                450,
                600
            )
        )
    ),
    ""
)</f>
        <v/>
      </c>
    </row>
    <row r="211" spans="1:22" ht="48.2" customHeight="1" x14ac:dyDescent="0.25">
      <c r="A211" s="17" t="str">
        <f>VLOOKUP(C211,[1]Werke!$A$1:$C$168,3,0)</f>
        <v>LD</v>
      </c>
      <c r="B211" s="17" t="str">
        <f>VLOOKUP(C211,[1]Werke!$A$1:$C$168,2,0)</f>
        <v>SLD</v>
      </c>
      <c r="C211" s="18">
        <v>83630</v>
      </c>
      <c r="D211" s="17" t="str">
        <f>VLOOKUP(C211,[1]Maliteslimalan!$A$1:$B$210,2,0)</f>
        <v>8000012862</v>
      </c>
      <c r="E211" s="19" t="str">
        <f>VLOOKUP(C211,[1]Bestellnr.!$A$1:$B$174,2,0)</f>
        <v>000006</v>
      </c>
      <c r="F211" s="20" t="str">
        <f>VLOOKUP(G211,$U$1:$V$1730,2,0)</f>
        <v>N   903 536 04</v>
      </c>
      <c r="G211" s="21">
        <v>969061000</v>
      </c>
      <c r="H211" s="17">
        <f>VLOOKUP(G211,Z$2:AA$1905,2,FALSE)</f>
        <v>2.4670000000000001E-2</v>
      </c>
      <c r="I211" s="20"/>
      <c r="J211" s="17">
        <f>VLOOKUP(G211,W$2:X$1905,2,FALSE)</f>
        <v>500</v>
      </c>
      <c r="K211" s="17">
        <f>I211/J211</f>
        <v>0</v>
      </c>
      <c r="L211" s="22">
        <v>10</v>
      </c>
      <c r="M211" s="22">
        <v>30</v>
      </c>
      <c r="N211" s="22">
        <v>111444</v>
      </c>
      <c r="O211" s="22" t="str">
        <f>VLOOKUP(N211,$AL$1285:$AM$1310,2,FALSE)</f>
        <v>001006</v>
      </c>
      <c r="P211" s="22">
        <f>VLOOKUP(N211,AC$2:AD$1905,2,FALSE)</f>
        <v>34</v>
      </c>
      <c r="Q211" s="22"/>
      <c r="R211" s="23" t="s">
        <v>153</v>
      </c>
      <c r="S211" s="22">
        <f>VLOOKUP(R211,AC$2:AD$1905,2,FALSE)</f>
        <v>0.56999999999999995</v>
      </c>
      <c r="T211" s="24">
        <f>(H211*I211)+P211*Q211+S211*K211</f>
        <v>0</v>
      </c>
      <c r="U211" s="25">
        <f>IF(TRIM(N211&amp;"")="111444",
    IF(ROUNDUP(MAX(0,K211-(MAX(1,Q211)-1)*10)/10,0)=1,3,2),
    IF(TRIM(N211&amp;"")="VWPAL",
        IF(TRIM(R211&amp;"")="004147",1,2),
        ""
    )
)</f>
        <v>2</v>
      </c>
      <c r="V211" s="26" t="str">
        <f>IF(OR(TRIM(N211&amp;"")="111444",TRIM(N211&amp;"")="VWPAL"),
    IF(K211&lt;=0,"",
        IF(
            MIN(3,ROUNDUP(MAX(0,K211-(MAX(1,Q211)-1)*IF(TRIM(N211&amp;"")="111444",10,20))/IF(TRIM(N211&amp;"")="111444",10,20),0))=1,
            300,
            IF(
                MIN(3,ROUNDUP(MAX(0,K211-(MAX(1,Q211)-1)*IF(TRIM(N211&amp;"")="111444",10,20))/IF(TRIM(N211&amp;"")="111444",10,20),0))=2,
                450,
                600
            )
        )
    ),
    ""
)</f>
        <v/>
      </c>
    </row>
    <row r="212" spans="1:22" ht="48.2" customHeight="1" x14ac:dyDescent="0.25">
      <c r="A212" s="17" t="str">
        <f>VLOOKUP(C212,[1]Werke!$A$1:$C$168,3,0)</f>
        <v>3T</v>
      </c>
      <c r="B212" s="17" t="str">
        <f>VLOOKUP(C212,[1]Werke!$A$1:$C$168,2,0)</f>
        <v>BZ5</v>
      </c>
      <c r="C212" s="18" t="s">
        <v>242</v>
      </c>
      <c r="D212" s="17">
        <f>VLOOKUP(C212,[1]Maliteslimalan!$A$1:$B$210,2,0)</f>
        <v>8000012711</v>
      </c>
      <c r="E212" s="19">
        <v>6</v>
      </c>
      <c r="F212" s="20" t="str">
        <f>VLOOKUP(G212,$U$1:$V$1730,2,0)</f>
        <v>N   903 536 04</v>
      </c>
      <c r="G212" s="21">
        <v>969061000</v>
      </c>
      <c r="H212" s="17">
        <f>VLOOKUP(G212,Z$2:AA$1905,2,FALSE)</f>
        <v>2.4670000000000001E-2</v>
      </c>
      <c r="I212" s="20"/>
      <c r="J212" s="17">
        <f>VLOOKUP(G212,W$2:X$1905,2,FALSE)</f>
        <v>500</v>
      </c>
      <c r="K212" s="17">
        <f>I212/J212</f>
        <v>0</v>
      </c>
      <c r="L212" s="22">
        <v>10</v>
      </c>
      <c r="M212" s="22">
        <v>30</v>
      </c>
      <c r="N212" s="22">
        <v>111444</v>
      </c>
      <c r="O212" s="22" t="str">
        <f>VLOOKUP(N212,$AL$1285:$AM$1310,2,FALSE)</f>
        <v>001006</v>
      </c>
      <c r="P212" s="22">
        <f>VLOOKUP(N212,AC$2:AD$1905,2,FALSE)</f>
        <v>34</v>
      </c>
      <c r="Q212" s="22"/>
      <c r="R212" s="23" t="s">
        <v>153</v>
      </c>
      <c r="S212" s="22">
        <f>VLOOKUP(R212,AC$2:AD$1905,2,FALSE)</f>
        <v>0.56999999999999995</v>
      </c>
      <c r="T212" s="24">
        <f>(H212*I212)+P212*Q212+S212*K212</f>
        <v>0</v>
      </c>
      <c r="U212" s="25">
        <f>IF(TRIM(N212&amp;"")="111444",
    IF(ROUNDUP(MAX(0,K212-(MAX(1,Q212)-1)*10)/10,0)=1,3,2),
    IF(TRIM(N212&amp;"")="VWPAL",
        IF(TRIM(R212&amp;"")="004147",1,2),
        ""
    )
)</f>
        <v>2</v>
      </c>
      <c r="V212" s="26" t="str">
        <f>IF(OR(TRIM(N212&amp;"")="111444",TRIM(N212&amp;"")="VWPAL"),
    IF(K212&lt;=0,"",
        IF(
            MIN(3,ROUNDUP(MAX(0,K212-(MAX(1,Q212)-1)*IF(TRIM(N212&amp;"")="111444",10,20))/IF(TRIM(N212&amp;"")="111444",10,20),0))=1,
            300,
            IF(
                MIN(3,ROUNDUP(MAX(0,K212-(MAX(1,Q212)-1)*IF(TRIM(N212&amp;"")="111444",10,20))/IF(TRIM(N212&amp;"")="111444",10,20),0))=2,
                450,
                600
            )
        )
    ),
    ""
)</f>
        <v/>
      </c>
    </row>
    <row r="213" spans="1:22" ht="48.2" customHeight="1" x14ac:dyDescent="0.25">
      <c r="A213" s="17"/>
      <c r="B213" s="17"/>
      <c r="C213" s="18"/>
      <c r="D213" s="17"/>
      <c r="E213" s="19"/>
      <c r="F213" s="20"/>
      <c r="G213" s="21"/>
      <c r="H213" s="17"/>
      <c r="I213" s="20"/>
      <c r="J213" s="17"/>
      <c r="K213" s="17"/>
      <c r="L213" s="22"/>
      <c r="M213" s="22"/>
      <c r="N213" s="22"/>
      <c r="O213" s="22"/>
      <c r="P213" s="22"/>
      <c r="Q213" s="22"/>
      <c r="R213" s="23"/>
      <c r="S213" s="22"/>
      <c r="T213" s="24"/>
      <c r="U213" s="25"/>
    </row>
    <row r="214" spans="1:22" ht="48" customHeight="1" x14ac:dyDescent="0.25">
      <c r="A214" s="17">
        <f>VLOOKUP(C214,[1]Werke!$A$1:$C$168,3,0)</f>
        <v>24</v>
      </c>
      <c r="B214" s="17" t="str">
        <f>VLOOKUP(C214,[1]Werke!$A$1:$C$168,2,0)</f>
        <v>CKH</v>
      </c>
      <c r="C214" s="18" t="s">
        <v>224</v>
      </c>
      <c r="D214" s="17">
        <f>VLOOKUP(C214,[1]Maliteslimalan!$A$1:$B$210,2,0)</f>
        <v>8000013551</v>
      </c>
      <c r="E214" s="19">
        <v>6</v>
      </c>
      <c r="F214" s="20" t="str">
        <f>VLOOKUP(G214,$U$1:$V$1730,2,0)</f>
        <v>N   905 757 03</v>
      </c>
      <c r="G214" s="21">
        <v>926080000</v>
      </c>
      <c r="H214" s="17">
        <f>VLOOKUP(G214,Z$2:AA$1905,2,FALSE)</f>
        <v>1.77E-2</v>
      </c>
      <c r="I214" s="20"/>
      <c r="J214" s="17">
        <f>VLOOKUP(G214,W$2:X$1905,2,FALSE)</f>
        <v>650</v>
      </c>
      <c r="K214" s="17">
        <f>I214/J214</f>
        <v>0</v>
      </c>
      <c r="L214" s="22">
        <v>10</v>
      </c>
      <c r="M214" s="22">
        <v>30</v>
      </c>
      <c r="N214" s="22">
        <v>111444</v>
      </c>
      <c r="O214" s="22" t="str">
        <f>VLOOKUP(N214,$AL$1285:$AM$1310,2,FALSE)</f>
        <v>001006</v>
      </c>
      <c r="P214" s="22">
        <f>VLOOKUP(N214,AC$2:AD$1905,2,FALSE)</f>
        <v>34</v>
      </c>
      <c r="Q214" s="22"/>
      <c r="R214" s="23" t="s">
        <v>153</v>
      </c>
      <c r="S214" s="22">
        <f>VLOOKUP(R214,AC$2:AD$1905,2,FALSE)</f>
        <v>0.56999999999999995</v>
      </c>
      <c r="T214" s="24">
        <f>(H214*I214)+P214*Q214+S214*K214</f>
        <v>0</v>
      </c>
      <c r="U214" s="25">
        <f>IF(TRIM(N214&amp;"")="111444",
    IF(ROUNDUP(MAX(0,K214-(MAX(1,Q214)-1)*10)/10,0)=1,3,2),
    IF(TRIM(N214&amp;"")="VWPAL",
        IF(TRIM(R214&amp;"")="004147",1,2),
        ""
    )
)</f>
        <v>2</v>
      </c>
      <c r="V214" s="26" t="str">
        <f>IF(OR(TRIM(N214&amp;"")="111444",TRIM(N214&amp;"")="VWPAL"),
    IF(K214&lt;=0,"",
        IF(
            MIN(3,ROUNDUP(MAX(0,K214-(MAX(1,Q214)-1)*IF(TRIM(N214&amp;"")="111444",10,20))/IF(TRIM(N214&amp;"")="111444",10,20),0))=1,
            300,
            IF(
                MIN(3,ROUNDUP(MAX(0,K214-(MAX(1,Q214)-1)*IF(TRIM(N214&amp;"")="111444",10,20))/IF(TRIM(N214&amp;"")="111444",10,20),0))=2,
                450,
                600
            )
        )
    ),
    ""
)</f>
        <v/>
      </c>
    </row>
    <row r="215" spans="1:22" ht="48" customHeight="1" x14ac:dyDescent="0.25">
      <c r="A215" s="17">
        <f>VLOOKUP(C215,[1]Werke!$A$1:$C$168,3,0)</f>
        <v>24</v>
      </c>
      <c r="B215" s="17" t="str">
        <f>VLOOKUP(C215,[1]Werke!$A$1:$C$168,2,0)</f>
        <v>CKS</v>
      </c>
      <c r="C215" s="18" t="s">
        <v>245</v>
      </c>
      <c r="D215" s="17" t="str">
        <f>VLOOKUP(C215,[1]Maliteslimalan!$A$1:$B$210,2,0)</f>
        <v>8000012647</v>
      </c>
      <c r="E215" s="19" t="str">
        <f>VLOOKUP(C215,[1]Bestellnr.!$A$1:$B$174,2,0)</f>
        <v>000006</v>
      </c>
      <c r="F215" s="20" t="str">
        <f>VLOOKUP(G215,$U$1:$V$1730,2,0)</f>
        <v>N   905 757 03</v>
      </c>
      <c r="G215" s="21">
        <v>926080000</v>
      </c>
      <c r="H215" s="17">
        <f>VLOOKUP(G215,Z$2:AA$1905,2,FALSE)</f>
        <v>1.77E-2</v>
      </c>
      <c r="I215" s="20"/>
      <c r="J215" s="17">
        <f>VLOOKUP(G215,W$2:X$1905,2,FALSE)</f>
        <v>650</v>
      </c>
      <c r="K215" s="17">
        <f>I215/J215</f>
        <v>0</v>
      </c>
      <c r="L215" s="22">
        <v>10</v>
      </c>
      <c r="M215" s="22">
        <v>30</v>
      </c>
      <c r="N215" s="22">
        <v>111444</v>
      </c>
      <c r="O215" s="22" t="str">
        <f>VLOOKUP(N215,$AL$1285:$AM$1310,2,FALSE)</f>
        <v>001006</v>
      </c>
      <c r="P215" s="22">
        <f>VLOOKUP(N215,AC$2:AD$1905,2,FALSE)</f>
        <v>34</v>
      </c>
      <c r="Q215" s="22"/>
      <c r="R215" s="23" t="s">
        <v>153</v>
      </c>
      <c r="S215" s="22">
        <f>VLOOKUP(R215,AC$2:AD$1905,2,FALSE)</f>
        <v>0.56999999999999995</v>
      </c>
      <c r="T215" s="24">
        <f>(H215*I215)+P215*Q215+S215*K215</f>
        <v>0</v>
      </c>
      <c r="U215" s="25">
        <f>IF(TRIM(N215&amp;"")="111444",
    IF(ROUNDUP(MAX(0,K215-(MAX(1,Q215)-1)*10)/10,0)=1,3,2),
    IF(TRIM(N215&amp;"")="VWPAL",
        IF(TRIM(R215&amp;"")="004147",1,2),
        ""
    )
)</f>
        <v>2</v>
      </c>
      <c r="V215" s="26" t="str">
        <f>IF(OR(TRIM(N215&amp;"")="111444",TRIM(N215&amp;"")="VWPAL"),
    IF(K215&lt;=0,"",
        IF(
            MIN(3,ROUNDUP(MAX(0,K215-(MAX(1,Q215)-1)*IF(TRIM(N215&amp;"")="111444",10,20))/IF(TRIM(N215&amp;"")="111444",10,20),0))=1,
            300,
            IF(
                MIN(3,ROUNDUP(MAX(0,K215-(MAX(1,Q215)-1)*IF(TRIM(N215&amp;"")="111444",10,20))/IF(TRIM(N215&amp;"")="111444",10,20),0))=2,
                450,
                600
            )
        )
    ),
    ""
)</f>
        <v/>
      </c>
    </row>
    <row r="216" spans="1:22" ht="48" customHeight="1" x14ac:dyDescent="0.25">
      <c r="A216" s="17"/>
      <c r="B216" s="17"/>
      <c r="C216" s="18"/>
      <c r="D216" s="17"/>
      <c r="E216" s="19"/>
      <c r="F216" s="20"/>
      <c r="G216" s="21"/>
      <c r="H216" s="17"/>
      <c r="I216" s="20"/>
      <c r="J216" s="17"/>
      <c r="K216" s="17"/>
      <c r="L216" s="22"/>
      <c r="M216" s="22"/>
      <c r="N216" s="22"/>
      <c r="O216" s="22"/>
      <c r="P216" s="22"/>
      <c r="Q216" s="22"/>
      <c r="R216" s="23"/>
      <c r="S216" s="22"/>
      <c r="T216" s="24"/>
      <c r="U216" s="25"/>
    </row>
    <row r="217" spans="1:22" ht="48" customHeight="1" x14ac:dyDescent="0.25">
      <c r="A217" s="17">
        <f>VLOOKUP(C217,[1]Werke!$A$1:$C$168,3,0)</f>
        <v>21</v>
      </c>
      <c r="B217" s="17" t="str">
        <f>VLOOKUP(C217,[1]Werke!$A$1:$C$168,2,0)</f>
        <v>GZD</v>
      </c>
      <c r="C217" s="18" t="s">
        <v>223</v>
      </c>
      <c r="D217" s="17" t="str">
        <f>VLOOKUP(C217,[1]Maliteslimalan!$A$1:$B$210,2,0)</f>
        <v>8000012572</v>
      </c>
      <c r="E217" s="19" t="str">
        <f>VLOOKUP(C217,[1]Bestellnr.!$A$1:$B$174,2,0)</f>
        <v>000006</v>
      </c>
      <c r="F217" s="20" t="str">
        <f>VLOOKUP(G217,$U$1:$V$1730,2,0)</f>
        <v>N   908 342 01</v>
      </c>
      <c r="G217" s="21">
        <v>937292000</v>
      </c>
      <c r="H217" s="17">
        <f>VLOOKUP(G217,Z$2:AA$1905,2,FALSE)</f>
        <v>7.6420000000000002E-2</v>
      </c>
      <c r="I217" s="20"/>
      <c r="J217" s="17">
        <f>VLOOKUP(G217,W$2:X$1905,2,FALSE)</f>
        <v>100</v>
      </c>
      <c r="K217" s="17">
        <f>I217/J217</f>
        <v>0</v>
      </c>
      <c r="L217" s="22">
        <v>20</v>
      </c>
      <c r="M217" s="22">
        <v>60</v>
      </c>
      <c r="N217" s="22" t="s">
        <v>155</v>
      </c>
      <c r="O217" s="22" t="str">
        <f>VLOOKUP(N217,$AL$1285:$AM$1310,2,FALSE)</f>
        <v>001210</v>
      </c>
      <c r="P217" s="22">
        <f>VLOOKUP(N217,AC$2:AD$1905,2,FALSE)</f>
        <v>55</v>
      </c>
      <c r="Q217" s="22"/>
      <c r="R217" s="23" t="s">
        <v>153</v>
      </c>
      <c r="S217" s="22">
        <f>VLOOKUP(R217,AC$2:AD$1905,2,FALSE)</f>
        <v>0.56999999999999995</v>
      </c>
      <c r="T217" s="24">
        <f>(H217*I217)+P217*Q217+S217*K217</f>
        <v>0</v>
      </c>
      <c r="U217" s="25">
        <f>IF(TRIM(N217&amp;"")="111444",
    IF(ROUNDUP(MAX(0,K217-(MAX(1,Q217)-1)*10)/10,0)=1,3,2),
    IF(TRIM(N217&amp;"")="VWPAL",
        IF(TRIM(R217&amp;"")="004147",1,2),
        ""
    )
)</f>
        <v>2</v>
      </c>
      <c r="V217" s="26" t="str">
        <f>IF(OR(TRIM(N217&amp;"")="111444",TRIM(N217&amp;"")="VWPAL"),
    IF(K217&lt;=0,"",
        IF(
            MIN(3,ROUNDUP(MAX(0,K217-(MAX(1,Q217)-1)*IF(TRIM(N217&amp;"")="111444",10,20))/IF(TRIM(N217&amp;"")="111444",10,20),0))=1,
            300,
            IF(
                MIN(3,ROUNDUP(MAX(0,K217-(MAX(1,Q217)-1)*IF(TRIM(N217&amp;"")="111444",10,20))/IF(TRIM(N217&amp;"")="111444",10,20),0))=2,
                450,
                600
            )
        )
    ),
    ""
)</f>
        <v/>
      </c>
    </row>
    <row r="218" spans="1:22" ht="48" customHeight="1" x14ac:dyDescent="0.25">
      <c r="A218" s="17">
        <f>VLOOKUP(C218,[1]Werke!$A$1:$C$168,3,0)</f>
        <v>24</v>
      </c>
      <c r="B218" s="17" t="str">
        <f>VLOOKUP(C218,[1]Werke!$A$1:$C$168,2,0)</f>
        <v>CKH</v>
      </c>
      <c r="C218" s="18" t="s">
        <v>224</v>
      </c>
      <c r="D218" s="17">
        <f>VLOOKUP(C218,[1]Maliteslimalan!$A$1:$B$210,2,0)</f>
        <v>8000013551</v>
      </c>
      <c r="E218" s="19">
        <v>6</v>
      </c>
      <c r="F218" s="20" t="str">
        <f>VLOOKUP(G218,$U$1:$V$1730,2,0)</f>
        <v>N   908 342 01</v>
      </c>
      <c r="G218" s="21">
        <v>937292000</v>
      </c>
      <c r="H218" s="17">
        <f>VLOOKUP(G218,Z$2:AA$1905,2,FALSE)</f>
        <v>7.6420000000000002E-2</v>
      </c>
      <c r="I218" s="20"/>
      <c r="J218" s="17">
        <f>VLOOKUP(G218,W$2:X$1905,2,FALSE)</f>
        <v>100</v>
      </c>
      <c r="K218" s="17">
        <f>I218/J218</f>
        <v>0</v>
      </c>
      <c r="L218" s="22">
        <v>10</v>
      </c>
      <c r="M218" s="22">
        <v>30</v>
      </c>
      <c r="N218" s="22">
        <v>111444</v>
      </c>
      <c r="O218" s="22" t="str">
        <f>VLOOKUP(N218,$AL$1285:$AM$1310,2,FALSE)</f>
        <v>001006</v>
      </c>
      <c r="P218" s="22">
        <f>VLOOKUP(N218,AC$2:AD$1905,2,FALSE)</f>
        <v>34</v>
      </c>
      <c r="Q218" s="22"/>
      <c r="R218" s="23" t="s">
        <v>153</v>
      </c>
      <c r="S218" s="22">
        <f>VLOOKUP(R218,AC$2:AD$1905,2,FALSE)</f>
        <v>0.56999999999999995</v>
      </c>
      <c r="T218" s="24">
        <f>(H218*I218)+P218*Q218+S218*K218</f>
        <v>0</v>
      </c>
      <c r="U218" s="25">
        <f>IF(TRIM(N218&amp;"")="111444",
    IF(ROUNDUP(MAX(0,K218-(MAX(1,Q218)-1)*10)/10,0)=1,3,2),
    IF(TRIM(N218&amp;"")="VWPAL",
        IF(TRIM(R218&amp;"")="004147",1,2),
        ""
    )
)</f>
        <v>2</v>
      </c>
      <c r="V218" s="26" t="str">
        <f>IF(OR(TRIM(N218&amp;"")="111444",TRIM(N218&amp;"")="VWPAL"),
    IF(K218&lt;=0,"",
        IF(
            MIN(3,ROUNDUP(MAX(0,K218-(MAX(1,Q218)-1)*IF(TRIM(N218&amp;"")="111444",10,20))/IF(TRIM(N218&amp;"")="111444",10,20),0))=1,
            300,
            IF(
                MIN(3,ROUNDUP(MAX(0,K218-(MAX(1,Q218)-1)*IF(TRIM(N218&amp;"")="111444",10,20))/IF(TRIM(N218&amp;"")="111444",10,20),0))=2,
                450,
                600
            )
        )
    ),
    ""
)</f>
        <v/>
      </c>
    </row>
    <row r="219" spans="1:22" ht="48" customHeight="1" x14ac:dyDescent="0.25">
      <c r="A219" s="17">
        <f>VLOOKUP(C219,[1]Werke!$A$1:$C$168,3,0)</f>
        <v>37</v>
      </c>
      <c r="B219" s="17" t="str">
        <f>VLOOKUP(C219,[1]Werke!$A$1:$C$168,2,0)</f>
        <v>AKL</v>
      </c>
      <c r="C219" s="18" t="s">
        <v>232</v>
      </c>
      <c r="D219" s="17" t="str">
        <f>VLOOKUP(C219,[1]Maliteslimalan!$A$1:$B$210,2,0)</f>
        <v>8000012562</v>
      </c>
      <c r="E219" s="19" t="str">
        <f>VLOOKUP(C219,[1]Bestellnr.!$A$1:$B$174,2,0)</f>
        <v>000006</v>
      </c>
      <c r="F219" s="20" t="str">
        <f>VLOOKUP(G219,$U$1:$V$1730,2,0)</f>
        <v>N   908 342 01</v>
      </c>
      <c r="G219" s="21">
        <v>937292000</v>
      </c>
      <c r="H219" s="17">
        <f>VLOOKUP(G219,Z$2:AA$1905,2,FALSE)</f>
        <v>7.6420000000000002E-2</v>
      </c>
      <c r="I219" s="20"/>
      <c r="J219" s="17">
        <f>VLOOKUP(G219,W$2:X$1905,2,FALSE)</f>
        <v>100</v>
      </c>
      <c r="K219" s="17">
        <f>I219/J219</f>
        <v>0</v>
      </c>
      <c r="L219" s="22">
        <v>20</v>
      </c>
      <c r="M219" s="22">
        <v>60</v>
      </c>
      <c r="N219" s="22" t="s">
        <v>155</v>
      </c>
      <c r="O219" s="22" t="str">
        <f>VLOOKUP(N219,$AL$1285:$AM$1310,2,FALSE)</f>
        <v>001210</v>
      </c>
      <c r="P219" s="22">
        <f>VLOOKUP(N219,AC$2:AD$1905,2,FALSE)</f>
        <v>55</v>
      </c>
      <c r="Q219" s="22"/>
      <c r="R219" s="23" t="s">
        <v>153</v>
      </c>
      <c r="S219" s="22">
        <f>VLOOKUP(R219,AC$2:AD$1905,2,FALSE)</f>
        <v>0.56999999999999995</v>
      </c>
      <c r="T219" s="24">
        <f>(H219*I219)+P219*Q219+S219*K219</f>
        <v>0</v>
      </c>
      <c r="U219" s="25">
        <f>IF(TRIM(N219&amp;"")="111444",
    IF(ROUNDUP(MAX(0,K219-(MAX(1,Q219)-1)*10)/10,0)=1,3,2),
    IF(TRIM(N219&amp;"")="VWPAL",
        IF(TRIM(R219&amp;"")="004147",1,2),
        ""
    )
)</f>
        <v>2</v>
      </c>
      <c r="V219" s="26" t="str">
        <f>IF(OR(TRIM(N219&amp;"")="111444",TRIM(N219&amp;"")="VWPAL"),
    IF(K219&lt;=0,"",
        IF(
            MIN(3,ROUNDUP(MAX(0,K219-(MAX(1,Q219)-1)*IF(TRIM(N219&amp;"")="111444",10,20))/IF(TRIM(N219&amp;"")="111444",10,20),0))=1,
            300,
            IF(
                MIN(3,ROUNDUP(MAX(0,K219-(MAX(1,Q219)-1)*IF(TRIM(N219&amp;"")="111444",10,20))/IF(TRIM(N219&amp;"")="111444",10,20),0))=2,
                450,
                600
            )
        )
    ),
    ""
)</f>
        <v/>
      </c>
    </row>
    <row r="220" spans="1:22" ht="48" customHeight="1" x14ac:dyDescent="0.25">
      <c r="A220" s="17">
        <f>VLOOKUP(C220,[1]Werke!$A$1:$C$168,3,0)</f>
        <v>14</v>
      </c>
      <c r="B220" s="17" t="str">
        <f>VLOOKUP(C220,[1]Werke!$A$1:$C$168,2,0)</f>
        <v>D85</v>
      </c>
      <c r="C220" s="18" t="s">
        <v>239</v>
      </c>
      <c r="D220" s="17" t="str">
        <f>VLOOKUP(C220,[1]Maliteslimalan!$A$1:$B$210,2,0)</f>
        <v>8000012682</v>
      </c>
      <c r="E220" s="19">
        <f>VLOOKUP(C220,[1]Bestellnr.!$A$1:$B$174,2,0)</f>
        <v>0</v>
      </c>
      <c r="F220" s="20" t="str">
        <f>VLOOKUP(G220,$U$1:$V$1730,2,0)</f>
        <v>N   908 342 01</v>
      </c>
      <c r="G220" s="21">
        <v>937292000</v>
      </c>
      <c r="H220" s="17">
        <f>VLOOKUP(G220,Z$2:AA$1905,2,FALSE)</f>
        <v>7.6420000000000002E-2</v>
      </c>
      <c r="I220" s="20"/>
      <c r="J220" s="17">
        <f>VLOOKUP(G220,W$2:X$1905,2,FALSE)</f>
        <v>100</v>
      </c>
      <c r="K220" s="17">
        <f>I220/J220</f>
        <v>0</v>
      </c>
      <c r="L220" s="22">
        <v>10</v>
      </c>
      <c r="M220" s="22">
        <v>30</v>
      </c>
      <c r="N220" s="22">
        <v>111444</v>
      </c>
      <c r="O220" s="22" t="str">
        <f>VLOOKUP(N220,$AL$1285:$AM$1310,2,FALSE)</f>
        <v>001006</v>
      </c>
      <c r="P220" s="22">
        <f>VLOOKUP(N220,AC$2:AD$1905,2,FALSE)</f>
        <v>34</v>
      </c>
      <c r="Q220" s="22"/>
      <c r="R220" s="23" t="s">
        <v>153</v>
      </c>
      <c r="S220" s="22">
        <f>VLOOKUP(R220,AC$2:AD$1905,2,FALSE)</f>
        <v>0.56999999999999995</v>
      </c>
      <c r="T220" s="24">
        <f>(H220*I220)+P220*Q220+S220*K220</f>
        <v>0</v>
      </c>
      <c r="U220" s="25">
        <f>IF(TRIM(N220&amp;"")="111444",
    IF(ROUNDUP(MAX(0,K220-(MAX(1,Q220)-1)*10)/10,0)=1,3,2),
    IF(TRIM(N220&amp;"")="VWPAL",
        IF(TRIM(R220&amp;"")="004147",1,2),
        ""
    )
)</f>
        <v>2</v>
      </c>
      <c r="V220" s="26" t="str">
        <f>IF(OR(TRIM(N220&amp;"")="111444",TRIM(N220&amp;"")="VWPAL"),
    IF(K220&lt;=0,"",
        IF(
            MIN(3,ROUNDUP(MAX(0,K220-(MAX(1,Q220)-1)*IF(TRIM(N220&amp;"")="111444",10,20))/IF(TRIM(N220&amp;"")="111444",10,20),0))=1,
            300,
            IF(
                MIN(3,ROUNDUP(MAX(0,K220-(MAX(1,Q220)-1)*IF(TRIM(N220&amp;"")="111444",10,20))/IF(TRIM(N220&amp;"")="111444",10,20),0))=2,
                450,
                600
            )
        )
    ),
    ""
)</f>
        <v/>
      </c>
    </row>
    <row r="221" spans="1:22" ht="48" customHeight="1" x14ac:dyDescent="0.25">
      <c r="A221" s="17" t="str">
        <f>VLOOKUP(C221,[1]Werke!$A$1:$C$168,3,0)</f>
        <v>3U</v>
      </c>
      <c r="B221" s="17" t="str">
        <f>VLOOKUP(C221,[1]Werke!$A$1:$C$168,2,0)</f>
        <v>BZ2</v>
      </c>
      <c r="C221" s="18" t="s">
        <v>235</v>
      </c>
      <c r="D221" s="17" t="str">
        <f>VLOOKUP(C221,[1]Maliteslimalan!$A$1:$B$210,2,0)</f>
        <v>8000012860</v>
      </c>
      <c r="E221" s="19" t="str">
        <f>VLOOKUP(C221,[1]Bestellnr.!$A$1:$B$174,2,0)</f>
        <v>000055</v>
      </c>
      <c r="F221" s="20" t="str">
        <f>VLOOKUP(G221,$U$1:$V$1730,2,0)</f>
        <v>N   908 342 01</v>
      </c>
      <c r="G221" s="21">
        <v>937292000</v>
      </c>
      <c r="H221" s="17">
        <f>VLOOKUP(G221,Z$2:AA$1905,2,FALSE)</f>
        <v>7.6420000000000002E-2</v>
      </c>
      <c r="I221" s="20"/>
      <c r="J221" s="17">
        <f>VLOOKUP(G221,W$2:X$1905,2,FALSE)</f>
        <v>100</v>
      </c>
      <c r="K221" s="17">
        <f>I221/J221</f>
        <v>0</v>
      </c>
      <c r="L221" s="22">
        <v>10</v>
      </c>
      <c r="M221" s="22">
        <v>30</v>
      </c>
      <c r="N221" s="22">
        <v>111444</v>
      </c>
      <c r="O221" s="22" t="str">
        <f>VLOOKUP(N221,$AL$1285:$AM$1310,2,FALSE)</f>
        <v>001006</v>
      </c>
      <c r="P221" s="22">
        <f>VLOOKUP(N221,AC$2:AD$1905,2,FALSE)</f>
        <v>34</v>
      </c>
      <c r="Q221" s="22"/>
      <c r="R221" s="23" t="s">
        <v>153</v>
      </c>
      <c r="S221" s="22">
        <f>VLOOKUP(R221,AC$2:AD$1905,2,FALSE)</f>
        <v>0.56999999999999995</v>
      </c>
      <c r="T221" s="24">
        <f>(H221*I221)+P221*Q221+S221*K221</f>
        <v>0</v>
      </c>
      <c r="U221" s="25">
        <f>IF(TRIM(N221&amp;"")="111444",
    IF(ROUNDUP(MAX(0,K221-(MAX(1,Q221)-1)*10)/10,0)=1,3,2),
    IF(TRIM(N221&amp;"")="VWPAL",
        IF(TRIM(R221&amp;"")="004147",1,2),
        ""
    )
)</f>
        <v>2</v>
      </c>
      <c r="V221" s="26" t="str">
        <f>IF(OR(TRIM(N221&amp;"")="111444",TRIM(N221&amp;"")="VWPAL"),
    IF(K221&lt;=0,"",
        IF(
            MIN(3,ROUNDUP(MAX(0,K221-(MAX(1,Q221)-1)*IF(TRIM(N221&amp;"")="111444",10,20))/IF(TRIM(N221&amp;"")="111444",10,20),0))=1,
            300,
            IF(
                MIN(3,ROUNDUP(MAX(0,K221-(MAX(1,Q221)-1)*IF(TRIM(N221&amp;"")="111444",10,20))/IF(TRIM(N221&amp;"")="111444",10,20),0))=2,
                450,
                600
            )
        )
    ),
    ""
)</f>
        <v/>
      </c>
    </row>
    <row r="222" spans="1:22" ht="48" customHeight="1" x14ac:dyDescent="0.25">
      <c r="A222" s="17"/>
      <c r="B222" s="17"/>
      <c r="C222" s="18"/>
      <c r="D222" s="17"/>
      <c r="E222" s="19"/>
      <c r="F222" s="20"/>
      <c r="G222" s="21"/>
      <c r="H222" s="17"/>
      <c r="I222" s="20"/>
      <c r="J222" s="17"/>
      <c r="K222" s="17"/>
      <c r="L222" s="22"/>
      <c r="M222" s="22"/>
      <c r="N222" s="22"/>
      <c r="O222" s="22"/>
      <c r="P222" s="22"/>
      <c r="Q222" s="22"/>
      <c r="R222" s="23"/>
      <c r="S222" s="22"/>
      <c r="T222" s="24"/>
      <c r="U222" s="25"/>
    </row>
    <row r="223" spans="1:22" ht="49.5" customHeight="1" x14ac:dyDescent="0.25">
      <c r="A223" s="17" t="str">
        <f>VLOOKUP(C223,[1]Werke!$A$1:$C$168,3,0)</f>
        <v>LD</v>
      </c>
      <c r="B223" s="17" t="str">
        <f>VLOOKUP(C223,[1]Werke!$A$1:$C$168,2,0)</f>
        <v>SLD</v>
      </c>
      <c r="C223" s="18">
        <v>83630</v>
      </c>
      <c r="D223" s="17" t="str">
        <f>VLOOKUP(C223,[1]Maliteslimalan!$A$1:$B$210,2,0)</f>
        <v>8000012862</v>
      </c>
      <c r="E223" s="19" t="str">
        <f>VLOOKUP(C223,[1]Bestellnr.!$A$1:$B$174,2,0)</f>
        <v>000006</v>
      </c>
      <c r="F223" s="20" t="str">
        <f t="shared" ref="F223:F230" si="122">VLOOKUP(G223,$U$1:$V$1730,2,0)</f>
        <v>N   912 761 01</v>
      </c>
      <c r="G223" s="21">
        <v>100590000</v>
      </c>
      <c r="H223" s="17">
        <f t="shared" ref="H223:H230" si="123">VLOOKUP(G223,Z$2:AA$1905,2,FALSE)</f>
        <v>0.14960999999999999</v>
      </c>
      <c r="I223" s="20"/>
      <c r="J223" s="17" t="str">
        <f>VLOOKUP(G223,W$2:X$1905,2,FALSE)</f>
        <v>50</v>
      </c>
      <c r="K223" s="17">
        <f t="shared" ref="K223:K230" si="124">I223/J223</f>
        <v>0</v>
      </c>
      <c r="L223" s="22">
        <v>10</v>
      </c>
      <c r="M223" s="22">
        <v>30</v>
      </c>
      <c r="N223" s="22">
        <v>111444</v>
      </c>
      <c r="O223" s="22" t="str">
        <f t="shared" ref="O223:O230" si="125">VLOOKUP(N223,$AL$1285:$AM$1310,2,FALSE)</f>
        <v>001006</v>
      </c>
      <c r="P223" s="22">
        <f t="shared" ref="P223:P230" si="126">VLOOKUP(N223,AC$2:AD$1905,2,FALSE)</f>
        <v>34</v>
      </c>
      <c r="Q223" s="22"/>
      <c r="R223" s="23" t="s">
        <v>153</v>
      </c>
      <c r="S223" s="22">
        <f t="shared" ref="S223:S230" si="127">VLOOKUP(R223,AC$2:AD$1905,2,FALSE)</f>
        <v>0.56999999999999995</v>
      </c>
      <c r="T223" s="24">
        <f t="shared" ref="T223:T230" si="128">(H223*I223)+P223*Q223+S223*K223</f>
        <v>0</v>
      </c>
      <c r="U223" s="25">
        <f t="shared" ref="U223:U230" si="129">IF(TRIM(N223&amp;"")="111444",
    IF(ROUNDUP(MAX(0,K223-(MAX(1,Q223)-1)*10)/10,0)=1,3,2),
    IF(TRIM(N223&amp;"")="VWPAL",
        IF(TRIM(R223&amp;"")="004147",1,2),
        ""
    )
)</f>
        <v>2</v>
      </c>
      <c r="V223" s="26" t="str">
        <f t="shared" ref="V223:V230" si="130">IF(OR(TRIM(N223&amp;"")="111444",TRIM(N223&amp;"")="VWPAL"),
    IF(K223&lt;=0,"",
        IF(
            MIN(3,ROUNDUP(MAX(0,K223-(MAX(1,Q223)-1)*IF(TRIM(N223&amp;"")="111444",10,20))/IF(TRIM(N223&amp;"")="111444",10,20),0))=1,
            300,
            IF(
                MIN(3,ROUNDUP(MAX(0,K223-(MAX(1,Q223)-1)*IF(TRIM(N223&amp;"")="111444",10,20))/IF(TRIM(N223&amp;"")="111444",10,20),0))=2,
                450,
                600
            )
        )
    ),
    ""
)</f>
        <v/>
      </c>
    </row>
    <row r="224" spans="1:22" ht="49.5" customHeight="1" x14ac:dyDescent="0.25">
      <c r="A224" s="17">
        <f>VLOOKUP(C224,[1]Werke!$A$1:$C$168,3,0)</f>
        <v>24</v>
      </c>
      <c r="B224" s="17" t="str">
        <f>VLOOKUP(C224,[1]Werke!$A$1:$C$168,2,0)</f>
        <v>CKL</v>
      </c>
      <c r="C224" s="18" t="s">
        <v>252</v>
      </c>
      <c r="D224" s="17">
        <f>VLOOKUP(C224,[1]Maliteslimalan!$A$1:$B$210,2,0)</f>
        <v>8000016624</v>
      </c>
      <c r="E224" s="19">
        <v>6</v>
      </c>
      <c r="F224" s="20" t="str">
        <f t="shared" si="122"/>
        <v>N   912 761 01</v>
      </c>
      <c r="G224" s="21">
        <v>100590000</v>
      </c>
      <c r="H224" s="17">
        <f t="shared" si="123"/>
        <v>0.14960999999999999</v>
      </c>
      <c r="I224" s="20"/>
      <c r="J224" s="17" t="str">
        <f>VLOOKUP(G224,W$2:X$1905,2,FALSE)</f>
        <v>50</v>
      </c>
      <c r="K224" s="17">
        <f t="shared" si="124"/>
        <v>0</v>
      </c>
      <c r="L224" s="22">
        <v>10</v>
      </c>
      <c r="M224" s="22">
        <v>30</v>
      </c>
      <c r="N224" s="22">
        <v>111444</v>
      </c>
      <c r="O224" s="22" t="str">
        <f t="shared" si="125"/>
        <v>001006</v>
      </c>
      <c r="P224" s="22">
        <f t="shared" si="126"/>
        <v>34</v>
      </c>
      <c r="Q224" s="22"/>
      <c r="R224" s="23" t="s">
        <v>153</v>
      </c>
      <c r="S224" s="22">
        <f t="shared" si="127"/>
        <v>0.56999999999999995</v>
      </c>
      <c r="T224" s="24">
        <f t="shared" si="128"/>
        <v>0</v>
      </c>
      <c r="U224" s="25">
        <f t="shared" si="129"/>
        <v>2</v>
      </c>
      <c r="V224" s="26" t="str">
        <f t="shared" si="130"/>
        <v/>
      </c>
    </row>
    <row r="225" spans="1:22" ht="49.5" customHeight="1" x14ac:dyDescent="0.25">
      <c r="A225" s="17" t="str">
        <f>VLOOKUP(C225,[1]Werke!$A$1:$C$168,3,0)</f>
        <v>16D</v>
      </c>
      <c r="B225" s="17">
        <f>VLOOKUP(C225,[1]Werke!$A$1:$C$168,2,0)</f>
        <v>210</v>
      </c>
      <c r="C225" s="18" t="s">
        <v>226</v>
      </c>
      <c r="D225" s="17" t="str">
        <f>VLOOKUP(C225,[1]Maliteslimalan!$A$1:$B$210,2,0)</f>
        <v>8000012565</v>
      </c>
      <c r="E225" s="19">
        <f>VLOOKUP(C225,[1]Bestellnr.!$A$1:$B$174,2,0)</f>
        <v>0</v>
      </c>
      <c r="F225" s="20" t="str">
        <f t="shared" si="122"/>
        <v>N   912 761 01</v>
      </c>
      <c r="G225" s="21">
        <v>100590000</v>
      </c>
      <c r="H225" s="17">
        <f t="shared" si="123"/>
        <v>0.14960999999999999</v>
      </c>
      <c r="I225" s="20"/>
      <c r="J225" s="17" t="str">
        <f>VLOOKUP(G225,W$2:X$1905,2,FALSE)</f>
        <v>50</v>
      </c>
      <c r="K225" s="17">
        <f t="shared" si="124"/>
        <v>0</v>
      </c>
      <c r="L225" s="22">
        <v>10</v>
      </c>
      <c r="M225" s="22">
        <v>30</v>
      </c>
      <c r="N225" s="22">
        <v>111444</v>
      </c>
      <c r="O225" s="22" t="str">
        <f t="shared" si="125"/>
        <v>001006</v>
      </c>
      <c r="P225" s="22">
        <f t="shared" si="126"/>
        <v>34</v>
      </c>
      <c r="Q225" s="22"/>
      <c r="R225" s="23" t="s">
        <v>153</v>
      </c>
      <c r="S225" s="22">
        <f t="shared" si="127"/>
        <v>0.56999999999999995</v>
      </c>
      <c r="T225" s="24">
        <f t="shared" si="128"/>
        <v>0</v>
      </c>
      <c r="U225" s="25">
        <f t="shared" si="129"/>
        <v>2</v>
      </c>
      <c r="V225" s="26" t="str">
        <f t="shared" si="130"/>
        <v/>
      </c>
    </row>
    <row r="226" spans="1:22" ht="49.5" customHeight="1" x14ac:dyDescent="0.25">
      <c r="A226" s="17">
        <f>VLOOKUP(C226,[1]Werke!$A$1:$C$168,3,0)</f>
        <v>11</v>
      </c>
      <c r="B226" s="17" t="str">
        <f>VLOOKUP(C226,[1]Werke!$A$1:$C$168,2,0)</f>
        <v>AKL</v>
      </c>
      <c r="C226" s="18" t="s">
        <v>253</v>
      </c>
      <c r="D226" s="17" t="str">
        <f>VLOOKUP(C226,[1]Maliteslimalan!$A$1:$B$210,2,0)</f>
        <v>8000012831</v>
      </c>
      <c r="E226" s="19" t="str">
        <f>VLOOKUP(C226,[1]Bestellnr.!$A$1:$B$174,2,0)</f>
        <v>000006</v>
      </c>
      <c r="F226" s="20" t="str">
        <f t="shared" si="122"/>
        <v>N   912 761 01</v>
      </c>
      <c r="G226" s="21">
        <v>100590000</v>
      </c>
      <c r="H226" s="17">
        <f t="shared" si="123"/>
        <v>0.14960999999999999</v>
      </c>
      <c r="I226" s="20"/>
      <c r="J226" s="17">
        <v>90</v>
      </c>
      <c r="K226" s="17">
        <f t="shared" si="124"/>
        <v>0</v>
      </c>
      <c r="L226" s="22">
        <v>10</v>
      </c>
      <c r="M226" s="22">
        <v>30</v>
      </c>
      <c r="N226" s="22">
        <v>111444</v>
      </c>
      <c r="O226" s="22" t="str">
        <f t="shared" si="125"/>
        <v>001006</v>
      </c>
      <c r="P226" s="22">
        <f t="shared" si="126"/>
        <v>34</v>
      </c>
      <c r="Q226" s="22"/>
      <c r="R226" s="23" t="s">
        <v>153</v>
      </c>
      <c r="S226" s="22">
        <f t="shared" si="127"/>
        <v>0.56999999999999995</v>
      </c>
      <c r="T226" s="24">
        <f t="shared" si="128"/>
        <v>0</v>
      </c>
      <c r="U226" s="25">
        <f t="shared" si="129"/>
        <v>2</v>
      </c>
      <c r="V226" s="26" t="str">
        <f t="shared" si="130"/>
        <v/>
      </c>
    </row>
    <row r="227" spans="1:22" ht="49.5" customHeight="1" x14ac:dyDescent="0.25">
      <c r="A227" s="17">
        <f>VLOOKUP(C227,[1]Werke!$A$1:$C$168,3,0)</f>
        <v>43</v>
      </c>
      <c r="B227" s="17" t="str">
        <f>VLOOKUP(C227,[1]Werke!$A$1:$C$168,2,0)</f>
        <v>FGG</v>
      </c>
      <c r="C227" s="18" t="s">
        <v>254</v>
      </c>
      <c r="D227" s="17">
        <f>VLOOKUP(C227,[1]Maliteslimalan!$A$1:$B$210,2,0)</f>
        <v>8000017486</v>
      </c>
      <c r="E227" s="19">
        <v>6</v>
      </c>
      <c r="F227" s="20" t="str">
        <f t="shared" si="122"/>
        <v>N   912 761 01</v>
      </c>
      <c r="G227" s="21">
        <v>100590000</v>
      </c>
      <c r="H227" s="17">
        <f t="shared" si="123"/>
        <v>0.14960999999999999</v>
      </c>
      <c r="I227" s="20"/>
      <c r="J227" s="17" t="str">
        <f>VLOOKUP(G227,W$2:X$1905,2,FALSE)</f>
        <v>50</v>
      </c>
      <c r="K227" s="17">
        <f t="shared" si="124"/>
        <v>0</v>
      </c>
      <c r="L227" s="22">
        <v>20</v>
      </c>
      <c r="M227" s="22">
        <v>60</v>
      </c>
      <c r="N227" s="22" t="s">
        <v>155</v>
      </c>
      <c r="O227" s="22" t="str">
        <f t="shared" si="125"/>
        <v>001210</v>
      </c>
      <c r="P227" s="22">
        <f t="shared" si="126"/>
        <v>55</v>
      </c>
      <c r="Q227" s="22"/>
      <c r="R227" s="23" t="s">
        <v>153</v>
      </c>
      <c r="S227" s="22">
        <f t="shared" si="127"/>
        <v>0.56999999999999995</v>
      </c>
      <c r="T227" s="24">
        <f t="shared" si="128"/>
        <v>0</v>
      </c>
      <c r="U227" s="25">
        <f t="shared" si="129"/>
        <v>2</v>
      </c>
      <c r="V227" s="26" t="str">
        <f t="shared" si="130"/>
        <v/>
      </c>
    </row>
    <row r="228" spans="1:22" ht="49.5" customHeight="1" x14ac:dyDescent="0.25">
      <c r="A228" s="17">
        <f>VLOOKUP(C228,[1]Werke!$A$1:$C$168,3,0)</f>
        <v>33</v>
      </c>
      <c r="B228" s="17" t="str">
        <f>VLOOKUP(C228,[1]Werke!$A$1:$C$168,2,0)</f>
        <v>KK1</v>
      </c>
      <c r="C228" s="18" t="s">
        <v>255</v>
      </c>
      <c r="D228" s="17" t="str">
        <f>VLOOKUP(C228,[1]Maliteslimalan!$A$1:$B$210,2,0)</f>
        <v>8000012667</v>
      </c>
      <c r="E228" s="19" t="str">
        <f>VLOOKUP(C228,[1]Bestellnr.!$A$1:$B$174,2,0)</f>
        <v>000055</v>
      </c>
      <c r="F228" s="20" t="str">
        <f t="shared" si="122"/>
        <v>N   912 761 01</v>
      </c>
      <c r="G228" s="21">
        <v>100590000</v>
      </c>
      <c r="H228" s="17">
        <f t="shared" si="123"/>
        <v>0.14960999999999999</v>
      </c>
      <c r="I228" s="20"/>
      <c r="J228" s="17" t="str">
        <f>VLOOKUP(G228,W$2:X$1905,2,FALSE)</f>
        <v>50</v>
      </c>
      <c r="K228" s="17">
        <f t="shared" si="124"/>
        <v>0</v>
      </c>
      <c r="L228" s="22">
        <v>20</v>
      </c>
      <c r="M228" s="22">
        <v>20</v>
      </c>
      <c r="N228" s="22" t="s">
        <v>155</v>
      </c>
      <c r="O228" s="22" t="str">
        <f t="shared" si="125"/>
        <v>001210</v>
      </c>
      <c r="P228" s="22">
        <f t="shared" si="126"/>
        <v>55</v>
      </c>
      <c r="Q228" s="22"/>
      <c r="R228" s="23" t="s">
        <v>153</v>
      </c>
      <c r="S228" s="22">
        <f t="shared" si="127"/>
        <v>0.56999999999999995</v>
      </c>
      <c r="T228" s="24">
        <f t="shared" si="128"/>
        <v>0</v>
      </c>
      <c r="U228" s="25">
        <f t="shared" si="129"/>
        <v>2</v>
      </c>
      <c r="V228" s="26" t="str">
        <f t="shared" si="130"/>
        <v/>
      </c>
    </row>
    <row r="229" spans="1:22" ht="49.5" customHeight="1" x14ac:dyDescent="0.25">
      <c r="A229" s="17">
        <f>VLOOKUP(C229,[1]Werke!$A$1:$C$168,3,0)</f>
        <v>14</v>
      </c>
      <c r="B229" s="17" t="str">
        <f>VLOOKUP(C229,[1]Werke!$A$1:$C$168,2,0)</f>
        <v>D47</v>
      </c>
      <c r="C229" s="18" t="s">
        <v>246</v>
      </c>
      <c r="D229" s="17" t="str">
        <f>VLOOKUP(C229,[1]Maliteslimalan!$A$1:$B$210,2,0)</f>
        <v>8000012583</v>
      </c>
      <c r="E229" s="19">
        <f>VLOOKUP(C229,[1]Bestellnr.!$A$1:$B$174,2,0)</f>
        <v>0</v>
      </c>
      <c r="F229" s="20" t="str">
        <f t="shared" si="122"/>
        <v>N   912 761 01</v>
      </c>
      <c r="G229" s="21">
        <v>100590000</v>
      </c>
      <c r="H229" s="17">
        <f t="shared" si="123"/>
        <v>0.14960999999999999</v>
      </c>
      <c r="I229" s="20"/>
      <c r="J229" s="17" t="str">
        <f>VLOOKUP(G229,W$2:X$1905,2,FALSE)</f>
        <v>50</v>
      </c>
      <c r="K229" s="17">
        <f t="shared" si="124"/>
        <v>0</v>
      </c>
      <c r="L229" s="22">
        <v>10</v>
      </c>
      <c r="M229" s="22">
        <v>30</v>
      </c>
      <c r="N229" s="22">
        <v>111444</v>
      </c>
      <c r="O229" s="22" t="str">
        <f t="shared" si="125"/>
        <v>001006</v>
      </c>
      <c r="P229" s="22">
        <f t="shared" si="126"/>
        <v>34</v>
      </c>
      <c r="Q229" s="22"/>
      <c r="R229" s="23" t="s">
        <v>153</v>
      </c>
      <c r="S229" s="22">
        <f t="shared" si="127"/>
        <v>0.56999999999999995</v>
      </c>
      <c r="T229" s="24">
        <f t="shared" si="128"/>
        <v>0</v>
      </c>
      <c r="U229" s="25">
        <f t="shared" si="129"/>
        <v>2</v>
      </c>
      <c r="V229" s="26" t="str">
        <f t="shared" si="130"/>
        <v/>
      </c>
    </row>
    <row r="230" spans="1:22" ht="49.5" customHeight="1" x14ac:dyDescent="0.25">
      <c r="A230" s="17">
        <f>VLOOKUP(C230,[1]Werke!$A$1:$C$168,3,0)</f>
        <v>24</v>
      </c>
      <c r="B230" s="17" t="str">
        <f>VLOOKUP(C230,[1]Werke!$A$1:$C$168,2,0)</f>
        <v>CKH</v>
      </c>
      <c r="C230" s="18" t="s">
        <v>224</v>
      </c>
      <c r="D230" s="17">
        <f>VLOOKUP(C230,[1]Maliteslimalan!$A$1:$B$210,2,0)</f>
        <v>8000013551</v>
      </c>
      <c r="E230" s="19">
        <v>6</v>
      </c>
      <c r="F230" s="20" t="str">
        <f t="shared" si="122"/>
        <v>N   912 761 01</v>
      </c>
      <c r="G230" s="21">
        <v>100590000</v>
      </c>
      <c r="H230" s="17">
        <f t="shared" si="123"/>
        <v>0.14960999999999999</v>
      </c>
      <c r="I230" s="20"/>
      <c r="J230" s="17" t="str">
        <f>VLOOKUP(G230,W$2:X$1905,2,FALSE)</f>
        <v>50</v>
      </c>
      <c r="K230" s="17">
        <f t="shared" si="124"/>
        <v>0</v>
      </c>
      <c r="L230" s="22">
        <v>10</v>
      </c>
      <c r="M230" s="22">
        <v>30</v>
      </c>
      <c r="N230" s="22">
        <v>111444</v>
      </c>
      <c r="O230" s="22" t="str">
        <f t="shared" si="125"/>
        <v>001006</v>
      </c>
      <c r="P230" s="22">
        <f t="shared" si="126"/>
        <v>34</v>
      </c>
      <c r="Q230" s="22"/>
      <c r="R230" s="23" t="s">
        <v>153</v>
      </c>
      <c r="S230" s="22">
        <f t="shared" si="127"/>
        <v>0.56999999999999995</v>
      </c>
      <c r="T230" s="24">
        <f t="shared" si="128"/>
        <v>0</v>
      </c>
      <c r="U230" s="25">
        <f t="shared" si="129"/>
        <v>2</v>
      </c>
      <c r="V230" s="26" t="str">
        <f t="shared" si="130"/>
        <v/>
      </c>
    </row>
    <row r="231" spans="1:22" ht="49.5" customHeight="1" x14ac:dyDescent="0.25">
      <c r="A231" s="17"/>
      <c r="B231" s="17"/>
      <c r="C231" s="18"/>
      <c r="D231" s="17"/>
      <c r="E231" s="19"/>
      <c r="F231" s="20"/>
      <c r="G231" s="21"/>
      <c r="H231" s="17"/>
      <c r="I231" s="20"/>
      <c r="J231" s="17"/>
      <c r="K231" s="17"/>
      <c r="L231" s="22"/>
      <c r="M231" s="22"/>
      <c r="N231" s="22"/>
      <c r="O231" s="22"/>
      <c r="P231" s="22"/>
      <c r="Q231" s="22"/>
      <c r="R231" s="23"/>
      <c r="S231" s="22"/>
      <c r="T231" s="24"/>
      <c r="U231" s="25"/>
    </row>
    <row r="232" spans="1:22" ht="48" customHeight="1" x14ac:dyDescent="0.25">
      <c r="A232" s="17">
        <f>VLOOKUP(C232,[1]Werke!$A$1:$C$168,3,0)</f>
        <v>21</v>
      </c>
      <c r="B232" s="17" t="str">
        <f>VLOOKUP(C232,[1]Werke!$A$1:$C$168,2,0)</f>
        <v>GZD</v>
      </c>
      <c r="C232" s="18" t="s">
        <v>223</v>
      </c>
      <c r="D232" s="17" t="str">
        <f>VLOOKUP(C232,[1]Maliteslimalan!$A$1:$B$210,2,0)</f>
        <v>8000012572</v>
      </c>
      <c r="E232" s="19" t="str">
        <f>VLOOKUP(C232,[1]Bestellnr.!$A$1:$B$174,2,0)</f>
        <v>000006</v>
      </c>
      <c r="F232" s="20" t="str">
        <f t="shared" ref="F232:F248" si="131">VLOOKUP(G232,$U$1:$V$1730,2,0)</f>
        <v>N   107 135 03</v>
      </c>
      <c r="G232" s="21">
        <v>100635300</v>
      </c>
      <c r="H232" s="17">
        <f t="shared" ref="H232:H248" si="132">VLOOKUP(G232,Z$2:AA$1905,2,FALSE)</f>
        <v>1.788E-2</v>
      </c>
      <c r="I232" s="20"/>
      <c r="J232" s="17" t="str">
        <f t="shared" ref="J232:J248" si="133">VLOOKUP(G232,W$2:X$1905,2,FALSE)</f>
        <v>750</v>
      </c>
      <c r="K232" s="17">
        <f t="shared" ref="K232:K248" si="134">I232/J232</f>
        <v>0</v>
      </c>
      <c r="L232" s="22">
        <v>10</v>
      </c>
      <c r="M232" s="22">
        <v>30</v>
      </c>
      <c r="N232" s="22">
        <v>111444</v>
      </c>
      <c r="O232" s="22" t="str">
        <f t="shared" ref="O232:O248" si="135">VLOOKUP(N232,$AL$1285:$AM$1310,2,FALSE)</f>
        <v>001006</v>
      </c>
      <c r="P232" s="22">
        <f t="shared" ref="P232:P248" si="136">VLOOKUP(N232,AC$2:AD$1905,2,FALSE)</f>
        <v>34</v>
      </c>
      <c r="Q232" s="22"/>
      <c r="R232" s="23" t="s">
        <v>153</v>
      </c>
      <c r="S232" s="22">
        <f t="shared" ref="S232:S248" si="137">VLOOKUP(R232,AC$2:AD$1905,2,FALSE)</f>
        <v>0.56999999999999995</v>
      </c>
      <c r="T232" s="24">
        <f t="shared" ref="T232:T248" si="138">(H232*I232)+P232*Q232+S232*K232</f>
        <v>0</v>
      </c>
      <c r="U232" s="25">
        <f t="shared" ref="U232:U248" si="139">IF(TRIM(N232&amp;"")="111444",
    IF(ROUNDUP(MAX(0,K232-(MAX(1,Q232)-1)*10)/10,0)=1,3,2),
    IF(TRIM(N232&amp;"")="VWPAL",
        IF(TRIM(R232&amp;"")="004147",1,2),
        ""
    )
)</f>
        <v>2</v>
      </c>
      <c r="V232" s="26" t="str">
        <f t="shared" ref="V232:V248" si="140">IF(OR(TRIM(N232&amp;"")="111444",TRIM(N232&amp;"")="VWPAL"),
    IF(K232&lt;=0,"",
        IF(
            MIN(3,ROUNDUP(MAX(0,K232-(MAX(1,Q232)-1)*IF(TRIM(N232&amp;"")="111444",10,20))/IF(TRIM(N232&amp;"")="111444",10,20),0))=1,
            300,
            IF(
                MIN(3,ROUNDUP(MAX(0,K232-(MAX(1,Q232)-1)*IF(TRIM(N232&amp;"")="111444",10,20))/IF(TRIM(N232&amp;"")="111444",10,20),0))=2,
                450,
                600
            )
        )
    ),
    ""
)</f>
        <v/>
      </c>
    </row>
    <row r="233" spans="1:22" ht="48" customHeight="1" x14ac:dyDescent="0.25">
      <c r="A233" s="17">
        <f>VLOOKUP(C233,[1]Werke!$A$1:$C$168,3,0)</f>
        <v>24</v>
      </c>
      <c r="B233" s="17" t="str">
        <f>VLOOKUP(C233,[1]Werke!$A$1:$C$168,2,0)</f>
        <v>CKH</v>
      </c>
      <c r="C233" s="18" t="s">
        <v>224</v>
      </c>
      <c r="D233" s="17">
        <f>VLOOKUP(C233,[1]Maliteslimalan!$A$1:$B$210,2,0)</f>
        <v>8000013551</v>
      </c>
      <c r="E233" s="19">
        <v>6</v>
      </c>
      <c r="F233" s="20" t="str">
        <f t="shared" si="131"/>
        <v>N   107 135 03</v>
      </c>
      <c r="G233" s="21">
        <v>100635300</v>
      </c>
      <c r="H233" s="17">
        <f t="shared" si="132"/>
        <v>1.788E-2</v>
      </c>
      <c r="I233" s="20"/>
      <c r="J233" s="17" t="str">
        <f t="shared" si="133"/>
        <v>750</v>
      </c>
      <c r="K233" s="17">
        <f t="shared" si="134"/>
        <v>0</v>
      </c>
      <c r="L233" s="22">
        <v>10</v>
      </c>
      <c r="M233" s="22">
        <v>30</v>
      </c>
      <c r="N233" s="22">
        <v>111444</v>
      </c>
      <c r="O233" s="22" t="str">
        <f t="shared" si="135"/>
        <v>001006</v>
      </c>
      <c r="P233" s="22">
        <f t="shared" si="136"/>
        <v>34</v>
      </c>
      <c r="Q233" s="22"/>
      <c r="R233" s="23" t="s">
        <v>153</v>
      </c>
      <c r="S233" s="22">
        <f t="shared" si="137"/>
        <v>0.56999999999999995</v>
      </c>
      <c r="T233" s="24">
        <f t="shared" si="138"/>
        <v>0</v>
      </c>
      <c r="U233" s="25">
        <f t="shared" si="139"/>
        <v>2</v>
      </c>
      <c r="V233" s="26" t="str">
        <f t="shared" si="140"/>
        <v/>
      </c>
    </row>
    <row r="234" spans="1:22" ht="48" customHeight="1" x14ac:dyDescent="0.25">
      <c r="A234" s="17">
        <f>VLOOKUP(C234,[1]Werke!$A$1:$C$168,3,0)</f>
        <v>49</v>
      </c>
      <c r="B234" s="17" t="str">
        <f>VLOOKUP(C234,[1]Werke!$A$1:$C$168,2,0)</f>
        <v>CT</v>
      </c>
      <c r="C234" s="18" t="s">
        <v>217</v>
      </c>
      <c r="D234" s="17" t="str">
        <f>VLOOKUP(C234,[1]Maliteslimalan!$A$1:$B$210,2,0)</f>
        <v>8000012574</v>
      </c>
      <c r="E234" s="19" t="str">
        <f>VLOOKUP(C234,[1]Bestellnr.!$A$1:$B$174,2,0)</f>
        <v>000001</v>
      </c>
      <c r="F234" s="20" t="str">
        <f t="shared" si="131"/>
        <v>N   107 135 03</v>
      </c>
      <c r="G234" s="21">
        <v>100635300</v>
      </c>
      <c r="H234" s="17">
        <f t="shared" si="132"/>
        <v>1.788E-2</v>
      </c>
      <c r="I234" s="20"/>
      <c r="J234" s="17" t="str">
        <f t="shared" si="133"/>
        <v>750</v>
      </c>
      <c r="K234" s="17">
        <f t="shared" si="134"/>
        <v>0</v>
      </c>
      <c r="L234" s="22">
        <v>10</v>
      </c>
      <c r="M234" s="22">
        <v>10</v>
      </c>
      <c r="N234" s="22">
        <v>111444</v>
      </c>
      <c r="O234" s="22" t="str">
        <f t="shared" si="135"/>
        <v>001006</v>
      </c>
      <c r="P234" s="22">
        <f t="shared" si="136"/>
        <v>34</v>
      </c>
      <c r="Q234" s="22"/>
      <c r="R234" s="23" t="s">
        <v>153</v>
      </c>
      <c r="S234" s="22">
        <f t="shared" si="137"/>
        <v>0.56999999999999995</v>
      </c>
      <c r="T234" s="24">
        <f t="shared" si="138"/>
        <v>0</v>
      </c>
      <c r="U234" s="25">
        <f t="shared" si="139"/>
        <v>2</v>
      </c>
      <c r="V234" s="26" t="str">
        <f t="shared" si="140"/>
        <v/>
      </c>
    </row>
    <row r="235" spans="1:22" ht="48" customHeight="1" x14ac:dyDescent="0.25">
      <c r="A235" s="17" t="str">
        <f>VLOOKUP(C235,[1]Werke!$A$1:$C$168,3,0)</f>
        <v>LD</v>
      </c>
      <c r="B235" s="17" t="str">
        <f>VLOOKUP(C235,[1]Werke!$A$1:$C$168,2,0)</f>
        <v>SLD</v>
      </c>
      <c r="C235" s="18">
        <v>83630</v>
      </c>
      <c r="D235" s="17" t="str">
        <f>VLOOKUP(C235,[1]Maliteslimalan!$A$1:$B$210,2,0)</f>
        <v>8000012862</v>
      </c>
      <c r="E235" s="19" t="str">
        <f>VLOOKUP(C235,[1]Bestellnr.!$A$1:$B$174,2,0)</f>
        <v>000006</v>
      </c>
      <c r="F235" s="20" t="str">
        <f t="shared" si="131"/>
        <v>N   107 135 03</v>
      </c>
      <c r="G235" s="21">
        <v>100635300</v>
      </c>
      <c r="H235" s="17">
        <f t="shared" si="132"/>
        <v>1.788E-2</v>
      </c>
      <c r="I235" s="20"/>
      <c r="J235" s="17" t="str">
        <f t="shared" si="133"/>
        <v>750</v>
      </c>
      <c r="K235" s="17">
        <f t="shared" si="134"/>
        <v>0</v>
      </c>
      <c r="L235" s="22">
        <v>10</v>
      </c>
      <c r="M235" s="22">
        <v>30</v>
      </c>
      <c r="N235" s="22">
        <v>111444</v>
      </c>
      <c r="O235" s="22" t="str">
        <f t="shared" si="135"/>
        <v>001006</v>
      </c>
      <c r="P235" s="22">
        <f t="shared" si="136"/>
        <v>34</v>
      </c>
      <c r="Q235" s="22"/>
      <c r="R235" s="23" t="s">
        <v>153</v>
      </c>
      <c r="S235" s="22">
        <f t="shared" si="137"/>
        <v>0.56999999999999995</v>
      </c>
      <c r="T235" s="24">
        <f t="shared" si="138"/>
        <v>0</v>
      </c>
      <c r="U235" s="25">
        <f t="shared" si="139"/>
        <v>2</v>
      </c>
      <c r="V235" s="26" t="str">
        <f t="shared" si="140"/>
        <v/>
      </c>
    </row>
    <row r="236" spans="1:22" ht="48" customHeight="1" x14ac:dyDescent="0.25">
      <c r="A236" s="17" t="str">
        <f>VLOOKUP(C236,[1]Werke!$A$1:$C$168,3,0)</f>
        <v>16D</v>
      </c>
      <c r="B236" s="17">
        <f>VLOOKUP(C236,[1]Werke!$A$1:$C$168,2,0)</f>
        <v>210</v>
      </c>
      <c r="C236" s="18" t="s">
        <v>226</v>
      </c>
      <c r="D236" s="17" t="str">
        <f>VLOOKUP(C236,[1]Maliteslimalan!$A$1:$B$210,2,0)</f>
        <v>8000012565</v>
      </c>
      <c r="E236" s="19">
        <f>VLOOKUP(C236,[1]Bestellnr.!$A$1:$B$174,2,0)</f>
        <v>0</v>
      </c>
      <c r="F236" s="20" t="str">
        <f t="shared" si="131"/>
        <v>N   107 135 03</v>
      </c>
      <c r="G236" s="21">
        <v>100635300</v>
      </c>
      <c r="H236" s="17">
        <f t="shared" si="132"/>
        <v>1.788E-2</v>
      </c>
      <c r="I236" s="20"/>
      <c r="J236" s="17" t="str">
        <f t="shared" si="133"/>
        <v>750</v>
      </c>
      <c r="K236" s="17">
        <f t="shared" si="134"/>
        <v>0</v>
      </c>
      <c r="L236" s="22">
        <v>10</v>
      </c>
      <c r="M236" s="22">
        <v>30</v>
      </c>
      <c r="N236" s="22">
        <v>111444</v>
      </c>
      <c r="O236" s="22" t="str">
        <f t="shared" si="135"/>
        <v>001006</v>
      </c>
      <c r="P236" s="22">
        <f t="shared" si="136"/>
        <v>34</v>
      </c>
      <c r="Q236" s="22"/>
      <c r="R236" s="23" t="s">
        <v>153</v>
      </c>
      <c r="S236" s="22">
        <f t="shared" si="137"/>
        <v>0.56999999999999995</v>
      </c>
      <c r="T236" s="24">
        <f t="shared" si="138"/>
        <v>0</v>
      </c>
      <c r="U236" s="25">
        <f t="shared" si="139"/>
        <v>2</v>
      </c>
      <c r="V236" s="26" t="str">
        <f t="shared" si="140"/>
        <v/>
      </c>
    </row>
    <row r="237" spans="1:22" ht="48" customHeight="1" x14ac:dyDescent="0.25">
      <c r="A237" s="17">
        <f>VLOOKUP(C237,[1]Werke!$A$1:$C$168,3,0)</f>
        <v>11</v>
      </c>
      <c r="B237" s="17" t="str">
        <f>VLOOKUP(C237,[1]Werke!$A$1:$C$168,2,0)</f>
        <v>AKL</v>
      </c>
      <c r="C237" s="18" t="s">
        <v>253</v>
      </c>
      <c r="D237" s="17" t="str">
        <f>VLOOKUP(C237,[1]Maliteslimalan!$A$1:$B$210,2,0)</f>
        <v>8000012831</v>
      </c>
      <c r="E237" s="19" t="str">
        <f>VLOOKUP(C237,[1]Bestellnr.!$A$1:$B$174,2,0)</f>
        <v>000006</v>
      </c>
      <c r="F237" s="20" t="str">
        <f t="shared" si="131"/>
        <v>N   107 135 03</v>
      </c>
      <c r="G237" s="21">
        <v>100635300</v>
      </c>
      <c r="H237" s="17">
        <f t="shared" si="132"/>
        <v>1.788E-2</v>
      </c>
      <c r="I237" s="20"/>
      <c r="J237" s="17" t="str">
        <f t="shared" si="133"/>
        <v>750</v>
      </c>
      <c r="K237" s="17">
        <f t="shared" si="134"/>
        <v>0</v>
      </c>
      <c r="L237" s="22">
        <v>10</v>
      </c>
      <c r="M237" s="22">
        <v>30</v>
      </c>
      <c r="N237" s="22">
        <v>111444</v>
      </c>
      <c r="O237" s="22" t="str">
        <f t="shared" si="135"/>
        <v>001006</v>
      </c>
      <c r="P237" s="22">
        <f t="shared" si="136"/>
        <v>34</v>
      </c>
      <c r="Q237" s="22"/>
      <c r="R237" s="23" t="s">
        <v>153</v>
      </c>
      <c r="S237" s="22">
        <f t="shared" si="137"/>
        <v>0.56999999999999995</v>
      </c>
      <c r="T237" s="24">
        <f t="shared" si="138"/>
        <v>0</v>
      </c>
      <c r="U237" s="25">
        <f t="shared" si="139"/>
        <v>2</v>
      </c>
      <c r="V237" s="26" t="str">
        <f t="shared" si="140"/>
        <v/>
      </c>
    </row>
    <row r="238" spans="1:22" ht="48" customHeight="1" x14ac:dyDescent="0.25">
      <c r="A238" s="17">
        <f>VLOOKUP(C238,[1]Werke!$A$1:$C$168,3,0)</f>
        <v>12</v>
      </c>
      <c r="B238" s="17" t="str">
        <f>VLOOKUP(C238,[1]Werke!$A$1:$C$168,2,0)</f>
        <v>AKL</v>
      </c>
      <c r="C238" s="18" t="s">
        <v>228</v>
      </c>
      <c r="D238" s="17" t="str">
        <f>VLOOKUP(C238,[1]Maliteslimalan!$A$1:$B$210,2,0)</f>
        <v>8000012700</v>
      </c>
      <c r="E238" s="19" t="str">
        <f>VLOOKUP(C238,[1]Bestellnr.!$A$1:$B$174,2,0)</f>
        <v>000006</v>
      </c>
      <c r="F238" s="20" t="str">
        <f t="shared" si="131"/>
        <v>N   107 135 03</v>
      </c>
      <c r="G238" s="21">
        <v>100635300</v>
      </c>
      <c r="H238" s="17">
        <f t="shared" si="132"/>
        <v>1.788E-2</v>
      </c>
      <c r="I238" s="20"/>
      <c r="J238" s="17" t="str">
        <f t="shared" si="133"/>
        <v>750</v>
      </c>
      <c r="K238" s="17">
        <f t="shared" si="134"/>
        <v>0</v>
      </c>
      <c r="L238" s="22">
        <v>10</v>
      </c>
      <c r="M238" s="22">
        <v>30</v>
      </c>
      <c r="N238" s="22">
        <v>111444</v>
      </c>
      <c r="O238" s="22" t="str">
        <f t="shared" si="135"/>
        <v>001006</v>
      </c>
      <c r="P238" s="22">
        <f t="shared" si="136"/>
        <v>34</v>
      </c>
      <c r="Q238" s="22"/>
      <c r="R238" s="23" t="s">
        <v>153</v>
      </c>
      <c r="S238" s="22">
        <f t="shared" si="137"/>
        <v>0.56999999999999995</v>
      </c>
      <c r="T238" s="24">
        <f t="shared" si="138"/>
        <v>0</v>
      </c>
      <c r="U238" s="25">
        <f t="shared" si="139"/>
        <v>2</v>
      </c>
      <c r="V238" s="26" t="str">
        <f t="shared" si="140"/>
        <v/>
      </c>
    </row>
    <row r="239" spans="1:22" ht="48" customHeight="1" x14ac:dyDescent="0.25">
      <c r="A239" s="17">
        <f>VLOOKUP(C239,[1]Werke!$A$1:$C$168,3,0)</f>
        <v>22</v>
      </c>
      <c r="B239" s="17" t="str">
        <f>VLOOKUP(C239,[1]Werke!$A$1:$C$168,2,0)</f>
        <v>13P</v>
      </c>
      <c r="C239" s="18" t="s">
        <v>230</v>
      </c>
      <c r="D239" s="17" t="str">
        <f>VLOOKUP(C239,[1]Maliteslimalan!$A$1:$B$210,2,0)</f>
        <v>8000013344</v>
      </c>
      <c r="E239" s="19" t="str">
        <f>VLOOKUP(C239,[1]Bestellnr.!$A$1:$B$174,2,0)</f>
        <v>000006</v>
      </c>
      <c r="F239" s="20" t="str">
        <f t="shared" si="131"/>
        <v>N   107 135 03</v>
      </c>
      <c r="G239" s="21">
        <v>100635300</v>
      </c>
      <c r="H239" s="17">
        <f t="shared" si="132"/>
        <v>1.788E-2</v>
      </c>
      <c r="I239" s="20"/>
      <c r="J239" s="17" t="str">
        <f t="shared" si="133"/>
        <v>750</v>
      </c>
      <c r="K239" s="17">
        <f t="shared" si="134"/>
        <v>0</v>
      </c>
      <c r="L239" s="22">
        <v>10</v>
      </c>
      <c r="M239" s="22">
        <v>30</v>
      </c>
      <c r="N239" s="22">
        <v>111444</v>
      </c>
      <c r="O239" s="22" t="str">
        <f t="shared" si="135"/>
        <v>001006</v>
      </c>
      <c r="P239" s="22">
        <f t="shared" si="136"/>
        <v>34</v>
      </c>
      <c r="Q239" s="22"/>
      <c r="R239" s="23" t="s">
        <v>153</v>
      </c>
      <c r="S239" s="22">
        <f t="shared" si="137"/>
        <v>0.56999999999999995</v>
      </c>
      <c r="T239" s="24">
        <f t="shared" si="138"/>
        <v>0</v>
      </c>
      <c r="U239" s="25">
        <f t="shared" si="139"/>
        <v>2</v>
      </c>
      <c r="V239" s="26" t="str">
        <f t="shared" si="140"/>
        <v/>
      </c>
    </row>
    <row r="240" spans="1:22" ht="48" customHeight="1" x14ac:dyDescent="0.25">
      <c r="A240" s="17">
        <f>VLOOKUP(C240,[1]Werke!$A$1:$C$168,3,0)</f>
        <v>35</v>
      </c>
      <c r="B240" s="17" t="str">
        <f>VLOOKUP(C240,[1]Werke!$A$1:$C$168,2,0)</f>
        <v>AKL</v>
      </c>
      <c r="C240" s="18" t="s">
        <v>231</v>
      </c>
      <c r="D240" s="17" t="str">
        <f>VLOOKUP(C240,[1]Maliteslimalan!$A$1:$B$210,2,0)</f>
        <v>8000013262</v>
      </c>
      <c r="E240" s="19" t="str">
        <f>VLOOKUP(C240,[1]Bestellnr.!$A$1:$B$174,2,0)</f>
        <v>000006</v>
      </c>
      <c r="F240" s="20" t="str">
        <f t="shared" si="131"/>
        <v>N   107 135 03</v>
      </c>
      <c r="G240" s="21">
        <v>100635300</v>
      </c>
      <c r="H240" s="17">
        <f t="shared" si="132"/>
        <v>1.788E-2</v>
      </c>
      <c r="I240" s="20"/>
      <c r="J240" s="17" t="str">
        <f t="shared" si="133"/>
        <v>750</v>
      </c>
      <c r="K240" s="17">
        <f t="shared" si="134"/>
        <v>0</v>
      </c>
      <c r="L240" s="22">
        <v>10</v>
      </c>
      <c r="M240" s="22">
        <v>30</v>
      </c>
      <c r="N240" s="22">
        <v>111444</v>
      </c>
      <c r="O240" s="22" t="str">
        <f t="shared" si="135"/>
        <v>001006</v>
      </c>
      <c r="P240" s="22">
        <f t="shared" si="136"/>
        <v>34</v>
      </c>
      <c r="Q240" s="22"/>
      <c r="R240" s="23" t="s">
        <v>153</v>
      </c>
      <c r="S240" s="22">
        <f t="shared" si="137"/>
        <v>0.56999999999999995</v>
      </c>
      <c r="T240" s="24">
        <f t="shared" si="138"/>
        <v>0</v>
      </c>
      <c r="U240" s="25">
        <f t="shared" si="139"/>
        <v>2</v>
      </c>
      <c r="V240" s="26" t="str">
        <f t="shared" si="140"/>
        <v/>
      </c>
    </row>
    <row r="241" spans="1:22" ht="48" customHeight="1" x14ac:dyDescent="0.25">
      <c r="A241" s="17">
        <f>VLOOKUP(C241,[1]Werke!$A$1:$C$168,3,0)</f>
        <v>37</v>
      </c>
      <c r="B241" s="17" t="str">
        <f>VLOOKUP(C241,[1]Werke!$A$1:$C$168,2,0)</f>
        <v>AKL</v>
      </c>
      <c r="C241" s="18" t="s">
        <v>232</v>
      </c>
      <c r="D241" s="17" t="str">
        <f>VLOOKUP(C241,[1]Maliteslimalan!$A$1:$B$210,2,0)</f>
        <v>8000012562</v>
      </c>
      <c r="E241" s="19" t="str">
        <f>VLOOKUP(C241,[1]Bestellnr.!$A$1:$B$174,2,0)</f>
        <v>000006</v>
      </c>
      <c r="F241" s="20" t="str">
        <f t="shared" si="131"/>
        <v>N   107 135 03</v>
      </c>
      <c r="G241" s="21">
        <v>100635300</v>
      </c>
      <c r="H241" s="17">
        <f t="shared" si="132"/>
        <v>1.788E-2</v>
      </c>
      <c r="I241" s="20"/>
      <c r="J241" s="17" t="str">
        <f t="shared" si="133"/>
        <v>750</v>
      </c>
      <c r="K241" s="17">
        <f t="shared" si="134"/>
        <v>0</v>
      </c>
      <c r="L241" s="22">
        <v>10</v>
      </c>
      <c r="M241" s="22">
        <v>30</v>
      </c>
      <c r="N241" s="22">
        <v>111444</v>
      </c>
      <c r="O241" s="22" t="str">
        <f t="shared" si="135"/>
        <v>001006</v>
      </c>
      <c r="P241" s="22">
        <f t="shared" si="136"/>
        <v>34</v>
      </c>
      <c r="Q241" s="22"/>
      <c r="R241" s="23" t="s">
        <v>153</v>
      </c>
      <c r="S241" s="22">
        <f t="shared" si="137"/>
        <v>0.56999999999999995</v>
      </c>
      <c r="T241" s="24">
        <f t="shared" si="138"/>
        <v>0</v>
      </c>
      <c r="U241" s="25">
        <f t="shared" si="139"/>
        <v>2</v>
      </c>
      <c r="V241" s="26" t="str">
        <f t="shared" si="140"/>
        <v/>
      </c>
    </row>
    <row r="242" spans="1:22" ht="48" customHeight="1" x14ac:dyDescent="0.25">
      <c r="A242" s="17">
        <f>VLOOKUP(C242,[1]Werke!$A$1:$C$168,3,0)</f>
        <v>33</v>
      </c>
      <c r="B242" s="17" t="str">
        <f>VLOOKUP(C242,[1]Werke!$A$1:$C$168,2,0)</f>
        <v>KK2</v>
      </c>
      <c r="C242" s="18" t="s">
        <v>233</v>
      </c>
      <c r="D242" s="17" t="str">
        <f>VLOOKUP(C242,[1]Maliteslimalan!$A$1:$B$210,2,0)</f>
        <v>8000012709</v>
      </c>
      <c r="E242" s="19" t="str">
        <f>VLOOKUP(C242,[1]Bestellnr.!$A$1:$B$174,2,0)</f>
        <v>000055</v>
      </c>
      <c r="F242" s="20" t="str">
        <f t="shared" si="131"/>
        <v>N   107 135 03</v>
      </c>
      <c r="G242" s="21">
        <v>100635300</v>
      </c>
      <c r="H242" s="17">
        <f t="shared" si="132"/>
        <v>1.788E-2</v>
      </c>
      <c r="I242" s="20"/>
      <c r="J242" s="17" t="str">
        <f t="shared" si="133"/>
        <v>750</v>
      </c>
      <c r="K242" s="17">
        <f t="shared" si="134"/>
        <v>0</v>
      </c>
      <c r="L242" s="22">
        <v>10</v>
      </c>
      <c r="M242" s="22">
        <v>10</v>
      </c>
      <c r="N242" s="22">
        <v>111444</v>
      </c>
      <c r="O242" s="22" t="str">
        <f t="shared" si="135"/>
        <v>001006</v>
      </c>
      <c r="P242" s="22">
        <f t="shared" si="136"/>
        <v>34</v>
      </c>
      <c r="Q242" s="22"/>
      <c r="R242" s="23" t="s">
        <v>153</v>
      </c>
      <c r="S242" s="22">
        <f t="shared" si="137"/>
        <v>0.56999999999999995</v>
      </c>
      <c r="T242" s="24">
        <f t="shared" si="138"/>
        <v>0</v>
      </c>
      <c r="U242" s="25">
        <f t="shared" si="139"/>
        <v>2</v>
      </c>
      <c r="V242" s="26" t="str">
        <f t="shared" si="140"/>
        <v/>
      </c>
    </row>
    <row r="243" spans="1:22" ht="48" customHeight="1" x14ac:dyDescent="0.25">
      <c r="A243" s="17">
        <f>VLOOKUP(C243,[1]Werke!$A$1:$C$168,3,0)</f>
        <v>43</v>
      </c>
      <c r="B243" s="17" t="str">
        <f>VLOOKUP(C243,[1]Werke!$A$1:$C$168,2,0)</f>
        <v>FCK</v>
      </c>
      <c r="C243" s="18" t="s">
        <v>237</v>
      </c>
      <c r="D243" s="17" t="str">
        <f>VLOOKUP(C243,[1]Maliteslimalan!$A$1:$B$210,2,0)</f>
        <v>8000012579</v>
      </c>
      <c r="E243" s="19" t="str">
        <f>VLOOKUP(C243,[1]Bestellnr.!$A$1:$B$174,2,0)</f>
        <v>000006</v>
      </c>
      <c r="F243" s="20" t="str">
        <f t="shared" si="131"/>
        <v>N   107 135 03</v>
      </c>
      <c r="G243" s="21">
        <v>100635300</v>
      </c>
      <c r="H243" s="17">
        <f t="shared" si="132"/>
        <v>1.788E-2</v>
      </c>
      <c r="I243" s="20"/>
      <c r="J243" s="17" t="str">
        <f t="shared" si="133"/>
        <v>750</v>
      </c>
      <c r="K243" s="17">
        <f t="shared" si="134"/>
        <v>0</v>
      </c>
      <c r="L243" s="22">
        <v>10</v>
      </c>
      <c r="M243" s="22">
        <v>30</v>
      </c>
      <c r="N243" s="22">
        <v>111444</v>
      </c>
      <c r="O243" s="22" t="str">
        <f t="shared" si="135"/>
        <v>001006</v>
      </c>
      <c r="P243" s="22">
        <f t="shared" si="136"/>
        <v>34</v>
      </c>
      <c r="Q243" s="22"/>
      <c r="R243" s="23" t="s">
        <v>153</v>
      </c>
      <c r="S243" s="22">
        <f t="shared" si="137"/>
        <v>0.56999999999999995</v>
      </c>
      <c r="T243" s="24">
        <f t="shared" si="138"/>
        <v>0</v>
      </c>
      <c r="U243" s="25">
        <f t="shared" si="139"/>
        <v>2</v>
      </c>
      <c r="V243" s="26" t="str">
        <f t="shared" si="140"/>
        <v/>
      </c>
    </row>
    <row r="244" spans="1:22" ht="48" customHeight="1" x14ac:dyDescent="0.25">
      <c r="A244" s="17">
        <f>VLOOKUP(C244,[1]Werke!$A$1:$C$168,3,0)</f>
        <v>31</v>
      </c>
      <c r="B244" s="17" t="str">
        <f>VLOOKUP(C244,[1]Werke!$A$1:$C$168,2,0)</f>
        <v>B29</v>
      </c>
      <c r="C244" s="18">
        <v>10329</v>
      </c>
      <c r="D244" s="17">
        <f>VLOOKUP(C244,[1]Maliteslimalan!$A$1:$B$210,2,0)</f>
        <v>8000013608</v>
      </c>
      <c r="E244" s="19">
        <v>6</v>
      </c>
      <c r="F244" s="20" t="str">
        <f t="shared" si="131"/>
        <v>N   107 135 03</v>
      </c>
      <c r="G244" s="21">
        <v>100635300</v>
      </c>
      <c r="H244" s="17">
        <f t="shared" si="132"/>
        <v>1.788E-2</v>
      </c>
      <c r="I244" s="20"/>
      <c r="J244" s="17" t="str">
        <f t="shared" si="133"/>
        <v>750</v>
      </c>
      <c r="K244" s="17">
        <f t="shared" si="134"/>
        <v>0</v>
      </c>
      <c r="L244" s="22">
        <v>10</v>
      </c>
      <c r="M244" s="22">
        <v>10</v>
      </c>
      <c r="N244" s="22">
        <v>111444</v>
      </c>
      <c r="O244" s="22" t="str">
        <f t="shared" si="135"/>
        <v>001006</v>
      </c>
      <c r="P244" s="22">
        <f t="shared" si="136"/>
        <v>34</v>
      </c>
      <c r="Q244" s="22"/>
      <c r="R244" s="23" t="s">
        <v>153</v>
      </c>
      <c r="S244" s="22">
        <f t="shared" si="137"/>
        <v>0.56999999999999995</v>
      </c>
      <c r="T244" s="24">
        <f t="shared" si="138"/>
        <v>0</v>
      </c>
      <c r="U244" s="25">
        <f t="shared" si="139"/>
        <v>2</v>
      </c>
      <c r="V244" s="26" t="str">
        <f t="shared" si="140"/>
        <v/>
      </c>
    </row>
    <row r="245" spans="1:22" ht="48" customHeight="1" x14ac:dyDescent="0.25">
      <c r="A245" s="17">
        <f>VLOOKUP(C245,[1]Werke!$A$1:$C$168,3,0)</f>
        <v>24</v>
      </c>
      <c r="B245" s="17" t="str">
        <f>VLOOKUP(C245,[1]Werke!$A$1:$C$168,2,0)</f>
        <v>CKS</v>
      </c>
      <c r="C245" s="18" t="s">
        <v>245</v>
      </c>
      <c r="D245" s="17" t="str">
        <f>VLOOKUP(C245,[1]Maliteslimalan!$A$1:$B$210,2,0)</f>
        <v>8000012647</v>
      </c>
      <c r="E245" s="19" t="str">
        <f>VLOOKUP(C245,[1]Bestellnr.!$A$1:$B$174,2,0)</f>
        <v>000006</v>
      </c>
      <c r="F245" s="20" t="str">
        <f t="shared" si="131"/>
        <v>N   107 135 03</v>
      </c>
      <c r="G245" s="21">
        <v>100635300</v>
      </c>
      <c r="H245" s="17">
        <f t="shared" si="132"/>
        <v>1.788E-2</v>
      </c>
      <c r="I245" s="20"/>
      <c r="J245" s="17" t="str">
        <f t="shared" si="133"/>
        <v>750</v>
      </c>
      <c r="K245" s="17">
        <f t="shared" si="134"/>
        <v>0</v>
      </c>
      <c r="L245" s="22">
        <v>10</v>
      </c>
      <c r="M245" s="22">
        <v>30</v>
      </c>
      <c r="N245" s="22">
        <v>111444</v>
      </c>
      <c r="O245" s="22" t="str">
        <f t="shared" si="135"/>
        <v>001006</v>
      </c>
      <c r="P245" s="22">
        <f t="shared" si="136"/>
        <v>34</v>
      </c>
      <c r="Q245" s="22"/>
      <c r="R245" s="23" t="s">
        <v>153</v>
      </c>
      <c r="S245" s="22">
        <f t="shared" si="137"/>
        <v>0.56999999999999995</v>
      </c>
      <c r="T245" s="24">
        <f t="shared" si="138"/>
        <v>0</v>
      </c>
      <c r="U245" s="25">
        <f t="shared" si="139"/>
        <v>2</v>
      </c>
      <c r="V245" s="26" t="str">
        <f t="shared" si="140"/>
        <v/>
      </c>
    </row>
    <row r="246" spans="1:22" ht="48" customHeight="1" x14ac:dyDescent="0.25">
      <c r="A246" s="17">
        <f>VLOOKUP(C246,[1]Werke!$A$1:$C$168,3,0)</f>
        <v>14</v>
      </c>
      <c r="B246" s="17" t="str">
        <f>VLOOKUP(C246,[1]Werke!$A$1:$C$168,2,0)</f>
        <v>D72</v>
      </c>
      <c r="C246" s="18" t="s">
        <v>220</v>
      </c>
      <c r="D246" s="17" t="str">
        <f>VLOOKUP(C246,[1]Maliteslimalan!$A$1:$B$210,2,0)</f>
        <v>8000013493</v>
      </c>
      <c r="E246" s="19">
        <f>VLOOKUP(C246,[1]Bestellnr.!$A$1:$B$174,2,0)</f>
        <v>0</v>
      </c>
      <c r="F246" s="20" t="str">
        <f t="shared" si="131"/>
        <v>N   107 135 03</v>
      </c>
      <c r="G246" s="21">
        <v>100635300</v>
      </c>
      <c r="H246" s="17">
        <f t="shared" si="132"/>
        <v>1.788E-2</v>
      </c>
      <c r="I246" s="20"/>
      <c r="J246" s="17" t="str">
        <f t="shared" si="133"/>
        <v>750</v>
      </c>
      <c r="K246" s="17">
        <f t="shared" si="134"/>
        <v>0</v>
      </c>
      <c r="L246" s="22">
        <v>10</v>
      </c>
      <c r="M246" s="22">
        <v>30</v>
      </c>
      <c r="N246" s="22">
        <v>111444</v>
      </c>
      <c r="O246" s="22" t="str">
        <f t="shared" si="135"/>
        <v>001006</v>
      </c>
      <c r="P246" s="22">
        <f t="shared" si="136"/>
        <v>34</v>
      </c>
      <c r="Q246" s="22"/>
      <c r="R246" s="23" t="s">
        <v>153</v>
      </c>
      <c r="S246" s="22">
        <f t="shared" si="137"/>
        <v>0.56999999999999995</v>
      </c>
      <c r="T246" s="24">
        <f t="shared" si="138"/>
        <v>0</v>
      </c>
      <c r="U246" s="25">
        <f t="shared" si="139"/>
        <v>2</v>
      </c>
      <c r="V246" s="26" t="str">
        <f t="shared" si="140"/>
        <v/>
      </c>
    </row>
    <row r="247" spans="1:22" ht="48" customHeight="1" x14ac:dyDescent="0.25">
      <c r="A247" s="17" t="str">
        <f>VLOOKUP(C247,[1]Werke!$A$1:$C$168,3,0)</f>
        <v>RC</v>
      </c>
      <c r="B247" s="17" t="str">
        <f>VLOOKUP(C247,[1]Werke!$A$1:$C$168,2,0)</f>
        <v>CKD</v>
      </c>
      <c r="C247" s="18" t="s">
        <v>256</v>
      </c>
      <c r="D247" s="17" t="str">
        <f>VLOOKUP(C247,[1]Maliteslimalan!$A$1:$B$210,2,0)</f>
        <v>8000012593</v>
      </c>
      <c r="E247" s="19" t="str">
        <f>VLOOKUP(C247,[1]Bestellnr.!$A$1:$B$174,2,0)</f>
        <v>000006</v>
      </c>
      <c r="F247" s="20" t="str">
        <f t="shared" si="131"/>
        <v>N   107 135 03</v>
      </c>
      <c r="G247" s="21">
        <v>100635300</v>
      </c>
      <c r="H247" s="17">
        <f t="shared" si="132"/>
        <v>1.788E-2</v>
      </c>
      <c r="I247" s="20"/>
      <c r="J247" s="17" t="str">
        <f t="shared" si="133"/>
        <v>750</v>
      </c>
      <c r="K247" s="17">
        <f t="shared" si="134"/>
        <v>0</v>
      </c>
      <c r="L247" s="22">
        <v>10</v>
      </c>
      <c r="M247" s="22">
        <v>30</v>
      </c>
      <c r="N247" s="22">
        <v>111444</v>
      </c>
      <c r="O247" s="22" t="str">
        <f t="shared" si="135"/>
        <v>001006</v>
      </c>
      <c r="P247" s="22">
        <f t="shared" si="136"/>
        <v>34</v>
      </c>
      <c r="Q247" s="22"/>
      <c r="R247" s="23" t="s">
        <v>153</v>
      </c>
      <c r="S247" s="22">
        <f t="shared" si="137"/>
        <v>0.56999999999999995</v>
      </c>
      <c r="T247" s="24">
        <f t="shared" si="138"/>
        <v>0</v>
      </c>
      <c r="U247" s="25">
        <f t="shared" si="139"/>
        <v>2</v>
      </c>
      <c r="V247" s="26" t="str">
        <f t="shared" si="140"/>
        <v/>
      </c>
    </row>
    <row r="248" spans="1:22" ht="48" customHeight="1" x14ac:dyDescent="0.25">
      <c r="A248" s="17">
        <f>VLOOKUP(C248,[1]Werke!$A$1:$C$168,3,0)</f>
        <v>24</v>
      </c>
      <c r="B248" s="17" t="str">
        <f>VLOOKUP(C248,[1]Werke!$A$1:$C$168,2,0)</f>
        <v>CKV</v>
      </c>
      <c r="C248" s="18" t="s">
        <v>243</v>
      </c>
      <c r="D248" s="17" t="str">
        <f>VLOOKUP(C248,[1]Maliteslimalan!$A$1:$B$210,2,0)</f>
        <v>8000013217</v>
      </c>
      <c r="E248" s="19" t="str">
        <f>VLOOKUP(C248,[1]Bestellnr.!$A$1:$B$174,2,0)</f>
        <v>000006</v>
      </c>
      <c r="F248" s="20" t="str">
        <f t="shared" si="131"/>
        <v>N   107 135 03</v>
      </c>
      <c r="G248" s="21">
        <v>100635300</v>
      </c>
      <c r="H248" s="17">
        <f t="shared" si="132"/>
        <v>1.788E-2</v>
      </c>
      <c r="I248" s="20"/>
      <c r="J248" s="17" t="str">
        <f t="shared" si="133"/>
        <v>750</v>
      </c>
      <c r="K248" s="17">
        <f t="shared" si="134"/>
        <v>0</v>
      </c>
      <c r="L248" s="22">
        <v>10</v>
      </c>
      <c r="M248" s="22">
        <v>30</v>
      </c>
      <c r="N248" s="22">
        <v>111444</v>
      </c>
      <c r="O248" s="22" t="str">
        <f t="shared" si="135"/>
        <v>001006</v>
      </c>
      <c r="P248" s="22">
        <f t="shared" si="136"/>
        <v>34</v>
      </c>
      <c r="Q248" s="22"/>
      <c r="R248" s="23" t="s">
        <v>153</v>
      </c>
      <c r="S248" s="22">
        <f t="shared" si="137"/>
        <v>0.56999999999999995</v>
      </c>
      <c r="T248" s="24">
        <f t="shared" si="138"/>
        <v>0</v>
      </c>
      <c r="U248" s="25">
        <f t="shared" si="139"/>
        <v>2</v>
      </c>
      <c r="V248" s="26" t="str">
        <f t="shared" si="140"/>
        <v/>
      </c>
    </row>
    <row r="249" spans="1:22" ht="48" customHeight="1" x14ac:dyDescent="0.25">
      <c r="A249" s="17"/>
      <c r="B249" s="17"/>
      <c r="C249" s="18"/>
      <c r="D249" s="17"/>
      <c r="E249" s="19"/>
      <c r="F249" s="20"/>
      <c r="G249" s="21"/>
      <c r="H249" s="17"/>
      <c r="I249" s="20"/>
      <c r="J249" s="17"/>
      <c r="K249" s="17"/>
      <c r="L249" s="22"/>
      <c r="M249" s="22"/>
      <c r="N249" s="22"/>
      <c r="O249" s="22"/>
      <c r="P249" s="22"/>
      <c r="Q249" s="22"/>
      <c r="R249" s="23"/>
      <c r="S249" s="22"/>
      <c r="T249" s="24"/>
      <c r="U249" s="25"/>
    </row>
    <row r="250" spans="1:22" ht="48.2" customHeight="1" x14ac:dyDescent="0.25">
      <c r="A250" s="17">
        <f>VLOOKUP(C250,[1]Werke!$A$1:$C$168,3,0)</f>
        <v>14</v>
      </c>
      <c r="B250" s="17" t="str">
        <f>VLOOKUP(C250,[1]Werke!$A$1:$C$168,2,0)</f>
        <v>D72</v>
      </c>
      <c r="C250" s="18" t="s">
        <v>220</v>
      </c>
      <c r="D250" s="17" t="str">
        <f>VLOOKUP(C250,[1]Maliteslimalan!$A$1:$B$210,2,0)</f>
        <v>8000013493</v>
      </c>
      <c r="E250" s="19">
        <f>VLOOKUP(C250,[1]Bestellnr.!$A$1:$B$174,2,0)</f>
        <v>0</v>
      </c>
      <c r="F250" s="20" t="str">
        <f>VLOOKUP(G250,$U$1:$V$1730,2,0)</f>
        <v>N   908 406 03</v>
      </c>
      <c r="G250" s="21">
        <v>932972000</v>
      </c>
      <c r="H250" s="17">
        <f>VLOOKUP(G250,Z$2:AA$1905,2,FALSE)</f>
        <v>1.5570000000000001E-2</v>
      </c>
      <c r="I250" s="20"/>
      <c r="J250" s="17">
        <f>VLOOKUP(G250,W$2:X$1905,2,FALSE)</f>
        <v>1000</v>
      </c>
      <c r="K250" s="17">
        <f>I250/J250</f>
        <v>0</v>
      </c>
      <c r="L250" s="22">
        <v>10</v>
      </c>
      <c r="M250" s="22">
        <v>30</v>
      </c>
      <c r="N250" s="22">
        <v>111444</v>
      </c>
      <c r="O250" s="22" t="str">
        <f>VLOOKUP(N250,$AL$1285:$AM$1310,2,FALSE)</f>
        <v>001006</v>
      </c>
      <c r="P250" s="22">
        <f>VLOOKUP(N250,AC$2:AD$1905,2,FALSE)</f>
        <v>34</v>
      </c>
      <c r="Q250" s="22"/>
      <c r="R250" s="23" t="s">
        <v>153</v>
      </c>
      <c r="S250" s="22">
        <f>VLOOKUP(R250,AC$2:AD$1905,2,FALSE)</f>
        <v>0.56999999999999995</v>
      </c>
      <c r="T250" s="24">
        <f>(H250*I250)+P250*Q250+S250*K250</f>
        <v>0</v>
      </c>
      <c r="U250" s="25">
        <f>IF(TRIM(N250&amp;"")="111444",
    IF(ROUNDUP(MAX(0,K250-(MAX(1,Q250)-1)*10)/10,0)=1,3,2),
    IF(TRIM(N250&amp;"")="VWPAL",
        IF(TRIM(R250&amp;"")="004147",1,2),
        ""
    )
)</f>
        <v>2</v>
      </c>
      <c r="V250" s="26" t="str">
        <f>IF(OR(TRIM(N250&amp;"")="111444",TRIM(N250&amp;"")="VWPAL"),
    IF(K250&lt;=0,"",
        IF(
            MIN(3,ROUNDUP(MAX(0,K250-(MAX(1,Q250)-1)*IF(TRIM(N250&amp;"")="111444",10,20))/IF(TRIM(N250&amp;"")="111444",10,20),0))=1,
            300,
            IF(
                MIN(3,ROUNDUP(MAX(0,K250-(MAX(1,Q250)-1)*IF(TRIM(N250&amp;"")="111444",10,20))/IF(TRIM(N250&amp;"")="111444",10,20),0))=2,
                450,
                600
            )
        )
    ),
    ""
)</f>
        <v/>
      </c>
    </row>
    <row r="251" spans="1:22" ht="48.2" customHeight="1" x14ac:dyDescent="0.25">
      <c r="A251" s="17"/>
      <c r="B251" s="17"/>
      <c r="C251" s="18"/>
      <c r="D251" s="17"/>
      <c r="E251" s="19"/>
      <c r="F251" s="20"/>
      <c r="G251" s="21"/>
      <c r="H251" s="17"/>
      <c r="I251" s="20"/>
      <c r="J251" s="17"/>
      <c r="K251" s="17"/>
      <c r="L251" s="22"/>
      <c r="M251" s="22"/>
      <c r="N251" s="22"/>
      <c r="O251" s="22"/>
      <c r="P251" s="22"/>
      <c r="Q251" s="22"/>
      <c r="R251" s="23"/>
      <c r="S251" s="22"/>
      <c r="T251" s="24"/>
      <c r="U251" s="25"/>
    </row>
    <row r="252" spans="1:22" ht="48.2" customHeight="1" x14ac:dyDescent="0.25">
      <c r="A252" s="17" t="str">
        <f>VLOOKUP(C252,[1]Werke!$A$1:$C$168,3,0)</f>
        <v>26D</v>
      </c>
      <c r="B252" s="17" t="str">
        <f>VLOOKUP(C252,[1]Werke!$A$1:$C$168,2,0)</f>
        <v>G18</v>
      </c>
      <c r="C252" s="18" t="s">
        <v>257</v>
      </c>
      <c r="D252" s="17" t="str">
        <f>VLOOKUP(C252,[1]Maliteslimalan!$A$1:$B$210,2,0)</f>
        <v>8000012600</v>
      </c>
      <c r="E252" s="19">
        <f>VLOOKUP(C252,[1]Bestellnr.!$A$1:$B$174,2,0)</f>
        <v>0</v>
      </c>
      <c r="F252" s="20" t="str">
        <f>VLOOKUP(G252,$U$1:$V$1730,2,0)</f>
        <v>N   913 036 01</v>
      </c>
      <c r="G252" s="21">
        <v>100417700</v>
      </c>
      <c r="H252" s="17">
        <f>VLOOKUP(G252,Z$2:AA$1905,2,FALSE)</f>
        <v>1.5800000000000002E-2</v>
      </c>
      <c r="I252" s="20"/>
      <c r="J252" s="17" t="str">
        <f>VLOOKUP(G252,W$2:X$1905,2,FALSE)</f>
        <v>600</v>
      </c>
      <c r="K252" s="17">
        <f>I252/J252</f>
        <v>0</v>
      </c>
      <c r="L252" s="22">
        <v>10</v>
      </c>
      <c r="M252" s="22">
        <v>30</v>
      </c>
      <c r="N252" s="22" t="s">
        <v>155</v>
      </c>
      <c r="O252" s="22" t="str">
        <f>VLOOKUP(N252,$AL$1285:$AM$1310,2,FALSE)</f>
        <v>001210</v>
      </c>
      <c r="P252" s="22">
        <f>VLOOKUP(N252,AC$2:AD$1905,2,FALSE)</f>
        <v>55</v>
      </c>
      <c r="Q252" s="22"/>
      <c r="R252" s="23" t="s">
        <v>175</v>
      </c>
      <c r="S252" s="22">
        <f>VLOOKUP(R252,AC$2:AD$1905,2,FALSE)</f>
        <v>1.08</v>
      </c>
      <c r="T252" s="24">
        <f>(H252*I252)+P252*Q252+S252*K252</f>
        <v>0</v>
      </c>
      <c r="U252" s="25">
        <f>IF(TRIM(N252&amp;"")="111444",
    IF(ROUNDUP(MAX(0,K252-(MAX(1,Q252)-1)*10)/10,0)=1,3,2),
    IF(TRIM(N252&amp;"")="VWPAL",
        IF(TRIM(R252&amp;"")="004147",1,2),
        ""
    )
)</f>
        <v>1</v>
      </c>
      <c r="V252" s="26" t="str">
        <f>IF(OR(TRIM(N252&amp;"")="111444",TRIM(N252&amp;"")="VWPAL"),
    IF(K252&lt;=0,"",
        IF(
            MIN(3,ROUNDUP(MAX(0,K252-(MAX(1,Q252)-1)*IF(TRIM(N252&amp;"")="111444",10,20))/IF(TRIM(N252&amp;"")="111444",10,20),0))=1,
            300,
            IF(
                MIN(3,ROUNDUP(MAX(0,K252-(MAX(1,Q252)-1)*IF(TRIM(N252&amp;"")="111444",10,20))/IF(TRIM(N252&amp;"")="111444",10,20),0))=2,
                450,
                600
            )
        )
    ),
    ""
)</f>
        <v/>
      </c>
    </row>
    <row r="253" spans="1:22" ht="48.2" customHeight="1" x14ac:dyDescent="0.25">
      <c r="A253" s="17" t="str">
        <f>VLOOKUP(C253,[1]Werke!$A$1:$C$168,3,0)</f>
        <v>26C</v>
      </c>
      <c r="B253" s="17" t="str">
        <f>VLOOKUP(C253,[1]Werke!$A$1:$C$168,2,0)</f>
        <v>CKD</v>
      </c>
      <c r="C253" s="18" t="s">
        <v>258</v>
      </c>
      <c r="D253" s="17" t="str">
        <f>VLOOKUP(C253,[1]Maliteslimalan!$A$1:$B$210,2,0)</f>
        <v>8000012767</v>
      </c>
      <c r="E253" s="19">
        <f>VLOOKUP(C253,[1]Bestellnr.!$A$1:$B$174,2,0)</f>
        <v>0</v>
      </c>
      <c r="F253" s="20" t="str">
        <f>VLOOKUP(G253,$U$1:$V$1730,2,0)</f>
        <v>N   913 036 01</v>
      </c>
      <c r="G253" s="21">
        <v>100417700</v>
      </c>
      <c r="H253" s="17">
        <f>VLOOKUP(G253,Z$2:AA$1905,2,FALSE)</f>
        <v>1.5800000000000002E-2</v>
      </c>
      <c r="I253" s="20"/>
      <c r="J253" s="17" t="str">
        <f>VLOOKUP(G253,W$2:X$1905,2,FALSE)</f>
        <v>600</v>
      </c>
      <c r="K253" s="17">
        <f>I253/J253</f>
        <v>0</v>
      </c>
      <c r="L253" s="22">
        <v>10</v>
      </c>
      <c r="M253" s="22">
        <v>30</v>
      </c>
      <c r="N253" s="22" t="s">
        <v>155</v>
      </c>
      <c r="O253" s="22" t="str">
        <f>VLOOKUP(N253,$AL$1285:$AM$1310,2,FALSE)</f>
        <v>001210</v>
      </c>
      <c r="P253" s="22">
        <f>VLOOKUP(N253,AC$2:AD$1905,2,FALSE)</f>
        <v>55</v>
      </c>
      <c r="Q253" s="22"/>
      <c r="R253" s="23" t="s">
        <v>175</v>
      </c>
      <c r="S253" s="22">
        <f>VLOOKUP(R253,AC$2:AD$1905,2,FALSE)</f>
        <v>1.08</v>
      </c>
      <c r="T253" s="24">
        <f>(H253*I253)+P253*Q253+S253*K253</f>
        <v>0</v>
      </c>
      <c r="U253" s="25">
        <f>IF(TRIM(N253&amp;"")="111444",
    IF(ROUNDUP(MAX(0,K253-(MAX(1,Q253)-1)*10)/10,0)=1,3,2),
    IF(TRIM(N253&amp;"")="VWPAL",
        IF(TRIM(R253&amp;"")="004147",1,2),
        ""
    )
)</f>
        <v>1</v>
      </c>
      <c r="V253" s="26" t="str">
        <f>IF(OR(TRIM(N253&amp;"")="111444",TRIM(N253&amp;"")="VWPAL"),
    IF(K253&lt;=0,"",
        IF(
            MIN(3,ROUNDUP(MAX(0,K253-(MAX(1,Q253)-1)*IF(TRIM(N253&amp;"")="111444",10,20))/IF(TRIM(N253&amp;"")="111444",10,20),0))=1,
            300,
            IF(
                MIN(3,ROUNDUP(MAX(0,K253-(MAX(1,Q253)-1)*IF(TRIM(N253&amp;"")="111444",10,20))/IF(TRIM(N253&amp;"")="111444",10,20),0))=2,
                450,
                600
            )
        )
    ),
    ""
)</f>
        <v/>
      </c>
    </row>
    <row r="254" spans="1:22" ht="48.2" customHeight="1" x14ac:dyDescent="0.25">
      <c r="A254" s="17">
        <f>VLOOKUP(C254,[1]Werke!$A$1:$C$168,3,0)</f>
        <v>14</v>
      </c>
      <c r="B254" s="17" t="str">
        <f>VLOOKUP(C254,[1]Werke!$A$1:$C$168,2,0)</f>
        <v>D72</v>
      </c>
      <c r="C254" s="18" t="s">
        <v>220</v>
      </c>
      <c r="D254" s="17" t="str">
        <f>VLOOKUP(C254,[1]Maliteslimalan!$A$1:$B$210,2,0)</f>
        <v>8000013493</v>
      </c>
      <c r="E254" s="19">
        <f>VLOOKUP(C254,[1]Bestellnr.!$A$1:$B$174,2,0)</f>
        <v>0</v>
      </c>
      <c r="F254" s="20" t="str">
        <f>VLOOKUP(G254,$U$1:$V$1730,2,0)</f>
        <v>N   913 036 01</v>
      </c>
      <c r="G254" s="21">
        <v>100417700</v>
      </c>
      <c r="H254" s="17">
        <f>VLOOKUP(G254,Z$2:AA$1905,2,FALSE)</f>
        <v>1.5800000000000002E-2</v>
      </c>
      <c r="I254" s="20"/>
      <c r="J254" s="17">
        <v>600</v>
      </c>
      <c r="K254" s="17">
        <f>I254/J254</f>
        <v>0</v>
      </c>
      <c r="L254" s="22">
        <v>10</v>
      </c>
      <c r="M254" s="22">
        <v>10</v>
      </c>
      <c r="N254" s="22">
        <v>111444</v>
      </c>
      <c r="O254" s="22" t="str">
        <f>VLOOKUP(N254,$AL$1285:$AM$1310,2,FALSE)</f>
        <v>001006</v>
      </c>
      <c r="P254" s="22">
        <f>VLOOKUP(N254,AC$2:AD$1905,2,FALSE)</f>
        <v>34</v>
      </c>
      <c r="Q254" s="22"/>
      <c r="R254" s="23" t="s">
        <v>153</v>
      </c>
      <c r="S254" s="22">
        <f>VLOOKUP(R254,AC$2:AD$1905,2,FALSE)</f>
        <v>0.56999999999999995</v>
      </c>
      <c r="T254" s="24">
        <f>(H254*I254)+P254*Q254+S254*K254</f>
        <v>0</v>
      </c>
      <c r="U254" s="25">
        <f>IF(TRIM(N254&amp;"")="111444",
    IF(ROUNDUP(MAX(0,K254-(MAX(1,Q254)-1)*10)/10,0)=1,3,2),
    IF(TRIM(N254&amp;"")="VWPAL",
        IF(TRIM(R254&amp;"")="004147",1,2),
        ""
    )
)</f>
        <v>2</v>
      </c>
      <c r="V254" s="26" t="str">
        <f>IF(OR(TRIM(N254&amp;"")="111444",TRIM(N254&amp;"")="VWPAL"),
    IF(K254&lt;=0,"",
        IF(
            MIN(3,ROUNDUP(MAX(0,K254-(MAX(1,Q254)-1)*IF(TRIM(N254&amp;"")="111444",10,20))/IF(TRIM(N254&amp;"")="111444",10,20),0))=1,
            300,
            IF(
                MIN(3,ROUNDUP(MAX(0,K254-(MAX(1,Q254)-1)*IF(TRIM(N254&amp;"")="111444",10,20))/IF(TRIM(N254&amp;"")="111444",10,20),0))=2,
                450,
                600
            )
        )
    ),
    ""
)</f>
        <v/>
      </c>
    </row>
    <row r="255" spans="1:22" ht="48.2" customHeight="1" x14ac:dyDescent="0.25">
      <c r="A255" s="17" t="str">
        <f>VLOOKUP(C255,[1]Werke!$A$1:$C$168,3,0)</f>
        <v>RC</v>
      </c>
      <c r="B255" s="17" t="str">
        <f>VLOOKUP(C255,[1]Werke!$A$1:$C$168,2,0)</f>
        <v>CKD</v>
      </c>
      <c r="C255" s="18" t="s">
        <v>256</v>
      </c>
      <c r="D255" s="17" t="str">
        <f>VLOOKUP(C255,[1]Maliteslimalan!$A$1:$B$210,2,0)</f>
        <v>8000012593</v>
      </c>
      <c r="E255" s="19" t="str">
        <f>VLOOKUP(C255,[1]Bestellnr.!$A$1:$B$174,2,0)</f>
        <v>000006</v>
      </c>
      <c r="F255" s="20" t="str">
        <f>VLOOKUP(G255,$U$1:$V$1730,2,0)</f>
        <v>N   913 036 01</v>
      </c>
      <c r="G255" s="21">
        <v>100417700</v>
      </c>
      <c r="H255" s="17">
        <f>VLOOKUP(G255,Z$2:AA$1905,2,FALSE)</f>
        <v>1.5800000000000002E-2</v>
      </c>
      <c r="I255" s="20"/>
      <c r="J255" s="17" t="str">
        <f>VLOOKUP(G255,W$2:X$1905,2,FALSE)</f>
        <v>600</v>
      </c>
      <c r="K255" s="17">
        <f>I255/J255</f>
        <v>0</v>
      </c>
      <c r="L255" s="22">
        <v>10</v>
      </c>
      <c r="M255" s="22">
        <v>30</v>
      </c>
      <c r="N255" s="22" t="s">
        <v>155</v>
      </c>
      <c r="O255" s="22" t="str">
        <f>VLOOKUP(N255,$AL$1285:$AM$1310,2,FALSE)</f>
        <v>001210</v>
      </c>
      <c r="P255" s="22">
        <f>VLOOKUP(N255,AC$2:AD$1905,2,FALSE)</f>
        <v>55</v>
      </c>
      <c r="Q255" s="22"/>
      <c r="R255" s="23" t="s">
        <v>175</v>
      </c>
      <c r="S255" s="22">
        <f>VLOOKUP(R255,AC$2:AD$1905,2,FALSE)</f>
        <v>1.08</v>
      </c>
      <c r="T255" s="24">
        <f>(H255*I255)+P255*Q255+S255*K255</f>
        <v>0</v>
      </c>
      <c r="U255" s="25">
        <f>IF(TRIM(N255&amp;"")="111444",
    IF(ROUNDUP(MAX(0,K255-(MAX(1,Q255)-1)*10)/10,0)=1,3,2),
    IF(TRIM(N255&amp;"")="VWPAL",
        IF(TRIM(R255&amp;"")="004147",1,2),
        ""
    )
)</f>
        <v>1</v>
      </c>
      <c r="V255" s="26" t="str">
        <f>IF(OR(TRIM(N255&amp;"")="111444",TRIM(N255&amp;"")="VWPAL"),
    IF(K255&lt;=0,"",
        IF(
            MIN(3,ROUNDUP(MAX(0,K255-(MAX(1,Q255)-1)*IF(TRIM(N255&amp;"")="111444",10,20))/IF(TRIM(N255&amp;"")="111444",10,20),0))=1,
            300,
            IF(
                MIN(3,ROUNDUP(MAX(0,K255-(MAX(1,Q255)-1)*IF(TRIM(N255&amp;"")="111444",10,20))/IF(TRIM(N255&amp;"")="111444",10,20),0))=2,
                450,
                600
            )
        )
    ),
    ""
)</f>
        <v/>
      </c>
    </row>
    <row r="256" spans="1:22" ht="48.2" customHeight="1" x14ac:dyDescent="0.25">
      <c r="A256" s="17"/>
      <c r="B256" s="17"/>
      <c r="C256" s="18"/>
      <c r="D256" s="17"/>
      <c r="E256" s="19"/>
      <c r="F256" s="20"/>
      <c r="G256" s="21"/>
      <c r="H256" s="17"/>
      <c r="I256" s="20"/>
      <c r="J256" s="17"/>
      <c r="K256" s="17"/>
      <c r="L256" s="22"/>
      <c r="M256" s="22"/>
      <c r="N256" s="22"/>
      <c r="O256" s="22"/>
      <c r="P256" s="22"/>
      <c r="Q256" s="22"/>
      <c r="R256" s="23"/>
      <c r="S256" s="22"/>
      <c r="T256" s="24"/>
      <c r="U256" s="25"/>
    </row>
    <row r="257" spans="1:22" ht="48.2" customHeight="1" x14ac:dyDescent="0.25">
      <c r="A257" s="17">
        <f>VLOOKUP(C257,[1]Werke!$A$1:$C$168,3,0)</f>
        <v>21</v>
      </c>
      <c r="B257" s="17" t="str">
        <f>VLOOKUP(C257,[1]Werke!$A$1:$C$168,2,0)</f>
        <v>GZD</v>
      </c>
      <c r="C257" s="18" t="s">
        <v>223</v>
      </c>
      <c r="D257" s="17" t="str">
        <f>VLOOKUP(C257,[1]Maliteslimalan!$A$1:$B$210,2,0)</f>
        <v>8000012572</v>
      </c>
      <c r="E257" s="19" t="str">
        <f>VLOOKUP(C257,[1]Bestellnr.!$A$1:$B$174,2,0)</f>
        <v>000006</v>
      </c>
      <c r="F257" s="20" t="str">
        <f t="shared" ref="F257:F272" si="141">VLOOKUP(G257,$U$1:$V$1730,2,0)</f>
        <v>N   909 293 03</v>
      </c>
      <c r="G257" s="21">
        <v>969062000</v>
      </c>
      <c r="H257" s="17">
        <f t="shared" ref="H257:H272" si="142">VLOOKUP(G257,Z$2:AA$1905,2,FALSE)</f>
        <v>1.388E-2</v>
      </c>
      <c r="I257" s="20"/>
      <c r="J257" s="17">
        <f t="shared" ref="J257:J272" si="143">VLOOKUP(G257,W$2:X$1905,2,FALSE)</f>
        <v>1000</v>
      </c>
      <c r="K257" s="17">
        <f t="shared" ref="K257:K272" si="144">I257/J257</f>
        <v>0</v>
      </c>
      <c r="L257" s="22">
        <v>20</v>
      </c>
      <c r="M257" s="22">
        <v>60</v>
      </c>
      <c r="N257" s="22" t="s">
        <v>155</v>
      </c>
      <c r="O257" s="22" t="str">
        <f t="shared" ref="O257:O272" si="145">VLOOKUP(N257,$AL$1285:$AM$1310,2,FALSE)</f>
        <v>001210</v>
      </c>
      <c r="P257" s="22">
        <f t="shared" ref="P257:P272" si="146">VLOOKUP(N257,AC$2:AD$1905,2,FALSE)</f>
        <v>55</v>
      </c>
      <c r="Q257" s="22"/>
      <c r="R257" s="23" t="s">
        <v>153</v>
      </c>
      <c r="S257" s="22">
        <f t="shared" ref="S257:S272" si="147">VLOOKUP(R257,AC$2:AD$1905,2,FALSE)</f>
        <v>0.56999999999999995</v>
      </c>
      <c r="T257" s="24">
        <f t="shared" ref="T257:T272" si="148">(H257*I257)+P257*Q257+S257*K257</f>
        <v>0</v>
      </c>
      <c r="U257" s="25">
        <f t="shared" ref="U257:U272" si="149">IF(TRIM(N257&amp;"")="111444",
    IF(ROUNDUP(MAX(0,K257-(MAX(1,Q257)-1)*10)/10,0)=1,3,2),
    IF(TRIM(N257&amp;"")="VWPAL",
        IF(TRIM(R257&amp;"")="004147",1,2),
        ""
    )
)</f>
        <v>2</v>
      </c>
      <c r="V257" s="26" t="str">
        <f t="shared" ref="V257:V272" si="150">IF(OR(TRIM(N257&amp;"")="111444",TRIM(N257&amp;"")="VWPAL"),
    IF(K257&lt;=0,"",
        IF(
            MIN(3,ROUNDUP(MAX(0,K257-(MAX(1,Q257)-1)*IF(TRIM(N257&amp;"")="111444",10,20))/IF(TRIM(N257&amp;"")="111444",10,20),0))=1,
            300,
            IF(
                MIN(3,ROUNDUP(MAX(0,K257-(MAX(1,Q257)-1)*IF(TRIM(N257&amp;"")="111444",10,20))/IF(TRIM(N257&amp;"")="111444",10,20),0))=2,
                450,
                600
            )
        )
    ),
    ""
)</f>
        <v/>
      </c>
    </row>
    <row r="258" spans="1:22" ht="48.2" customHeight="1" x14ac:dyDescent="0.25">
      <c r="A258" s="17">
        <f>VLOOKUP(C258,[1]Werke!$A$1:$C$168,3,0)</f>
        <v>43</v>
      </c>
      <c r="B258" s="17" t="str">
        <f>VLOOKUP(C258,[1]Werke!$A$1:$C$168,2,0)</f>
        <v>BGG</v>
      </c>
      <c r="C258" s="18" t="s">
        <v>259</v>
      </c>
      <c r="D258" s="17" t="str">
        <f>VLOOKUP(C258,[1]Maliteslimalan!$A$1:$B$210,2,0)</f>
        <v>8000012671</v>
      </c>
      <c r="E258" s="19" t="str">
        <f>VLOOKUP(C258,[1]Bestellnr.!$A$1:$B$174,2,0)</f>
        <v>000006</v>
      </c>
      <c r="F258" s="20" t="str">
        <f t="shared" si="141"/>
        <v>N   909 293 03</v>
      </c>
      <c r="G258" s="21">
        <v>969062000</v>
      </c>
      <c r="H258" s="17">
        <f t="shared" si="142"/>
        <v>1.388E-2</v>
      </c>
      <c r="I258" s="20"/>
      <c r="J258" s="17">
        <f t="shared" si="143"/>
        <v>1000</v>
      </c>
      <c r="K258" s="17">
        <f t="shared" si="144"/>
        <v>0</v>
      </c>
      <c r="L258" s="22">
        <v>20</v>
      </c>
      <c r="M258" s="22">
        <v>20</v>
      </c>
      <c r="N258" s="22" t="s">
        <v>155</v>
      </c>
      <c r="O258" s="22" t="str">
        <f t="shared" si="145"/>
        <v>001210</v>
      </c>
      <c r="P258" s="22">
        <f t="shared" si="146"/>
        <v>55</v>
      </c>
      <c r="Q258" s="22"/>
      <c r="R258" s="23" t="s">
        <v>153</v>
      </c>
      <c r="S258" s="22">
        <f t="shared" si="147"/>
        <v>0.56999999999999995</v>
      </c>
      <c r="T258" s="24">
        <f t="shared" si="148"/>
        <v>0</v>
      </c>
      <c r="U258" s="25">
        <f t="shared" si="149"/>
        <v>2</v>
      </c>
      <c r="V258" s="26" t="str">
        <f t="shared" si="150"/>
        <v/>
      </c>
    </row>
    <row r="259" spans="1:22" ht="48.2" customHeight="1" x14ac:dyDescent="0.25">
      <c r="A259" s="17" t="str">
        <f>VLOOKUP(C259,[1]Werke!$A$1:$C$168,3,0)</f>
        <v>14S</v>
      </c>
      <c r="B259" s="17" t="str">
        <f>VLOOKUP(C259,[1]Werke!$A$1:$C$168,2,0)</f>
        <v>EX6</v>
      </c>
      <c r="C259" s="18" t="s">
        <v>260</v>
      </c>
      <c r="D259" s="17" t="str">
        <f>VLOOKUP(C259,[1]Maliteslimalan!$A$1:$B$210,2,0)</f>
        <v>8000014196</v>
      </c>
      <c r="E259" s="19" t="str">
        <f>VLOOKUP(C259,[1]Bestellnr.!$A$1:$B$174,2,0)</f>
        <v>000006</v>
      </c>
      <c r="F259" s="20" t="str">
        <f t="shared" si="141"/>
        <v>N   909 293 03</v>
      </c>
      <c r="G259" s="21">
        <v>969062000</v>
      </c>
      <c r="H259" s="17">
        <f t="shared" si="142"/>
        <v>1.388E-2</v>
      </c>
      <c r="I259" s="20"/>
      <c r="J259" s="17">
        <f t="shared" si="143"/>
        <v>1000</v>
      </c>
      <c r="K259" s="17">
        <f t="shared" si="144"/>
        <v>0</v>
      </c>
      <c r="L259" s="22">
        <v>10</v>
      </c>
      <c r="M259" s="22">
        <v>40</v>
      </c>
      <c r="N259" s="22" t="s">
        <v>155</v>
      </c>
      <c r="O259" s="22" t="str">
        <f t="shared" si="145"/>
        <v>001210</v>
      </c>
      <c r="P259" s="22">
        <f t="shared" si="146"/>
        <v>55</v>
      </c>
      <c r="Q259" s="22"/>
      <c r="R259" s="23" t="s">
        <v>175</v>
      </c>
      <c r="S259" s="22">
        <f t="shared" si="147"/>
        <v>1.08</v>
      </c>
      <c r="T259" s="24">
        <f t="shared" si="148"/>
        <v>0</v>
      </c>
      <c r="U259" s="25">
        <f t="shared" si="149"/>
        <v>1</v>
      </c>
      <c r="V259" s="26" t="str">
        <f t="shared" si="150"/>
        <v/>
      </c>
    </row>
    <row r="260" spans="1:22" ht="48.2" customHeight="1" x14ac:dyDescent="0.25">
      <c r="A260" s="17">
        <f>VLOOKUP(C260,[1]Werke!$A$1:$C$168,3,0)</f>
        <v>31</v>
      </c>
      <c r="B260" s="17" t="str">
        <f>VLOOKUP(C260,[1]Werke!$A$1:$C$168,2,0)</f>
        <v>B62</v>
      </c>
      <c r="C260" s="18">
        <v>10362</v>
      </c>
      <c r="D260" s="17" t="str">
        <f>VLOOKUP(C260,[1]Maliteslimalan!$A$1:$B$210,2,0)</f>
        <v>8000012742</v>
      </c>
      <c r="E260" s="19">
        <v>6</v>
      </c>
      <c r="F260" s="20" t="str">
        <f t="shared" si="141"/>
        <v>N   909 293 03</v>
      </c>
      <c r="G260" s="21">
        <v>969062000</v>
      </c>
      <c r="H260" s="17">
        <f t="shared" si="142"/>
        <v>1.388E-2</v>
      </c>
      <c r="I260" s="20"/>
      <c r="J260" s="17">
        <f t="shared" si="143"/>
        <v>1000</v>
      </c>
      <c r="K260" s="17">
        <f t="shared" si="144"/>
        <v>0</v>
      </c>
      <c r="L260" s="22">
        <v>10</v>
      </c>
      <c r="M260" s="22">
        <v>10</v>
      </c>
      <c r="N260" s="22">
        <v>111444</v>
      </c>
      <c r="O260" s="22" t="str">
        <f t="shared" si="145"/>
        <v>001006</v>
      </c>
      <c r="P260" s="22">
        <f t="shared" si="146"/>
        <v>34</v>
      </c>
      <c r="Q260" s="22"/>
      <c r="R260" s="23" t="s">
        <v>153</v>
      </c>
      <c r="S260" s="22">
        <f t="shared" si="147"/>
        <v>0.56999999999999995</v>
      </c>
      <c r="T260" s="24">
        <f t="shared" si="148"/>
        <v>0</v>
      </c>
      <c r="U260" s="25">
        <f t="shared" si="149"/>
        <v>2</v>
      </c>
      <c r="V260" s="26" t="str">
        <f t="shared" si="150"/>
        <v/>
      </c>
    </row>
    <row r="261" spans="1:22" ht="48.2" customHeight="1" x14ac:dyDescent="0.25">
      <c r="A261" s="17">
        <f>VLOOKUP(C261,[1]Werke!$A$1:$C$168,3,0)</f>
        <v>49</v>
      </c>
      <c r="B261" s="17" t="str">
        <f>VLOOKUP(C261,[1]Werke!$A$1:$C$168,2,0)</f>
        <v>CT</v>
      </c>
      <c r="C261" s="18" t="s">
        <v>217</v>
      </c>
      <c r="D261" s="17" t="str">
        <f>VLOOKUP(C261,[1]Maliteslimalan!$A$1:$B$210,2,0)</f>
        <v>8000012574</v>
      </c>
      <c r="E261" s="19" t="str">
        <f>VLOOKUP(C261,[1]Bestellnr.!$A$1:$B$174,2,0)</f>
        <v>000001</v>
      </c>
      <c r="F261" s="20" t="str">
        <f t="shared" si="141"/>
        <v>N   909 293 03</v>
      </c>
      <c r="G261" s="21">
        <v>969062000</v>
      </c>
      <c r="H261" s="17">
        <f t="shared" si="142"/>
        <v>1.388E-2</v>
      </c>
      <c r="I261" s="20"/>
      <c r="J261" s="17">
        <f t="shared" si="143"/>
        <v>1000</v>
      </c>
      <c r="K261" s="17">
        <f t="shared" si="144"/>
        <v>0</v>
      </c>
      <c r="L261" s="22">
        <v>20</v>
      </c>
      <c r="M261" s="22">
        <v>20</v>
      </c>
      <c r="N261" s="22" t="s">
        <v>155</v>
      </c>
      <c r="O261" s="22" t="str">
        <f t="shared" si="145"/>
        <v>001210</v>
      </c>
      <c r="P261" s="22">
        <f t="shared" si="146"/>
        <v>55</v>
      </c>
      <c r="Q261" s="22"/>
      <c r="R261" s="23" t="s">
        <v>153</v>
      </c>
      <c r="S261" s="22">
        <f t="shared" si="147"/>
        <v>0.56999999999999995</v>
      </c>
      <c r="T261" s="24">
        <f t="shared" si="148"/>
        <v>0</v>
      </c>
      <c r="U261" s="25">
        <f t="shared" si="149"/>
        <v>2</v>
      </c>
      <c r="V261" s="26" t="str">
        <f t="shared" si="150"/>
        <v/>
      </c>
    </row>
    <row r="262" spans="1:22" ht="48.2" customHeight="1" x14ac:dyDescent="0.25">
      <c r="A262" s="17">
        <f>VLOOKUP(C262,[1]Werke!$A$1:$C$168,3,0)</f>
        <v>41</v>
      </c>
      <c r="B262" s="17" t="str">
        <f>VLOOKUP(C262,[1]Werke!$A$1:$C$168,2,0)</f>
        <v>T05</v>
      </c>
      <c r="C262" s="18" t="s">
        <v>261</v>
      </c>
      <c r="D262" s="17" t="str">
        <f>VLOOKUP(C262,[1]Maliteslimalan!$A$1:$B$210,2,0)</f>
        <v>8000012775</v>
      </c>
      <c r="E262" s="19" t="str">
        <f>VLOOKUP(C262,[1]Bestellnr.!$A$1:$B$174,2,0)</f>
        <v>000001</v>
      </c>
      <c r="F262" s="20" t="str">
        <f t="shared" si="141"/>
        <v>N   909 293 03</v>
      </c>
      <c r="G262" s="21">
        <v>969062000</v>
      </c>
      <c r="H262" s="17">
        <f t="shared" si="142"/>
        <v>1.388E-2</v>
      </c>
      <c r="I262" s="20"/>
      <c r="J262" s="17">
        <f t="shared" si="143"/>
        <v>1000</v>
      </c>
      <c r="K262" s="17">
        <f t="shared" si="144"/>
        <v>0</v>
      </c>
      <c r="L262" s="22">
        <v>10</v>
      </c>
      <c r="M262" s="22">
        <v>10</v>
      </c>
      <c r="N262" s="22">
        <v>111444</v>
      </c>
      <c r="O262" s="22" t="str">
        <f t="shared" si="145"/>
        <v>001006</v>
      </c>
      <c r="P262" s="22">
        <f t="shared" si="146"/>
        <v>34</v>
      </c>
      <c r="Q262" s="22"/>
      <c r="R262" s="23" t="s">
        <v>153</v>
      </c>
      <c r="S262" s="22">
        <f t="shared" si="147"/>
        <v>0.56999999999999995</v>
      </c>
      <c r="T262" s="24">
        <f t="shared" si="148"/>
        <v>0</v>
      </c>
      <c r="U262" s="25">
        <f t="shared" si="149"/>
        <v>2</v>
      </c>
      <c r="V262" s="26" t="str">
        <f t="shared" si="150"/>
        <v/>
      </c>
    </row>
    <row r="263" spans="1:22" ht="48.2" customHeight="1" x14ac:dyDescent="0.25">
      <c r="A263" s="17" t="str">
        <f>VLOOKUP(C263,[1]Werke!$A$1:$C$168,3,0)</f>
        <v>HT</v>
      </c>
      <c r="B263" s="17">
        <f>VLOOKUP(C263,[1]Werke!$A$1:$C$168,2,0)</f>
        <v>34</v>
      </c>
      <c r="C263" s="18">
        <v>80245</v>
      </c>
      <c r="D263" s="17">
        <f>VLOOKUP(C263,[1]Maliteslimalan!$A$1:$B$210,2,0)</f>
        <v>8000012604</v>
      </c>
      <c r="E263" s="19">
        <v>6</v>
      </c>
      <c r="F263" s="20" t="str">
        <f t="shared" si="141"/>
        <v>N   909 293 03</v>
      </c>
      <c r="G263" s="21">
        <v>969062000</v>
      </c>
      <c r="H263" s="17">
        <f t="shared" si="142"/>
        <v>1.388E-2</v>
      </c>
      <c r="I263" s="20"/>
      <c r="J263" s="17">
        <f t="shared" si="143"/>
        <v>1000</v>
      </c>
      <c r="K263" s="17">
        <f t="shared" si="144"/>
        <v>0</v>
      </c>
      <c r="L263" s="22">
        <v>20</v>
      </c>
      <c r="M263" s="22">
        <v>20</v>
      </c>
      <c r="N263" s="22" t="s">
        <v>155</v>
      </c>
      <c r="O263" s="22" t="str">
        <f t="shared" si="145"/>
        <v>001210</v>
      </c>
      <c r="P263" s="22">
        <f t="shared" si="146"/>
        <v>55</v>
      </c>
      <c r="Q263" s="22"/>
      <c r="R263" s="23" t="s">
        <v>153</v>
      </c>
      <c r="S263" s="22">
        <f t="shared" si="147"/>
        <v>0.56999999999999995</v>
      </c>
      <c r="T263" s="24">
        <f t="shared" si="148"/>
        <v>0</v>
      </c>
      <c r="U263" s="25">
        <f t="shared" si="149"/>
        <v>2</v>
      </c>
      <c r="V263" s="26" t="str">
        <f t="shared" si="150"/>
        <v/>
      </c>
    </row>
    <row r="264" spans="1:22" ht="48.2" customHeight="1" x14ac:dyDescent="0.25">
      <c r="A264" s="17" t="str">
        <f>VLOOKUP(C264,[1]Werke!$A$1:$C$168,3,0)</f>
        <v>LD</v>
      </c>
      <c r="B264" s="17" t="str">
        <f>VLOOKUP(C264,[1]Werke!$A$1:$C$168,2,0)</f>
        <v>SLD</v>
      </c>
      <c r="C264" s="18">
        <v>83630</v>
      </c>
      <c r="D264" s="17" t="str">
        <f>VLOOKUP(C264,[1]Maliteslimalan!$A$1:$B$210,2,0)</f>
        <v>8000012862</v>
      </c>
      <c r="E264" s="19" t="str">
        <f>VLOOKUP(C264,[1]Bestellnr.!$A$1:$B$174,2,0)</f>
        <v>000006</v>
      </c>
      <c r="F264" s="20" t="str">
        <f t="shared" si="141"/>
        <v>N   909 293 03</v>
      </c>
      <c r="G264" s="21">
        <v>969062000</v>
      </c>
      <c r="H264" s="17">
        <f t="shared" si="142"/>
        <v>1.388E-2</v>
      </c>
      <c r="I264" s="20"/>
      <c r="J264" s="17">
        <f t="shared" si="143"/>
        <v>1000</v>
      </c>
      <c r="K264" s="17">
        <f t="shared" si="144"/>
        <v>0</v>
      </c>
      <c r="L264" s="22">
        <v>10</v>
      </c>
      <c r="M264" s="22">
        <v>30</v>
      </c>
      <c r="N264" s="22">
        <v>111444</v>
      </c>
      <c r="O264" s="22" t="str">
        <f t="shared" si="145"/>
        <v>001006</v>
      </c>
      <c r="P264" s="22">
        <f t="shared" si="146"/>
        <v>34</v>
      </c>
      <c r="Q264" s="22"/>
      <c r="R264" s="23" t="s">
        <v>153</v>
      </c>
      <c r="S264" s="22">
        <f t="shared" si="147"/>
        <v>0.56999999999999995</v>
      </c>
      <c r="T264" s="24">
        <f t="shared" si="148"/>
        <v>0</v>
      </c>
      <c r="U264" s="25">
        <f t="shared" si="149"/>
        <v>2</v>
      </c>
      <c r="V264" s="26" t="str">
        <f t="shared" si="150"/>
        <v/>
      </c>
    </row>
    <row r="265" spans="1:22" ht="48.2" customHeight="1" x14ac:dyDescent="0.25">
      <c r="A265" s="17" t="str">
        <f>VLOOKUP(C265,[1]Werke!$A$1:$C$168,3,0)</f>
        <v>16D</v>
      </c>
      <c r="B265" s="17">
        <f>VLOOKUP(C265,[1]Werke!$A$1:$C$168,2,0)</f>
        <v>501</v>
      </c>
      <c r="C265" s="18" t="s">
        <v>262</v>
      </c>
      <c r="D265" s="17" t="str">
        <f>VLOOKUP(C265,[1]Maliteslimalan!$A$1:$B$210,2,0)</f>
        <v>8000012876</v>
      </c>
      <c r="E265" s="19">
        <f>VLOOKUP(C265,[1]Bestellnr.!$A$1:$B$174,2,0)</f>
        <v>0</v>
      </c>
      <c r="F265" s="20" t="str">
        <f t="shared" si="141"/>
        <v>N   909 293 03</v>
      </c>
      <c r="G265" s="21">
        <v>969062000</v>
      </c>
      <c r="H265" s="17">
        <f t="shared" si="142"/>
        <v>1.388E-2</v>
      </c>
      <c r="I265" s="20"/>
      <c r="J265" s="17">
        <f t="shared" si="143"/>
        <v>1000</v>
      </c>
      <c r="K265" s="17">
        <f t="shared" si="144"/>
        <v>0</v>
      </c>
      <c r="L265" s="22">
        <v>10</v>
      </c>
      <c r="M265" s="22">
        <v>10</v>
      </c>
      <c r="N265" s="22">
        <v>111444</v>
      </c>
      <c r="O265" s="22" t="str">
        <f t="shared" si="145"/>
        <v>001006</v>
      </c>
      <c r="P265" s="22">
        <f t="shared" si="146"/>
        <v>34</v>
      </c>
      <c r="Q265" s="22"/>
      <c r="R265" s="23" t="s">
        <v>153</v>
      </c>
      <c r="S265" s="22">
        <f t="shared" si="147"/>
        <v>0.56999999999999995</v>
      </c>
      <c r="T265" s="24">
        <f t="shared" si="148"/>
        <v>0</v>
      </c>
      <c r="U265" s="25">
        <f t="shared" si="149"/>
        <v>2</v>
      </c>
      <c r="V265" s="26" t="str">
        <f t="shared" si="150"/>
        <v/>
      </c>
    </row>
    <row r="266" spans="1:22" ht="48.2" customHeight="1" x14ac:dyDescent="0.25">
      <c r="A266" s="17">
        <f>VLOOKUP(C266,[1]Werke!$A$1:$C$168,3,0)</f>
        <v>11</v>
      </c>
      <c r="B266" s="17" t="str">
        <f>VLOOKUP(C266,[1]Werke!$A$1:$C$168,2,0)</f>
        <v>03A</v>
      </c>
      <c r="C266" s="18" t="s">
        <v>263</v>
      </c>
      <c r="D266" s="17" t="str">
        <f>VLOOKUP(C266,[1]Maliteslimalan!$A$1:$B$210,2,0)</f>
        <v>8000012567</v>
      </c>
      <c r="E266" s="19" t="str">
        <f>VLOOKUP(C266,[1]Bestellnr.!$A$1:$B$174,2,0)</f>
        <v>000006</v>
      </c>
      <c r="F266" s="20" t="str">
        <f t="shared" si="141"/>
        <v>N   909 293 03</v>
      </c>
      <c r="G266" s="21">
        <v>969062000</v>
      </c>
      <c r="H266" s="17">
        <f t="shared" si="142"/>
        <v>1.388E-2</v>
      </c>
      <c r="I266" s="20"/>
      <c r="J266" s="17">
        <f t="shared" si="143"/>
        <v>1000</v>
      </c>
      <c r="K266" s="17">
        <f t="shared" si="144"/>
        <v>0</v>
      </c>
      <c r="L266" s="22">
        <v>20</v>
      </c>
      <c r="M266" s="22">
        <v>60</v>
      </c>
      <c r="N266" s="22" t="s">
        <v>155</v>
      </c>
      <c r="O266" s="22" t="str">
        <f t="shared" si="145"/>
        <v>001210</v>
      </c>
      <c r="P266" s="22">
        <f t="shared" si="146"/>
        <v>55</v>
      </c>
      <c r="Q266" s="22"/>
      <c r="R266" s="23" t="s">
        <v>153</v>
      </c>
      <c r="S266" s="22">
        <f t="shared" si="147"/>
        <v>0.56999999999999995</v>
      </c>
      <c r="T266" s="24">
        <f t="shared" si="148"/>
        <v>0</v>
      </c>
      <c r="U266" s="25">
        <f t="shared" si="149"/>
        <v>2</v>
      </c>
      <c r="V266" s="26" t="str">
        <f t="shared" si="150"/>
        <v/>
      </c>
    </row>
    <row r="267" spans="1:22" ht="48.2" customHeight="1" x14ac:dyDescent="0.25">
      <c r="A267" s="17">
        <f>VLOOKUP(C267,[1]Werke!$A$1:$C$168,3,0)</f>
        <v>12</v>
      </c>
      <c r="B267" s="17" t="str">
        <f>VLOOKUP(C267,[1]Werke!$A$1:$C$168,2,0)</f>
        <v>U4</v>
      </c>
      <c r="C267" s="18" t="s">
        <v>264</v>
      </c>
      <c r="D267" s="17" t="str">
        <f>VLOOKUP(C267,[1]Maliteslimalan!$A$1:$B$210,2,0)</f>
        <v>8000012898</v>
      </c>
      <c r="E267" s="19" t="str">
        <f>VLOOKUP(C267,[1]Bestellnr.!$A$1:$B$174,2,0)</f>
        <v>000006</v>
      </c>
      <c r="F267" s="20" t="str">
        <f t="shared" si="141"/>
        <v>N   909 293 03</v>
      </c>
      <c r="G267" s="21">
        <v>969062000</v>
      </c>
      <c r="H267" s="17">
        <f t="shared" si="142"/>
        <v>1.388E-2</v>
      </c>
      <c r="I267" s="20"/>
      <c r="J267" s="17">
        <f t="shared" si="143"/>
        <v>1000</v>
      </c>
      <c r="K267" s="17">
        <f t="shared" si="144"/>
        <v>0</v>
      </c>
      <c r="L267" s="22">
        <v>10</v>
      </c>
      <c r="M267" s="22">
        <v>10</v>
      </c>
      <c r="N267" s="22">
        <v>111444</v>
      </c>
      <c r="O267" s="22" t="str">
        <f t="shared" si="145"/>
        <v>001006</v>
      </c>
      <c r="P267" s="22">
        <f t="shared" si="146"/>
        <v>34</v>
      </c>
      <c r="Q267" s="22"/>
      <c r="R267" s="23" t="s">
        <v>153</v>
      </c>
      <c r="S267" s="22">
        <f t="shared" si="147"/>
        <v>0.56999999999999995</v>
      </c>
      <c r="T267" s="24">
        <f t="shared" si="148"/>
        <v>0</v>
      </c>
      <c r="U267" s="25">
        <f t="shared" si="149"/>
        <v>2</v>
      </c>
      <c r="V267" s="26" t="str">
        <f t="shared" si="150"/>
        <v/>
      </c>
    </row>
    <row r="268" spans="1:22" ht="48.2" customHeight="1" x14ac:dyDescent="0.25">
      <c r="A268" s="17">
        <f>VLOOKUP(C268,[1]Werke!$A$1:$C$168,3,0)</f>
        <v>28</v>
      </c>
      <c r="B268" s="17" t="str">
        <f>VLOOKUP(C268,[1]Werke!$A$1:$C$168,2,0)</f>
        <v>S1</v>
      </c>
      <c r="C268" s="18" t="s">
        <v>265</v>
      </c>
      <c r="D268" s="17" t="str">
        <f>VLOOKUP(C268,[1]Maliteslimalan!$A$1:$B$210,2,0)</f>
        <v>8000012907</v>
      </c>
      <c r="E268" s="19" t="str">
        <f>VLOOKUP(C268,[1]Bestellnr.!$A$1:$B$174,2,0)</f>
        <v>000006</v>
      </c>
      <c r="F268" s="20" t="str">
        <f t="shared" si="141"/>
        <v>N   909 293 03</v>
      </c>
      <c r="G268" s="21">
        <v>969062000</v>
      </c>
      <c r="H268" s="17">
        <f t="shared" si="142"/>
        <v>1.388E-2</v>
      </c>
      <c r="I268" s="20"/>
      <c r="J268" s="17">
        <f t="shared" si="143"/>
        <v>1000</v>
      </c>
      <c r="K268" s="17">
        <f t="shared" si="144"/>
        <v>0</v>
      </c>
      <c r="L268" s="22">
        <v>10</v>
      </c>
      <c r="M268" s="22">
        <v>20</v>
      </c>
      <c r="N268" s="22">
        <v>111444</v>
      </c>
      <c r="O268" s="22" t="str">
        <f t="shared" si="145"/>
        <v>001006</v>
      </c>
      <c r="P268" s="22">
        <f t="shared" si="146"/>
        <v>34</v>
      </c>
      <c r="Q268" s="22"/>
      <c r="R268" s="23" t="s">
        <v>153</v>
      </c>
      <c r="S268" s="22">
        <f t="shared" si="147"/>
        <v>0.56999999999999995</v>
      </c>
      <c r="T268" s="24">
        <f t="shared" si="148"/>
        <v>0</v>
      </c>
      <c r="U268" s="25">
        <f t="shared" si="149"/>
        <v>2</v>
      </c>
      <c r="V268" s="26" t="str">
        <f t="shared" si="150"/>
        <v/>
      </c>
    </row>
    <row r="269" spans="1:22" ht="48.2" customHeight="1" x14ac:dyDescent="0.25">
      <c r="A269" s="17">
        <f>VLOOKUP(C269,[1]Werke!$A$1:$C$168,3,0)</f>
        <v>33</v>
      </c>
      <c r="B269" s="17" t="str">
        <f>VLOOKUP(C269,[1]Werke!$A$1:$C$168,2,0)</f>
        <v>HM7</v>
      </c>
      <c r="C269" s="18" t="s">
        <v>266</v>
      </c>
      <c r="D269" s="17" t="str">
        <f>VLOOKUP(C269,[1]Maliteslimalan!$A$1:$B$210,2,0)</f>
        <v>8000012724</v>
      </c>
      <c r="E269" s="19" t="str">
        <f>VLOOKUP(C269,[1]Bestellnr.!$A$1:$B$174,2,0)</f>
        <v>000055</v>
      </c>
      <c r="F269" s="20" t="str">
        <f t="shared" si="141"/>
        <v>N   909 293 03</v>
      </c>
      <c r="G269" s="21">
        <v>969062000</v>
      </c>
      <c r="H269" s="17">
        <f t="shared" si="142"/>
        <v>1.388E-2</v>
      </c>
      <c r="I269" s="20"/>
      <c r="J269" s="17">
        <f t="shared" si="143"/>
        <v>1000</v>
      </c>
      <c r="K269" s="17">
        <f t="shared" si="144"/>
        <v>0</v>
      </c>
      <c r="L269" s="22">
        <v>10</v>
      </c>
      <c r="M269" s="22">
        <v>10</v>
      </c>
      <c r="N269" s="22">
        <v>111444</v>
      </c>
      <c r="O269" s="22" t="str">
        <f t="shared" si="145"/>
        <v>001006</v>
      </c>
      <c r="P269" s="22">
        <f t="shared" si="146"/>
        <v>34</v>
      </c>
      <c r="Q269" s="22"/>
      <c r="R269" s="23" t="s">
        <v>153</v>
      </c>
      <c r="S269" s="22">
        <f t="shared" si="147"/>
        <v>0.56999999999999995</v>
      </c>
      <c r="T269" s="24">
        <f t="shared" si="148"/>
        <v>0</v>
      </c>
      <c r="U269" s="25">
        <f t="shared" si="149"/>
        <v>2</v>
      </c>
      <c r="V269" s="26" t="str">
        <f t="shared" si="150"/>
        <v/>
      </c>
    </row>
    <row r="270" spans="1:22" ht="48.2" customHeight="1" x14ac:dyDescent="0.25">
      <c r="A270" s="17" t="str">
        <f>VLOOKUP(C270,[1]Werke!$A$1:$C$168,3,0)</f>
        <v>09</v>
      </c>
      <c r="B270" s="17" t="str">
        <f>VLOOKUP(C270,[1]Werke!$A$1:$C$168,2,0)</f>
        <v>1B</v>
      </c>
      <c r="C270" s="18">
        <v>90420</v>
      </c>
      <c r="D270" s="17">
        <f>VLOOKUP(C270,[1]Maliteslimalan!$A$1:$B$210,2,0)</f>
        <v>8000012733</v>
      </c>
      <c r="E270" s="19">
        <v>6</v>
      </c>
      <c r="F270" s="20" t="str">
        <f t="shared" si="141"/>
        <v>N   909 293 03</v>
      </c>
      <c r="G270" s="21">
        <v>969062000</v>
      </c>
      <c r="H270" s="17">
        <f t="shared" si="142"/>
        <v>1.388E-2</v>
      </c>
      <c r="I270" s="20"/>
      <c r="J270" s="17">
        <f t="shared" si="143"/>
        <v>1000</v>
      </c>
      <c r="K270" s="17">
        <f t="shared" si="144"/>
        <v>0</v>
      </c>
      <c r="L270" s="22">
        <v>20</v>
      </c>
      <c r="M270" s="22">
        <v>20</v>
      </c>
      <c r="N270" s="22" t="s">
        <v>155</v>
      </c>
      <c r="O270" s="22" t="str">
        <f t="shared" si="145"/>
        <v>001210</v>
      </c>
      <c r="P270" s="22">
        <f t="shared" si="146"/>
        <v>55</v>
      </c>
      <c r="Q270" s="22"/>
      <c r="R270" s="23" t="s">
        <v>153</v>
      </c>
      <c r="S270" s="22">
        <f t="shared" si="147"/>
        <v>0.56999999999999995</v>
      </c>
      <c r="T270" s="24">
        <f t="shared" si="148"/>
        <v>0</v>
      </c>
      <c r="U270" s="25">
        <f t="shared" si="149"/>
        <v>2</v>
      </c>
      <c r="V270" s="26" t="str">
        <f t="shared" si="150"/>
        <v/>
      </c>
    </row>
    <row r="271" spans="1:22" ht="48.2" customHeight="1" x14ac:dyDescent="0.25">
      <c r="A271" s="17">
        <f>VLOOKUP(C271,[1]Werke!$A$1:$C$168,3,0)</f>
        <v>14</v>
      </c>
      <c r="B271" s="17" t="str">
        <f>VLOOKUP(C271,[1]Werke!$A$1:$C$168,2,0)</f>
        <v>D85</v>
      </c>
      <c r="C271" s="18" t="s">
        <v>239</v>
      </c>
      <c r="D271" s="17" t="str">
        <f>VLOOKUP(C271,[1]Maliteslimalan!$A$1:$B$210,2,0)</f>
        <v>8000012682</v>
      </c>
      <c r="E271" s="19">
        <f>VLOOKUP(C271,[1]Bestellnr.!$A$1:$B$174,2,0)</f>
        <v>0</v>
      </c>
      <c r="F271" s="20" t="str">
        <f t="shared" si="141"/>
        <v>N   909 293 03</v>
      </c>
      <c r="G271" s="21">
        <v>969062000</v>
      </c>
      <c r="H271" s="17">
        <f t="shared" si="142"/>
        <v>1.388E-2</v>
      </c>
      <c r="I271" s="20"/>
      <c r="J271" s="17">
        <f t="shared" si="143"/>
        <v>1000</v>
      </c>
      <c r="K271" s="17">
        <f t="shared" si="144"/>
        <v>0</v>
      </c>
      <c r="L271" s="22">
        <v>10</v>
      </c>
      <c r="M271" s="22">
        <v>40</v>
      </c>
      <c r="N271" s="22" t="s">
        <v>155</v>
      </c>
      <c r="O271" s="22" t="str">
        <f t="shared" si="145"/>
        <v>001210</v>
      </c>
      <c r="P271" s="22">
        <f t="shared" si="146"/>
        <v>55</v>
      </c>
      <c r="Q271" s="22"/>
      <c r="R271" s="23" t="s">
        <v>175</v>
      </c>
      <c r="S271" s="22">
        <f t="shared" si="147"/>
        <v>1.08</v>
      </c>
      <c r="T271" s="24">
        <f t="shared" si="148"/>
        <v>0</v>
      </c>
      <c r="U271" s="25">
        <f t="shared" si="149"/>
        <v>1</v>
      </c>
      <c r="V271" s="26" t="str">
        <f t="shared" si="150"/>
        <v/>
      </c>
    </row>
    <row r="272" spans="1:22" ht="48.2" customHeight="1" x14ac:dyDescent="0.25">
      <c r="A272" s="17">
        <f>VLOOKUP(C272,[1]Werke!$A$1:$C$168,3,0)</f>
        <v>15</v>
      </c>
      <c r="B272" s="17" t="str">
        <f>VLOOKUP(C272,[1]Werke!$A$1:$C$168,2,0)</f>
        <v>18A</v>
      </c>
      <c r="C272" s="18">
        <v>50146</v>
      </c>
      <c r="D272" s="17">
        <f>VLOOKUP(C272,[1]Maliteslimalan!$A$1:$B$210,2,0)</f>
        <v>8000012704</v>
      </c>
      <c r="E272" s="19">
        <v>6</v>
      </c>
      <c r="F272" s="20" t="str">
        <f t="shared" si="141"/>
        <v>N   909 293 03</v>
      </c>
      <c r="G272" s="21">
        <v>969062000</v>
      </c>
      <c r="H272" s="17">
        <f t="shared" si="142"/>
        <v>1.388E-2</v>
      </c>
      <c r="I272" s="20"/>
      <c r="J272" s="17">
        <f t="shared" si="143"/>
        <v>1000</v>
      </c>
      <c r="K272" s="17">
        <f t="shared" si="144"/>
        <v>0</v>
      </c>
      <c r="L272" s="22">
        <v>10</v>
      </c>
      <c r="M272" s="22">
        <v>30</v>
      </c>
      <c r="N272" s="22">
        <v>111444</v>
      </c>
      <c r="O272" s="22" t="str">
        <f t="shared" si="145"/>
        <v>001006</v>
      </c>
      <c r="P272" s="22">
        <f t="shared" si="146"/>
        <v>34</v>
      </c>
      <c r="Q272" s="22"/>
      <c r="R272" s="23" t="s">
        <v>153</v>
      </c>
      <c r="S272" s="22">
        <f t="shared" si="147"/>
        <v>0.56999999999999995</v>
      </c>
      <c r="T272" s="24">
        <f t="shared" si="148"/>
        <v>0</v>
      </c>
      <c r="U272" s="25">
        <f t="shared" si="149"/>
        <v>2</v>
      </c>
      <c r="V272" s="26" t="str">
        <f t="shared" si="150"/>
        <v/>
      </c>
    </row>
    <row r="273" spans="1:22" ht="48.2" customHeight="1" x14ac:dyDescent="0.25">
      <c r="A273" s="17"/>
      <c r="B273" s="17"/>
      <c r="C273" s="18"/>
      <c r="D273" s="17"/>
      <c r="E273" s="19"/>
      <c r="F273" s="20"/>
      <c r="G273" s="21"/>
      <c r="H273" s="17"/>
      <c r="I273" s="20"/>
      <c r="J273" s="17"/>
      <c r="K273" s="17"/>
      <c r="L273" s="22"/>
      <c r="M273" s="22"/>
      <c r="N273" s="22"/>
      <c r="O273" s="22"/>
      <c r="P273" s="22"/>
      <c r="Q273" s="22"/>
      <c r="R273" s="23"/>
      <c r="S273" s="22"/>
      <c r="T273" s="24"/>
      <c r="U273" s="25"/>
    </row>
    <row r="274" spans="1:22" ht="48.2" customHeight="1" x14ac:dyDescent="0.25">
      <c r="A274" s="17">
        <f>VLOOKUP(C274,[1]Werke!$A$1:$C$168,3,0)</f>
        <v>21</v>
      </c>
      <c r="B274" s="17" t="str">
        <f>VLOOKUP(C274,[1]Werke!$A$1:$C$168,2,0)</f>
        <v>GZD</v>
      </c>
      <c r="C274" s="18" t="s">
        <v>223</v>
      </c>
      <c r="D274" s="17" t="str">
        <f>VLOOKUP(C274,[1]Maliteslimalan!$A$1:$B$210,2,0)</f>
        <v>8000012572</v>
      </c>
      <c r="E274" s="19" t="str">
        <f>VLOOKUP(C274,[1]Bestellnr.!$A$1:$B$174,2,0)</f>
        <v>000006</v>
      </c>
      <c r="F274" s="20" t="str">
        <f t="shared" ref="F274:F289" si="151">VLOOKUP(G274,$U$1:$V$1730,2,0)</f>
        <v>N   909 429 02</v>
      </c>
      <c r="G274" s="21">
        <v>969063000</v>
      </c>
      <c r="H274" s="17">
        <f t="shared" ref="H274:H289" si="152">VLOOKUP(G274,Z$2:AA$1905,2,FALSE)</f>
        <v>1.9900000000000001E-2</v>
      </c>
      <c r="I274" s="20"/>
      <c r="J274" s="17" t="str">
        <f>VLOOKUP(G274,W$2:X$1905,2,FALSE)</f>
        <v>650</v>
      </c>
      <c r="K274" s="17">
        <f t="shared" ref="K274:K289" si="153">I274/J274</f>
        <v>0</v>
      </c>
      <c r="L274" s="22">
        <v>20</v>
      </c>
      <c r="M274" s="22">
        <v>20</v>
      </c>
      <c r="N274" s="22" t="s">
        <v>155</v>
      </c>
      <c r="O274" s="22" t="str">
        <f t="shared" ref="O274:O289" si="154">VLOOKUP(N274,$AL$1285:$AM$1310,2,FALSE)</f>
        <v>001210</v>
      </c>
      <c r="P274" s="22">
        <f t="shared" ref="P274:P289" si="155">VLOOKUP(N274,AC$2:AD$1905,2,FALSE)</f>
        <v>55</v>
      </c>
      <c r="Q274" s="22"/>
      <c r="R274" s="23" t="s">
        <v>153</v>
      </c>
      <c r="S274" s="22">
        <f t="shared" ref="S274:S289" si="156">VLOOKUP(R274,AC$2:AD$1905,2,FALSE)</f>
        <v>0.56999999999999995</v>
      </c>
      <c r="T274" s="24">
        <f t="shared" ref="T274:T289" si="157">(H274*I274)+P274*Q274+S274*K274</f>
        <v>0</v>
      </c>
      <c r="U274" s="25">
        <f t="shared" ref="U274:U289" si="158">IF(TRIM(N274&amp;"")="111444",
    IF(ROUNDUP(MAX(0,K274-(MAX(1,Q274)-1)*10)/10,0)=1,3,2),
    IF(TRIM(N274&amp;"")="VWPAL",
        IF(TRIM(R274&amp;"")="004147",1,2),
        ""
    )
)</f>
        <v>2</v>
      </c>
      <c r="V274" s="26" t="str">
        <f t="shared" ref="V274:V289" si="159">IF(OR(TRIM(N274&amp;"")="111444",TRIM(N274&amp;"")="VWPAL"),
    IF(K274&lt;=0,"",
        IF(
            MIN(3,ROUNDUP(MAX(0,K274-(MAX(1,Q274)-1)*IF(TRIM(N274&amp;"")="111444",10,20))/IF(TRIM(N274&amp;"")="111444",10,20),0))=1,
            300,
            IF(
                MIN(3,ROUNDUP(MAX(0,K274-(MAX(1,Q274)-1)*IF(TRIM(N274&amp;"")="111444",10,20))/IF(TRIM(N274&amp;"")="111444",10,20),0))=2,
                450,
                600
            )
        )
    ),
    ""
)</f>
        <v/>
      </c>
    </row>
    <row r="275" spans="1:22" ht="48.2" customHeight="1" x14ac:dyDescent="0.25">
      <c r="A275" s="17">
        <f>VLOOKUP(C275,[1]Werke!$A$1:$C$168,3,0)</f>
        <v>13</v>
      </c>
      <c r="B275" s="17" t="str">
        <f>VLOOKUP(C275,[1]Werke!$A$1:$C$168,2,0)</f>
        <v>LZ2</v>
      </c>
      <c r="C275" s="18" t="s">
        <v>267</v>
      </c>
      <c r="D275" s="17" t="str">
        <f>VLOOKUP(C275,[1]Maliteslimalan!$A$1:$B$210,2,0)</f>
        <v>8000012575</v>
      </c>
      <c r="E275" s="19" t="str">
        <f>VLOOKUP(C275,[1]Bestellnr.!$A$1:$B$174,2,0)</f>
        <v>000006</v>
      </c>
      <c r="F275" s="20" t="str">
        <f t="shared" si="151"/>
        <v>N   909 429 02</v>
      </c>
      <c r="G275" s="21">
        <v>969063000</v>
      </c>
      <c r="H275" s="17">
        <f t="shared" si="152"/>
        <v>1.9900000000000001E-2</v>
      </c>
      <c r="I275" s="20"/>
      <c r="J275" s="17" t="str">
        <f>VLOOKUP(G275,W$2:X$1905,2,FALSE)</f>
        <v>650</v>
      </c>
      <c r="K275" s="17">
        <f t="shared" si="153"/>
        <v>0</v>
      </c>
      <c r="L275" s="22">
        <v>20</v>
      </c>
      <c r="M275" s="22">
        <v>60</v>
      </c>
      <c r="N275" s="22" t="s">
        <v>155</v>
      </c>
      <c r="O275" s="22" t="str">
        <f t="shared" si="154"/>
        <v>001210</v>
      </c>
      <c r="P275" s="22">
        <f t="shared" si="155"/>
        <v>55</v>
      </c>
      <c r="Q275" s="22"/>
      <c r="R275" s="23" t="s">
        <v>153</v>
      </c>
      <c r="S275" s="22">
        <f t="shared" si="156"/>
        <v>0.56999999999999995</v>
      </c>
      <c r="T275" s="24">
        <f t="shared" si="157"/>
        <v>0</v>
      </c>
      <c r="U275" s="25">
        <f t="shared" si="158"/>
        <v>2</v>
      </c>
      <c r="V275" s="26" t="str">
        <f t="shared" si="159"/>
        <v/>
      </c>
    </row>
    <row r="276" spans="1:22" ht="48.2" customHeight="1" x14ac:dyDescent="0.25">
      <c r="A276" s="17">
        <f>VLOOKUP(C276,[1]Werke!$A$1:$C$168,3,0)</f>
        <v>31</v>
      </c>
      <c r="B276" s="17" t="str">
        <f>VLOOKUP(C276,[1]Werke!$A$1:$C$168,2,0)</f>
        <v>B62</v>
      </c>
      <c r="C276" s="18">
        <v>10362</v>
      </c>
      <c r="D276" s="17" t="str">
        <f>VLOOKUP(C276,[1]Maliteslimalan!$A$1:$B$210,2,0)</f>
        <v>8000012742</v>
      </c>
      <c r="E276" s="19">
        <v>6</v>
      </c>
      <c r="F276" s="20" t="str">
        <f t="shared" si="151"/>
        <v>N   909 429 02</v>
      </c>
      <c r="G276" s="21">
        <v>969063000</v>
      </c>
      <c r="H276" s="17">
        <f t="shared" si="152"/>
        <v>1.9900000000000001E-2</v>
      </c>
      <c r="I276" s="20"/>
      <c r="J276" s="17" t="str">
        <f>VLOOKUP(G276,W$2:X$1905,2,FALSE)</f>
        <v>650</v>
      </c>
      <c r="K276" s="17">
        <f t="shared" si="153"/>
        <v>0</v>
      </c>
      <c r="L276" s="22">
        <v>20</v>
      </c>
      <c r="M276" s="22">
        <v>20</v>
      </c>
      <c r="N276" s="22" t="s">
        <v>155</v>
      </c>
      <c r="O276" s="22" t="str">
        <f t="shared" si="154"/>
        <v>001210</v>
      </c>
      <c r="P276" s="22">
        <f t="shared" si="155"/>
        <v>55</v>
      </c>
      <c r="Q276" s="22"/>
      <c r="R276" s="23" t="s">
        <v>153</v>
      </c>
      <c r="S276" s="22">
        <f t="shared" si="156"/>
        <v>0.56999999999999995</v>
      </c>
      <c r="T276" s="24">
        <f t="shared" si="157"/>
        <v>0</v>
      </c>
      <c r="U276" s="25">
        <f t="shared" si="158"/>
        <v>2</v>
      </c>
      <c r="V276" s="26" t="str">
        <f t="shared" si="159"/>
        <v/>
      </c>
    </row>
    <row r="277" spans="1:22" ht="48.2" customHeight="1" x14ac:dyDescent="0.25">
      <c r="A277" s="17">
        <f>VLOOKUP(C277,[1]Werke!$A$1:$C$168,3,0)</f>
        <v>49</v>
      </c>
      <c r="B277" s="17" t="str">
        <f>VLOOKUP(C277,[1]Werke!$A$1:$C$168,2,0)</f>
        <v>CT</v>
      </c>
      <c r="C277" s="18" t="s">
        <v>217</v>
      </c>
      <c r="D277" s="17" t="str">
        <f>VLOOKUP(C277,[1]Maliteslimalan!$A$1:$B$210,2,0)</f>
        <v>8000012574</v>
      </c>
      <c r="E277" s="19" t="str">
        <f>VLOOKUP(C277,[1]Bestellnr.!$A$1:$B$174,2,0)</f>
        <v>000001</v>
      </c>
      <c r="F277" s="20" t="str">
        <f t="shared" si="151"/>
        <v>N   909 429 02</v>
      </c>
      <c r="G277" s="21">
        <v>969063000</v>
      </c>
      <c r="H277" s="17">
        <f t="shared" si="152"/>
        <v>1.9900000000000001E-2</v>
      </c>
      <c r="I277" s="20"/>
      <c r="J277" s="17" t="str">
        <f>VLOOKUP(G277,W$2:X$1905,2,FALSE)</f>
        <v>650</v>
      </c>
      <c r="K277" s="17">
        <f t="shared" si="153"/>
        <v>0</v>
      </c>
      <c r="L277" s="22">
        <v>20</v>
      </c>
      <c r="M277" s="22">
        <v>60</v>
      </c>
      <c r="N277" s="22" t="s">
        <v>155</v>
      </c>
      <c r="O277" s="22" t="str">
        <f t="shared" si="154"/>
        <v>001210</v>
      </c>
      <c r="P277" s="22">
        <f t="shared" si="155"/>
        <v>55</v>
      </c>
      <c r="Q277" s="22"/>
      <c r="R277" s="23" t="s">
        <v>153</v>
      </c>
      <c r="S277" s="22">
        <f t="shared" si="156"/>
        <v>0.56999999999999995</v>
      </c>
      <c r="T277" s="24">
        <f t="shared" si="157"/>
        <v>0</v>
      </c>
      <c r="U277" s="25">
        <f t="shared" si="158"/>
        <v>2</v>
      </c>
      <c r="V277" s="26" t="str">
        <f t="shared" si="159"/>
        <v/>
      </c>
    </row>
    <row r="278" spans="1:22" ht="48.2" customHeight="1" x14ac:dyDescent="0.25">
      <c r="A278" s="17">
        <f>VLOOKUP(C278,[1]Werke!$A$1:$C$168,3,0)</f>
        <v>14</v>
      </c>
      <c r="B278" s="17" t="str">
        <f>VLOOKUP(C278,[1]Werke!$A$1:$C$168,2,0)</f>
        <v>D72</v>
      </c>
      <c r="C278" s="18" t="s">
        <v>220</v>
      </c>
      <c r="D278" s="17" t="str">
        <f>VLOOKUP(C278,[1]Maliteslimalan!$A$1:$B$210,2,0)</f>
        <v>8000013493</v>
      </c>
      <c r="E278" s="19">
        <f>VLOOKUP(C278,[1]Bestellnr.!$A$1:$B$174,2,0)</f>
        <v>0</v>
      </c>
      <c r="F278" s="20" t="str">
        <f t="shared" si="151"/>
        <v>N   909 429 02</v>
      </c>
      <c r="G278" s="21">
        <v>969063000</v>
      </c>
      <c r="H278" s="17">
        <f t="shared" si="152"/>
        <v>1.9900000000000001E-2</v>
      </c>
      <c r="I278" s="20"/>
      <c r="J278" s="17">
        <v>600</v>
      </c>
      <c r="K278" s="17">
        <f t="shared" si="153"/>
        <v>0</v>
      </c>
      <c r="L278" s="22">
        <v>10</v>
      </c>
      <c r="M278" s="22">
        <v>10</v>
      </c>
      <c r="N278" s="22">
        <v>111444</v>
      </c>
      <c r="O278" s="22" t="str">
        <f t="shared" si="154"/>
        <v>001006</v>
      </c>
      <c r="P278" s="22">
        <f t="shared" si="155"/>
        <v>34</v>
      </c>
      <c r="Q278" s="22"/>
      <c r="R278" s="23" t="s">
        <v>153</v>
      </c>
      <c r="S278" s="22">
        <f t="shared" si="156"/>
        <v>0.56999999999999995</v>
      </c>
      <c r="T278" s="24">
        <f t="shared" si="157"/>
        <v>0</v>
      </c>
      <c r="U278" s="25">
        <f t="shared" si="158"/>
        <v>2</v>
      </c>
      <c r="V278" s="26" t="str">
        <f t="shared" si="159"/>
        <v/>
      </c>
    </row>
    <row r="279" spans="1:22" ht="48.2" customHeight="1" x14ac:dyDescent="0.25">
      <c r="A279" s="17">
        <f>VLOOKUP(C279,[1]Werke!$A$1:$C$168,3,0)</f>
        <v>24</v>
      </c>
      <c r="B279" s="17" t="str">
        <f>VLOOKUP(C279,[1]Werke!$A$1:$C$168,2,0)</f>
        <v>CKH</v>
      </c>
      <c r="C279" s="18" t="s">
        <v>224</v>
      </c>
      <c r="D279" s="17">
        <f>VLOOKUP(C279,[1]Maliteslimalan!$A$1:$B$210,2,0)</f>
        <v>8000013551</v>
      </c>
      <c r="E279" s="19">
        <v>6</v>
      </c>
      <c r="F279" s="20" t="str">
        <f t="shared" si="151"/>
        <v>N   909 429 02</v>
      </c>
      <c r="G279" s="21">
        <v>969063000</v>
      </c>
      <c r="H279" s="17">
        <f t="shared" si="152"/>
        <v>1.9900000000000001E-2</v>
      </c>
      <c r="I279" s="20"/>
      <c r="J279" s="17" t="str">
        <f>VLOOKUP(G279,W$2:X$1905,2,FALSE)</f>
        <v>650</v>
      </c>
      <c r="K279" s="17">
        <f t="shared" si="153"/>
        <v>0</v>
      </c>
      <c r="L279" s="22">
        <v>10</v>
      </c>
      <c r="M279" s="22">
        <v>30</v>
      </c>
      <c r="N279" s="22">
        <v>111444</v>
      </c>
      <c r="O279" s="22" t="str">
        <f t="shared" si="154"/>
        <v>001006</v>
      </c>
      <c r="P279" s="22">
        <f t="shared" si="155"/>
        <v>34</v>
      </c>
      <c r="Q279" s="22"/>
      <c r="R279" s="23" t="s">
        <v>153</v>
      </c>
      <c r="S279" s="22">
        <f t="shared" si="156"/>
        <v>0.56999999999999995</v>
      </c>
      <c r="T279" s="24">
        <f t="shared" si="157"/>
        <v>0</v>
      </c>
      <c r="U279" s="25">
        <f t="shared" si="158"/>
        <v>2</v>
      </c>
      <c r="V279" s="26" t="str">
        <f t="shared" si="159"/>
        <v/>
      </c>
    </row>
    <row r="280" spans="1:22" ht="48.2" customHeight="1" x14ac:dyDescent="0.25">
      <c r="A280" s="17" t="str">
        <f>VLOOKUP(C280,[1]Werke!$A$1:$C$168,3,0)</f>
        <v>IM</v>
      </c>
      <c r="B280" s="17">
        <f>VLOOKUP(C280,[1]Werke!$A$1:$C$168,2,0)</f>
        <v>889</v>
      </c>
      <c r="C280" s="18" t="s">
        <v>225</v>
      </c>
      <c r="D280" s="17">
        <f>VLOOKUP(C280,[1]Maliteslimalan!$A$1:$B$210,2,0)</f>
        <v>8000017117</v>
      </c>
      <c r="E280" s="19">
        <v>6</v>
      </c>
      <c r="F280" s="20" t="str">
        <f t="shared" si="151"/>
        <v>N   909 429 02</v>
      </c>
      <c r="G280" s="21">
        <v>969063000</v>
      </c>
      <c r="H280" s="17">
        <f t="shared" si="152"/>
        <v>1.9900000000000001E-2</v>
      </c>
      <c r="I280" s="20"/>
      <c r="J280" s="17" t="str">
        <f>VLOOKUP(G280,W$2:X$1905,2,FALSE)</f>
        <v>650</v>
      </c>
      <c r="K280" s="17">
        <f t="shared" si="153"/>
        <v>0</v>
      </c>
      <c r="L280" s="22">
        <v>20</v>
      </c>
      <c r="M280" s="22">
        <v>20</v>
      </c>
      <c r="N280" s="22" t="s">
        <v>155</v>
      </c>
      <c r="O280" s="22" t="str">
        <f t="shared" si="154"/>
        <v>001210</v>
      </c>
      <c r="P280" s="22">
        <f t="shared" si="155"/>
        <v>55</v>
      </c>
      <c r="Q280" s="22"/>
      <c r="R280" s="23" t="s">
        <v>153</v>
      </c>
      <c r="S280" s="22">
        <f t="shared" si="156"/>
        <v>0.56999999999999995</v>
      </c>
      <c r="T280" s="24">
        <f t="shared" si="157"/>
        <v>0</v>
      </c>
      <c r="U280" s="25">
        <f t="shared" si="158"/>
        <v>2</v>
      </c>
      <c r="V280" s="26" t="str">
        <f t="shared" si="159"/>
        <v/>
      </c>
    </row>
    <row r="281" spans="1:22" ht="48.2" customHeight="1" x14ac:dyDescent="0.25">
      <c r="A281" s="17" t="str">
        <f>VLOOKUP(C281,[1]Werke!$A$1:$C$168,3,0)</f>
        <v>LD</v>
      </c>
      <c r="B281" s="17" t="str">
        <f>VLOOKUP(C281,[1]Werke!$A$1:$C$168,2,0)</f>
        <v>SLD</v>
      </c>
      <c r="C281" s="18">
        <v>83630</v>
      </c>
      <c r="D281" s="17" t="str">
        <f>VLOOKUP(C281,[1]Maliteslimalan!$A$1:$B$210,2,0)</f>
        <v>8000012862</v>
      </c>
      <c r="E281" s="19" t="str">
        <f>VLOOKUP(C281,[1]Bestellnr.!$A$1:$B$174,2,0)</f>
        <v>000006</v>
      </c>
      <c r="F281" s="20" t="str">
        <f t="shared" si="151"/>
        <v>N   909 429 02</v>
      </c>
      <c r="G281" s="21">
        <v>969063000</v>
      </c>
      <c r="H281" s="17">
        <f t="shared" si="152"/>
        <v>1.9900000000000001E-2</v>
      </c>
      <c r="I281" s="20"/>
      <c r="J281" s="17" t="str">
        <f>VLOOKUP(G281,W$2:X$1905,2,FALSE)</f>
        <v>650</v>
      </c>
      <c r="K281" s="17">
        <f t="shared" si="153"/>
        <v>0</v>
      </c>
      <c r="L281" s="22">
        <v>10</v>
      </c>
      <c r="M281" s="22">
        <v>30</v>
      </c>
      <c r="N281" s="22">
        <v>111444</v>
      </c>
      <c r="O281" s="22" t="str">
        <f t="shared" si="154"/>
        <v>001006</v>
      </c>
      <c r="P281" s="22">
        <f t="shared" si="155"/>
        <v>34</v>
      </c>
      <c r="Q281" s="22"/>
      <c r="R281" s="23" t="s">
        <v>153</v>
      </c>
      <c r="S281" s="22">
        <f t="shared" si="156"/>
        <v>0.56999999999999995</v>
      </c>
      <c r="T281" s="24">
        <f t="shared" si="157"/>
        <v>0</v>
      </c>
      <c r="U281" s="25">
        <f t="shared" si="158"/>
        <v>2</v>
      </c>
      <c r="V281" s="26" t="str">
        <f t="shared" si="159"/>
        <v/>
      </c>
    </row>
    <row r="282" spans="1:22" ht="48.2" customHeight="1" x14ac:dyDescent="0.25">
      <c r="A282" s="17">
        <f>VLOOKUP(C282,[1]Werke!$A$1:$C$168,3,0)</f>
        <v>11</v>
      </c>
      <c r="B282" s="17" t="str">
        <f>VLOOKUP(C282,[1]Werke!$A$1:$C$168,2,0)</f>
        <v>HL3</v>
      </c>
      <c r="C282" s="18" t="s">
        <v>268</v>
      </c>
      <c r="D282" s="17">
        <f>VLOOKUP(C282,[1]Maliteslimalan!$A$1:$B$210,2,0)</f>
        <v>8000017615</v>
      </c>
      <c r="E282" s="19">
        <v>6</v>
      </c>
      <c r="F282" s="20" t="str">
        <f t="shared" si="151"/>
        <v>N   909 429 02</v>
      </c>
      <c r="G282" s="21">
        <v>969063000</v>
      </c>
      <c r="H282" s="17">
        <f t="shared" si="152"/>
        <v>1.9900000000000001E-2</v>
      </c>
      <c r="I282" s="20"/>
      <c r="J282" s="17" t="str">
        <f>VLOOKUP(G282,W$2:X$1905,2,FALSE)</f>
        <v>650</v>
      </c>
      <c r="K282" s="17">
        <f t="shared" si="153"/>
        <v>0</v>
      </c>
      <c r="L282" s="22">
        <v>20</v>
      </c>
      <c r="M282" s="22">
        <v>20</v>
      </c>
      <c r="N282" s="22" t="s">
        <v>155</v>
      </c>
      <c r="O282" s="22" t="str">
        <f t="shared" si="154"/>
        <v>001210</v>
      </c>
      <c r="P282" s="22">
        <f t="shared" si="155"/>
        <v>55</v>
      </c>
      <c r="Q282" s="22"/>
      <c r="R282" s="23" t="s">
        <v>153</v>
      </c>
      <c r="S282" s="22">
        <f t="shared" si="156"/>
        <v>0.56999999999999995</v>
      </c>
      <c r="T282" s="24">
        <f t="shared" si="157"/>
        <v>0</v>
      </c>
      <c r="U282" s="25">
        <f t="shared" si="158"/>
        <v>2</v>
      </c>
      <c r="V282" s="26" t="str">
        <f t="shared" si="159"/>
        <v/>
      </c>
    </row>
    <row r="283" spans="1:22" ht="48.2" customHeight="1" x14ac:dyDescent="0.25">
      <c r="A283" s="17">
        <f>VLOOKUP(C283,[1]Werke!$A$1:$C$168,3,0)</f>
        <v>12</v>
      </c>
      <c r="B283" s="17" t="str">
        <f>VLOOKUP(C283,[1]Werke!$A$1:$C$168,2,0)</f>
        <v>U4</v>
      </c>
      <c r="C283" s="18" t="s">
        <v>269</v>
      </c>
      <c r="D283" s="17" t="str">
        <f>VLOOKUP(C283,[1]Maliteslimalan!$A$1:$B$210,2,0)</f>
        <v>8000014127</v>
      </c>
      <c r="E283" s="19" t="str">
        <f>VLOOKUP(C283,[1]Bestellnr.!$A$1:$B$174,2,0)</f>
        <v>000006</v>
      </c>
      <c r="F283" s="20" t="str">
        <f t="shared" si="151"/>
        <v>N   909 429 02</v>
      </c>
      <c r="G283" s="21">
        <v>969063000</v>
      </c>
      <c r="H283" s="17">
        <f t="shared" si="152"/>
        <v>1.9900000000000001E-2</v>
      </c>
      <c r="I283" s="20"/>
      <c r="J283" s="17" t="str">
        <f>VLOOKUP(G283,W$2:X$1905,2,FALSE)</f>
        <v>650</v>
      </c>
      <c r="K283" s="17">
        <f t="shared" si="153"/>
        <v>0</v>
      </c>
      <c r="L283" s="22">
        <v>10</v>
      </c>
      <c r="M283" s="22">
        <v>30</v>
      </c>
      <c r="N283" s="22">
        <v>111444</v>
      </c>
      <c r="O283" s="22" t="str">
        <f t="shared" si="154"/>
        <v>001006</v>
      </c>
      <c r="P283" s="22">
        <f t="shared" si="155"/>
        <v>34</v>
      </c>
      <c r="Q283" s="22"/>
      <c r="R283" s="23" t="s">
        <v>153</v>
      </c>
      <c r="S283" s="22">
        <f t="shared" si="156"/>
        <v>0.56999999999999995</v>
      </c>
      <c r="T283" s="24">
        <f t="shared" si="157"/>
        <v>0</v>
      </c>
      <c r="U283" s="25">
        <f t="shared" si="158"/>
        <v>2</v>
      </c>
      <c r="V283" s="26" t="str">
        <f t="shared" si="159"/>
        <v/>
      </c>
    </row>
    <row r="284" spans="1:22" ht="48.2" customHeight="1" x14ac:dyDescent="0.25">
      <c r="A284" s="17">
        <f>VLOOKUP(C284,[1]Werke!$A$1:$C$168,3,0)</f>
        <v>35</v>
      </c>
      <c r="B284" s="17" t="str">
        <f>VLOOKUP(C284,[1]Werke!$A$1:$C$168,2,0)</f>
        <v>AKL</v>
      </c>
      <c r="C284" s="18" t="s">
        <v>231</v>
      </c>
      <c r="D284" s="17" t="str">
        <f>VLOOKUP(C284,[1]Maliteslimalan!$A$1:$B$210,2,0)</f>
        <v>8000013262</v>
      </c>
      <c r="E284" s="19" t="str">
        <f>VLOOKUP(C284,[1]Bestellnr.!$A$1:$B$174,2,0)</f>
        <v>000006</v>
      </c>
      <c r="F284" s="20" t="str">
        <f t="shared" si="151"/>
        <v>N   909 429 02</v>
      </c>
      <c r="G284" s="21">
        <v>969063000</v>
      </c>
      <c r="H284" s="17">
        <f t="shared" si="152"/>
        <v>1.9900000000000001E-2</v>
      </c>
      <c r="I284" s="20"/>
      <c r="J284" s="17">
        <v>600</v>
      </c>
      <c r="K284" s="17">
        <f t="shared" si="153"/>
        <v>0</v>
      </c>
      <c r="L284" s="22">
        <v>10</v>
      </c>
      <c r="M284" s="22">
        <v>20</v>
      </c>
      <c r="N284" s="22">
        <v>111444</v>
      </c>
      <c r="O284" s="22" t="str">
        <f t="shared" si="154"/>
        <v>001006</v>
      </c>
      <c r="P284" s="22">
        <f t="shared" si="155"/>
        <v>34</v>
      </c>
      <c r="Q284" s="22"/>
      <c r="R284" s="23" t="s">
        <v>153</v>
      </c>
      <c r="S284" s="22">
        <f t="shared" si="156"/>
        <v>0.56999999999999995</v>
      </c>
      <c r="T284" s="24">
        <f t="shared" si="157"/>
        <v>0</v>
      </c>
      <c r="U284" s="25">
        <f t="shared" si="158"/>
        <v>2</v>
      </c>
      <c r="V284" s="26" t="str">
        <f t="shared" si="159"/>
        <v/>
      </c>
    </row>
    <row r="285" spans="1:22" ht="48.2" customHeight="1" x14ac:dyDescent="0.25">
      <c r="A285" s="17">
        <f>VLOOKUP(C285,[1]Werke!$A$1:$C$168,3,0)</f>
        <v>33</v>
      </c>
      <c r="B285" s="17" t="str">
        <f>VLOOKUP(C285,[1]Werke!$A$1:$C$168,2,0)</f>
        <v>KK2</v>
      </c>
      <c r="C285" s="18" t="s">
        <v>233</v>
      </c>
      <c r="D285" s="17" t="str">
        <f>VLOOKUP(C285,[1]Maliteslimalan!$A$1:$B$210,2,0)</f>
        <v>8000012709</v>
      </c>
      <c r="E285" s="19" t="str">
        <f>VLOOKUP(C285,[1]Bestellnr.!$A$1:$B$174,2,0)</f>
        <v>000055</v>
      </c>
      <c r="F285" s="20" t="str">
        <f t="shared" si="151"/>
        <v>N   909 429 02</v>
      </c>
      <c r="G285" s="21">
        <v>969063000</v>
      </c>
      <c r="H285" s="17">
        <f t="shared" si="152"/>
        <v>1.9900000000000001E-2</v>
      </c>
      <c r="I285" s="20"/>
      <c r="J285" s="17" t="str">
        <f>VLOOKUP(G285,W$2:X$1905,2,FALSE)</f>
        <v>650</v>
      </c>
      <c r="K285" s="17">
        <f t="shared" si="153"/>
        <v>0</v>
      </c>
      <c r="L285" s="22">
        <v>20</v>
      </c>
      <c r="M285" s="22">
        <v>20</v>
      </c>
      <c r="N285" s="22" t="s">
        <v>155</v>
      </c>
      <c r="O285" s="22" t="str">
        <f t="shared" si="154"/>
        <v>001210</v>
      </c>
      <c r="P285" s="22">
        <f t="shared" si="155"/>
        <v>55</v>
      </c>
      <c r="Q285" s="22"/>
      <c r="R285" s="23" t="s">
        <v>153</v>
      </c>
      <c r="S285" s="22">
        <f t="shared" si="156"/>
        <v>0.56999999999999995</v>
      </c>
      <c r="T285" s="24">
        <f t="shared" si="157"/>
        <v>0</v>
      </c>
      <c r="U285" s="25">
        <f t="shared" si="158"/>
        <v>2</v>
      </c>
      <c r="V285" s="26" t="str">
        <f t="shared" si="159"/>
        <v/>
      </c>
    </row>
    <row r="286" spans="1:22" ht="48.2" customHeight="1" x14ac:dyDescent="0.25">
      <c r="A286" s="17">
        <f>VLOOKUP(C286,[1]Werke!$A$1:$C$168,3,0)</f>
        <v>40</v>
      </c>
      <c r="B286" s="17">
        <f>VLOOKUP(C286,[1]Werke!$A$1:$C$168,2,0)</f>
        <v>908</v>
      </c>
      <c r="C286" s="18" t="s">
        <v>236</v>
      </c>
      <c r="D286" s="17" t="str">
        <f>VLOOKUP(C286,[1]Maliteslimalan!$A$1:$B$210,2,0)</f>
        <v>8000012582</v>
      </c>
      <c r="E286" s="19" t="str">
        <f>VLOOKUP(C286,[1]Bestellnr.!$A$1:$B$174,2,0)</f>
        <v>000001</v>
      </c>
      <c r="F286" s="20" t="str">
        <f t="shared" si="151"/>
        <v>N   909 429 02</v>
      </c>
      <c r="G286" s="21">
        <v>969063000</v>
      </c>
      <c r="H286" s="17">
        <f t="shared" si="152"/>
        <v>1.9900000000000001E-2</v>
      </c>
      <c r="I286" s="20"/>
      <c r="J286" s="17">
        <v>600</v>
      </c>
      <c r="K286" s="17">
        <f t="shared" si="153"/>
        <v>0</v>
      </c>
      <c r="L286" s="22">
        <v>10</v>
      </c>
      <c r="M286" s="22">
        <v>30</v>
      </c>
      <c r="N286" s="22">
        <v>111444</v>
      </c>
      <c r="O286" s="22" t="str">
        <f t="shared" si="154"/>
        <v>001006</v>
      </c>
      <c r="P286" s="22">
        <f t="shared" si="155"/>
        <v>34</v>
      </c>
      <c r="Q286" s="22"/>
      <c r="R286" s="23" t="s">
        <v>153</v>
      </c>
      <c r="S286" s="22">
        <f t="shared" si="156"/>
        <v>0.56999999999999995</v>
      </c>
      <c r="T286" s="24">
        <f t="shared" si="157"/>
        <v>0</v>
      </c>
      <c r="U286" s="25">
        <f t="shared" si="158"/>
        <v>2</v>
      </c>
      <c r="V286" s="26" t="str">
        <f t="shared" si="159"/>
        <v/>
      </c>
    </row>
    <row r="287" spans="1:22" ht="48.2" customHeight="1" x14ac:dyDescent="0.25">
      <c r="A287" s="17">
        <f>VLOOKUP(C287,[1]Werke!$A$1:$C$168,3,0)</f>
        <v>42</v>
      </c>
      <c r="B287" s="17" t="str">
        <f>VLOOKUP(C287,[1]Werke!$A$1:$C$168,2,0)</f>
        <v>CC1</v>
      </c>
      <c r="C287" s="18" t="s">
        <v>241</v>
      </c>
      <c r="D287" s="17" t="str">
        <f>VLOOKUP(C287,[1]Maliteslimalan!$A$1:$B$210,2,0)</f>
        <v>8000012577</v>
      </c>
      <c r="E287" s="19" t="str">
        <f>VLOOKUP(C287,[1]Bestellnr.!$A$1:$B$174,2,0)</f>
        <v>000001</v>
      </c>
      <c r="F287" s="20" t="str">
        <f t="shared" si="151"/>
        <v>N   909 429 02</v>
      </c>
      <c r="G287" s="21">
        <v>969063000</v>
      </c>
      <c r="H287" s="17">
        <f t="shared" si="152"/>
        <v>1.9900000000000001E-2</v>
      </c>
      <c r="I287" s="20"/>
      <c r="J287" s="17" t="str">
        <f>VLOOKUP(G287,W$2:X$1905,2,FALSE)</f>
        <v>650</v>
      </c>
      <c r="K287" s="17">
        <f t="shared" si="153"/>
        <v>0</v>
      </c>
      <c r="L287" s="22">
        <v>20</v>
      </c>
      <c r="M287" s="22">
        <v>60</v>
      </c>
      <c r="N287" s="22" t="s">
        <v>155</v>
      </c>
      <c r="O287" s="22" t="str">
        <f t="shared" si="154"/>
        <v>001210</v>
      </c>
      <c r="P287" s="22">
        <f t="shared" si="155"/>
        <v>55</v>
      </c>
      <c r="Q287" s="22"/>
      <c r="R287" s="23" t="s">
        <v>153</v>
      </c>
      <c r="S287" s="22">
        <f t="shared" si="156"/>
        <v>0.56999999999999995</v>
      </c>
      <c r="T287" s="24">
        <f t="shared" si="157"/>
        <v>0</v>
      </c>
      <c r="U287" s="25">
        <f t="shared" si="158"/>
        <v>2</v>
      </c>
      <c r="V287" s="26" t="str">
        <f t="shared" si="159"/>
        <v/>
      </c>
    </row>
    <row r="288" spans="1:22" ht="48.2" customHeight="1" x14ac:dyDescent="0.25">
      <c r="A288" s="17">
        <f>VLOOKUP(C288,[1]Werke!$A$1:$C$168,3,0)</f>
        <v>24</v>
      </c>
      <c r="B288" s="17" t="str">
        <f>VLOOKUP(C288,[1]Werke!$A$1:$C$168,2,0)</f>
        <v>CKS</v>
      </c>
      <c r="C288" s="18" t="s">
        <v>245</v>
      </c>
      <c r="D288" s="17" t="str">
        <f>VLOOKUP(C288,[1]Maliteslimalan!$A$1:$B$210,2,0)</f>
        <v>8000012647</v>
      </c>
      <c r="E288" s="19" t="str">
        <f>VLOOKUP(C288,[1]Bestellnr.!$A$1:$B$174,2,0)</f>
        <v>000006</v>
      </c>
      <c r="F288" s="20" t="str">
        <f t="shared" si="151"/>
        <v>N   909 429 02</v>
      </c>
      <c r="G288" s="21">
        <v>969063000</v>
      </c>
      <c r="H288" s="17">
        <f t="shared" si="152"/>
        <v>1.9900000000000001E-2</v>
      </c>
      <c r="I288" s="20"/>
      <c r="J288" s="17" t="str">
        <f>VLOOKUP(G288,W$2:X$1905,2,FALSE)</f>
        <v>650</v>
      </c>
      <c r="K288" s="17">
        <f t="shared" si="153"/>
        <v>0</v>
      </c>
      <c r="L288" s="22">
        <v>10</v>
      </c>
      <c r="M288" s="22">
        <v>30</v>
      </c>
      <c r="N288" s="22">
        <v>111444</v>
      </c>
      <c r="O288" s="22" t="str">
        <f t="shared" si="154"/>
        <v>001006</v>
      </c>
      <c r="P288" s="22">
        <f t="shared" si="155"/>
        <v>34</v>
      </c>
      <c r="Q288" s="22"/>
      <c r="R288" s="23" t="s">
        <v>153</v>
      </c>
      <c r="S288" s="22">
        <f t="shared" si="156"/>
        <v>0.56999999999999995</v>
      </c>
      <c r="T288" s="24">
        <f t="shared" si="157"/>
        <v>0</v>
      </c>
      <c r="U288" s="25">
        <f t="shared" si="158"/>
        <v>2</v>
      </c>
      <c r="V288" s="26" t="str">
        <f t="shared" si="159"/>
        <v/>
      </c>
    </row>
    <row r="289" spans="1:22" ht="48.2" customHeight="1" x14ac:dyDescent="0.25">
      <c r="A289" s="17" t="str">
        <f>VLOOKUP(C289,[1]Werke!$A$1:$C$168,3,0)</f>
        <v>3T</v>
      </c>
      <c r="B289" s="17" t="str">
        <f>VLOOKUP(C289,[1]Werke!$A$1:$C$168,2,0)</f>
        <v>BZ5</v>
      </c>
      <c r="C289" s="18" t="s">
        <v>242</v>
      </c>
      <c r="D289" s="17">
        <f>VLOOKUP(C289,[1]Maliteslimalan!$A$1:$B$210,2,0)</f>
        <v>8000012711</v>
      </c>
      <c r="E289" s="19">
        <v>6</v>
      </c>
      <c r="F289" s="20" t="str">
        <f t="shared" si="151"/>
        <v>N   909 429 02</v>
      </c>
      <c r="G289" s="21">
        <v>969063000</v>
      </c>
      <c r="H289" s="17">
        <f t="shared" si="152"/>
        <v>1.9900000000000001E-2</v>
      </c>
      <c r="I289" s="20"/>
      <c r="J289" s="17" t="str">
        <f>VLOOKUP(G289,W$2:X$1905,2,FALSE)</f>
        <v>650</v>
      </c>
      <c r="K289" s="17">
        <f t="shared" si="153"/>
        <v>0</v>
      </c>
      <c r="L289" s="22">
        <v>10</v>
      </c>
      <c r="M289" s="22">
        <v>30</v>
      </c>
      <c r="N289" s="22">
        <v>111444</v>
      </c>
      <c r="O289" s="22" t="str">
        <f t="shared" si="154"/>
        <v>001006</v>
      </c>
      <c r="P289" s="22">
        <f t="shared" si="155"/>
        <v>34</v>
      </c>
      <c r="Q289" s="22"/>
      <c r="R289" s="23" t="s">
        <v>153</v>
      </c>
      <c r="S289" s="22">
        <f t="shared" si="156"/>
        <v>0.56999999999999995</v>
      </c>
      <c r="T289" s="24">
        <f t="shared" si="157"/>
        <v>0</v>
      </c>
      <c r="U289" s="25">
        <f t="shared" si="158"/>
        <v>2</v>
      </c>
      <c r="V289" s="26" t="str">
        <f t="shared" si="159"/>
        <v/>
      </c>
    </row>
    <row r="290" spans="1:22" ht="48.2" customHeight="1" x14ac:dyDescent="0.25">
      <c r="A290" s="17"/>
      <c r="B290" s="17"/>
      <c r="C290" s="18"/>
      <c r="D290" s="17"/>
      <c r="E290" s="19"/>
      <c r="F290" s="20"/>
      <c r="G290" s="21"/>
      <c r="H290" s="17"/>
      <c r="I290" s="20"/>
      <c r="J290" s="17"/>
      <c r="K290" s="17"/>
      <c r="L290" s="22"/>
      <c r="M290" s="22"/>
      <c r="N290" s="22"/>
      <c r="O290" s="22"/>
      <c r="P290" s="22"/>
      <c r="Q290" s="22"/>
      <c r="R290" s="23"/>
      <c r="S290" s="22"/>
      <c r="T290" s="24"/>
      <c r="U290" s="25"/>
    </row>
    <row r="291" spans="1:22" ht="48.2" customHeight="1" x14ac:dyDescent="0.25">
      <c r="A291" s="17">
        <f>VLOOKUP(C291,[1]Werke!$A$1:$C$168,3,0)</f>
        <v>14</v>
      </c>
      <c r="B291" s="17" t="str">
        <f>VLOOKUP(C291,[1]Werke!$A$1:$C$168,2,0)</f>
        <v>D85</v>
      </c>
      <c r="C291" s="18" t="s">
        <v>239</v>
      </c>
      <c r="D291" s="17" t="str">
        <f>VLOOKUP(C291,[1]Maliteslimalan!$A$1:$B$210,2,0)</f>
        <v>8000012682</v>
      </c>
      <c r="E291" s="19">
        <f>VLOOKUP(C291,[1]Bestellnr.!$A$1:$B$174,2,0)</f>
        <v>0</v>
      </c>
      <c r="F291" s="20" t="str">
        <f>VLOOKUP(G291,$U$1:$V$1730,2,0)</f>
        <v>N   910 186 01</v>
      </c>
      <c r="G291" s="21">
        <v>923518000</v>
      </c>
      <c r="H291" s="17">
        <f>VLOOKUP(G291,Z$2:AA$1905,2,FALSE)</f>
        <v>1.11E-2</v>
      </c>
      <c r="I291" s="20"/>
      <c r="J291" s="17">
        <v>1200</v>
      </c>
      <c r="K291" s="17">
        <f>I291/J291</f>
        <v>0</v>
      </c>
      <c r="L291" s="22">
        <v>10</v>
      </c>
      <c r="M291" s="22">
        <v>10</v>
      </c>
      <c r="N291" s="22">
        <v>111444</v>
      </c>
      <c r="O291" s="22" t="str">
        <f>VLOOKUP(N291,$AL$1285:$AM$1310,2,FALSE)</f>
        <v>001006</v>
      </c>
      <c r="P291" s="22">
        <f>VLOOKUP(N291,AC$2:AD$1905,2,FALSE)</f>
        <v>34</v>
      </c>
      <c r="Q291" s="22"/>
      <c r="R291" s="23" t="s">
        <v>153</v>
      </c>
      <c r="S291" s="22">
        <f>VLOOKUP(R291,AC$2:AD$1905,2,FALSE)</f>
        <v>0.56999999999999995</v>
      </c>
      <c r="T291" s="24">
        <f>(H291*I291)+P291*Q291+S291*K291</f>
        <v>0</v>
      </c>
      <c r="U291" s="25">
        <f>IF(TRIM(N291&amp;"")="111444",
    IF(ROUNDUP(MAX(0,K291-(MAX(1,Q291)-1)*10)/10,0)=1,3,2),
    IF(TRIM(N291&amp;"")="VWPAL",
        IF(TRIM(R291&amp;"")="004147",1,2),
        ""
    )
)</f>
        <v>2</v>
      </c>
      <c r="V291" s="26" t="str">
        <f>IF(OR(TRIM(N291&amp;"")="111444",TRIM(N291&amp;"")="VWPAL"),
    IF(K291&lt;=0,"",
        IF(
            MIN(3,ROUNDUP(MAX(0,K291-(MAX(1,Q291)-1)*IF(TRIM(N291&amp;"")="111444",10,20))/IF(TRIM(N291&amp;"")="111444",10,20),0))=1,
            300,
            IF(
                MIN(3,ROUNDUP(MAX(0,K291-(MAX(1,Q291)-1)*IF(TRIM(N291&amp;"")="111444",10,20))/IF(TRIM(N291&amp;"")="111444",10,20),0))=2,
                450,
                600
            )
        )
    ),
    ""
)</f>
        <v/>
      </c>
    </row>
    <row r="292" spans="1:22" ht="48" customHeight="1" x14ac:dyDescent="0.25">
      <c r="A292" s="17"/>
      <c r="B292" s="17"/>
      <c r="C292" s="18"/>
      <c r="D292" s="17"/>
      <c r="E292" s="19"/>
      <c r="F292" s="20"/>
      <c r="G292" s="21"/>
      <c r="H292" s="17"/>
      <c r="I292" s="20"/>
      <c r="J292" s="17"/>
      <c r="K292" s="17"/>
      <c r="L292" s="22"/>
      <c r="M292" s="22"/>
      <c r="N292" s="22"/>
      <c r="O292" s="22"/>
      <c r="P292" s="22"/>
      <c r="Q292" s="22"/>
      <c r="R292" s="23"/>
      <c r="S292" s="22"/>
      <c r="T292" s="24"/>
      <c r="U292" s="25"/>
    </row>
    <row r="293" spans="1:22" ht="48" customHeight="1" x14ac:dyDescent="0.25">
      <c r="A293" s="17">
        <f>VLOOKUP(C293,[1]Werke!$A$1:$C$168,3,0)</f>
        <v>21</v>
      </c>
      <c r="B293" s="17" t="str">
        <f>VLOOKUP(C293,[1]Werke!$A$1:$C$168,2,0)</f>
        <v>GZD</v>
      </c>
      <c r="C293" s="18" t="s">
        <v>223</v>
      </c>
      <c r="D293" s="17" t="str">
        <f>VLOOKUP(C293,[1]Maliteslimalan!$A$1:$B$210,2,0)</f>
        <v>8000012572</v>
      </c>
      <c r="E293" s="19" t="str">
        <f>VLOOKUP(C293,[1]Bestellnr.!$A$1:$B$174,2,0)</f>
        <v>000006</v>
      </c>
      <c r="F293" s="20" t="str">
        <f t="shared" ref="F293:F303" si="160">VLOOKUP(G293,$U$1:$V$1730,2,0)</f>
        <v>N   910 216 01</v>
      </c>
      <c r="G293" s="21">
        <v>966796000</v>
      </c>
      <c r="H293" s="17">
        <f t="shared" ref="H293:H303" si="161">VLOOKUP(G293,Z$2:AA$1905,2,FALSE)</f>
        <v>2.8289999999999999E-2</v>
      </c>
      <c r="I293" s="20"/>
      <c r="J293" s="17">
        <f t="shared" ref="J293:J303" si="162">VLOOKUP(G293,W$2:X$1905,2,FALSE)</f>
        <v>460</v>
      </c>
      <c r="K293" s="17">
        <f t="shared" ref="K293:K303" si="163">I293/J293</f>
        <v>0</v>
      </c>
      <c r="L293" s="22">
        <v>20</v>
      </c>
      <c r="M293" s="22">
        <v>40</v>
      </c>
      <c r="N293" s="22" t="s">
        <v>155</v>
      </c>
      <c r="O293" s="22" t="str">
        <f t="shared" ref="O293:O303" si="164">VLOOKUP(N293,$AL$1285:$AM$1310,2,FALSE)</f>
        <v>001210</v>
      </c>
      <c r="P293" s="22">
        <f t="shared" ref="P293:P303" si="165">VLOOKUP(N293,AC$2:AD$1905,2,FALSE)</f>
        <v>55</v>
      </c>
      <c r="Q293" s="22"/>
      <c r="R293" s="23" t="s">
        <v>153</v>
      </c>
      <c r="S293" s="22">
        <f t="shared" ref="S293:S303" si="166">VLOOKUP(R293,AC$2:AD$1905,2,FALSE)</f>
        <v>0.56999999999999995</v>
      </c>
      <c r="T293" s="24">
        <f t="shared" ref="T293:T303" si="167">(H293*I293)+P293*Q293+S293*K293</f>
        <v>0</v>
      </c>
      <c r="U293" s="25">
        <f t="shared" ref="U293:U303" si="168">IF(TRIM(N293&amp;"")="111444",
    IF(ROUNDUP(MAX(0,K293-(MAX(1,Q293)-1)*10)/10,0)=1,3,2),
    IF(TRIM(N293&amp;"")="VWPAL",
        IF(TRIM(R293&amp;"")="004147",1,2),
        ""
    )
)</f>
        <v>2</v>
      </c>
      <c r="V293" s="26" t="str">
        <f t="shared" ref="V293:V303" si="169">IF(OR(TRIM(N293&amp;"")="111444",TRIM(N293&amp;"")="VWPAL"),
    IF(K293&lt;=0,"",
        IF(
            MIN(3,ROUNDUP(MAX(0,K293-(MAX(1,Q293)-1)*IF(TRIM(N293&amp;"")="111444",10,20))/IF(TRIM(N293&amp;"")="111444",10,20),0))=1,
            300,
            IF(
                MIN(3,ROUNDUP(MAX(0,K293-(MAX(1,Q293)-1)*IF(TRIM(N293&amp;"")="111444",10,20))/IF(TRIM(N293&amp;"")="111444",10,20),0))=2,
                450,
                600
            )
        )
    ),
    ""
)</f>
        <v/>
      </c>
    </row>
    <row r="294" spans="1:22" ht="48" customHeight="1" x14ac:dyDescent="0.25">
      <c r="A294" s="17">
        <f>VLOOKUP(C294,[1]Werke!$A$1:$C$168,3,0)</f>
        <v>13</v>
      </c>
      <c r="B294" s="17" t="str">
        <f>VLOOKUP(C294,[1]Werke!$A$1:$C$168,2,0)</f>
        <v>H09</v>
      </c>
      <c r="C294" s="18" t="s">
        <v>270</v>
      </c>
      <c r="D294" s="17">
        <f>VLOOKUP(C294,[1]Maliteslimalan!$A$1:$B$210,2,0)</f>
        <v>8000017842</v>
      </c>
      <c r="E294" s="19" t="str">
        <f>VLOOKUP(C294,[1]Bestellnr.!$A$1:$B$174,2,0)</f>
        <v>000006</v>
      </c>
      <c r="F294" s="20" t="str">
        <f t="shared" si="160"/>
        <v>N   910 216 01</v>
      </c>
      <c r="G294" s="21">
        <v>966796000</v>
      </c>
      <c r="H294" s="17">
        <f t="shared" si="161"/>
        <v>2.8289999999999999E-2</v>
      </c>
      <c r="I294" s="20"/>
      <c r="J294" s="17">
        <f t="shared" si="162"/>
        <v>460</v>
      </c>
      <c r="K294" s="17">
        <f t="shared" si="163"/>
        <v>0</v>
      </c>
      <c r="L294" s="22">
        <v>20</v>
      </c>
      <c r="M294" s="22">
        <v>60</v>
      </c>
      <c r="N294" s="22" t="s">
        <v>155</v>
      </c>
      <c r="O294" s="22" t="str">
        <f t="shared" si="164"/>
        <v>001210</v>
      </c>
      <c r="P294" s="22">
        <f t="shared" si="165"/>
        <v>55</v>
      </c>
      <c r="Q294" s="22"/>
      <c r="R294" s="23" t="s">
        <v>153</v>
      </c>
      <c r="S294" s="22">
        <f t="shared" si="166"/>
        <v>0.56999999999999995</v>
      </c>
      <c r="T294" s="24">
        <f t="shared" si="167"/>
        <v>0</v>
      </c>
      <c r="U294" s="25">
        <f t="shared" si="168"/>
        <v>2</v>
      </c>
      <c r="V294" s="26" t="str">
        <f t="shared" si="169"/>
        <v/>
      </c>
    </row>
    <row r="295" spans="1:22" ht="48" customHeight="1" x14ac:dyDescent="0.25">
      <c r="A295" s="17">
        <f>VLOOKUP(C295,[1]Werke!$A$1:$C$168,3,0)</f>
        <v>24</v>
      </c>
      <c r="B295" s="17" t="str">
        <f>VLOOKUP(C295,[1]Werke!$A$1:$C$168,2,0)</f>
        <v>CKH</v>
      </c>
      <c r="C295" s="18" t="s">
        <v>224</v>
      </c>
      <c r="D295" s="17">
        <f>VLOOKUP(C295,[1]Maliteslimalan!$A$1:$B$210,2,0)</f>
        <v>8000013551</v>
      </c>
      <c r="E295" s="19">
        <v>6</v>
      </c>
      <c r="F295" s="20" t="str">
        <f t="shared" si="160"/>
        <v>N   910 216 01</v>
      </c>
      <c r="G295" s="21">
        <v>966796000</v>
      </c>
      <c r="H295" s="17">
        <f t="shared" si="161"/>
        <v>2.8289999999999999E-2</v>
      </c>
      <c r="I295" s="20"/>
      <c r="J295" s="17">
        <f t="shared" si="162"/>
        <v>460</v>
      </c>
      <c r="K295" s="17">
        <f t="shared" si="163"/>
        <v>0</v>
      </c>
      <c r="L295" s="22">
        <v>10</v>
      </c>
      <c r="M295" s="22">
        <v>30</v>
      </c>
      <c r="N295" s="22">
        <v>111444</v>
      </c>
      <c r="O295" s="22" t="str">
        <f t="shared" si="164"/>
        <v>001006</v>
      </c>
      <c r="P295" s="22">
        <f t="shared" si="165"/>
        <v>34</v>
      </c>
      <c r="Q295" s="22"/>
      <c r="R295" s="23" t="s">
        <v>153</v>
      </c>
      <c r="S295" s="22">
        <f t="shared" si="166"/>
        <v>0.56999999999999995</v>
      </c>
      <c r="T295" s="24">
        <f t="shared" si="167"/>
        <v>0</v>
      </c>
      <c r="U295" s="25">
        <f t="shared" si="168"/>
        <v>2</v>
      </c>
      <c r="V295" s="26" t="str">
        <f t="shared" si="169"/>
        <v/>
      </c>
    </row>
    <row r="296" spans="1:22" ht="48" customHeight="1" x14ac:dyDescent="0.25">
      <c r="A296" s="17">
        <f>VLOOKUP(C296,[1]Werke!$A$1:$C$168,3,0)</f>
        <v>49</v>
      </c>
      <c r="B296" s="17" t="str">
        <f>VLOOKUP(C296,[1]Werke!$A$1:$C$168,2,0)</f>
        <v>CT</v>
      </c>
      <c r="C296" s="18" t="s">
        <v>217</v>
      </c>
      <c r="D296" s="17" t="str">
        <f>VLOOKUP(C296,[1]Maliteslimalan!$A$1:$B$210,2,0)</f>
        <v>8000012574</v>
      </c>
      <c r="E296" s="19" t="str">
        <f>VLOOKUP(C296,[1]Bestellnr.!$A$1:$B$174,2,0)</f>
        <v>000001</v>
      </c>
      <c r="F296" s="20" t="str">
        <f t="shared" si="160"/>
        <v>N   910 216 01</v>
      </c>
      <c r="G296" s="21">
        <v>966796000</v>
      </c>
      <c r="H296" s="17">
        <f t="shared" si="161"/>
        <v>2.8289999999999999E-2</v>
      </c>
      <c r="I296" s="20"/>
      <c r="J296" s="17">
        <f t="shared" si="162"/>
        <v>460</v>
      </c>
      <c r="K296" s="17">
        <f t="shared" si="163"/>
        <v>0</v>
      </c>
      <c r="L296" s="22">
        <v>10</v>
      </c>
      <c r="M296" s="22">
        <v>30</v>
      </c>
      <c r="N296" s="22">
        <v>111444</v>
      </c>
      <c r="O296" s="22" t="str">
        <f t="shared" si="164"/>
        <v>001006</v>
      </c>
      <c r="P296" s="22">
        <f t="shared" si="165"/>
        <v>34</v>
      </c>
      <c r="Q296" s="22"/>
      <c r="R296" s="23" t="s">
        <v>153</v>
      </c>
      <c r="S296" s="22">
        <f t="shared" si="166"/>
        <v>0.56999999999999995</v>
      </c>
      <c r="T296" s="24">
        <f t="shared" si="167"/>
        <v>0</v>
      </c>
      <c r="U296" s="25">
        <f t="shared" si="168"/>
        <v>2</v>
      </c>
      <c r="V296" s="26" t="str">
        <f t="shared" si="169"/>
        <v/>
      </c>
    </row>
    <row r="297" spans="1:22" ht="48" customHeight="1" x14ac:dyDescent="0.25">
      <c r="A297" s="17" t="str">
        <f>VLOOKUP(C297,[1]Werke!$A$1:$C$168,3,0)</f>
        <v>LD</v>
      </c>
      <c r="B297" s="17" t="str">
        <f>VLOOKUP(C297,[1]Werke!$A$1:$C$168,2,0)</f>
        <v>SLD</v>
      </c>
      <c r="C297" s="18">
        <v>83630</v>
      </c>
      <c r="D297" s="17" t="str">
        <f>VLOOKUP(C297,[1]Maliteslimalan!$A$1:$B$210,2,0)</f>
        <v>8000012862</v>
      </c>
      <c r="E297" s="19" t="str">
        <f>VLOOKUP(C297,[1]Bestellnr.!$A$1:$B$174,2,0)</f>
        <v>000006</v>
      </c>
      <c r="F297" s="20" t="str">
        <f t="shared" si="160"/>
        <v>N   910 216 01</v>
      </c>
      <c r="G297" s="21">
        <v>966796000</v>
      </c>
      <c r="H297" s="17">
        <f t="shared" si="161"/>
        <v>2.8289999999999999E-2</v>
      </c>
      <c r="I297" s="20"/>
      <c r="J297" s="17">
        <f t="shared" si="162"/>
        <v>460</v>
      </c>
      <c r="K297" s="17">
        <f t="shared" si="163"/>
        <v>0</v>
      </c>
      <c r="L297" s="22">
        <v>10</v>
      </c>
      <c r="M297" s="22">
        <v>30</v>
      </c>
      <c r="N297" s="22">
        <v>111444</v>
      </c>
      <c r="O297" s="22" t="str">
        <f t="shared" si="164"/>
        <v>001006</v>
      </c>
      <c r="P297" s="22">
        <f t="shared" si="165"/>
        <v>34</v>
      </c>
      <c r="Q297" s="22"/>
      <c r="R297" s="23" t="s">
        <v>153</v>
      </c>
      <c r="S297" s="22">
        <f t="shared" si="166"/>
        <v>0.56999999999999995</v>
      </c>
      <c r="T297" s="24">
        <f t="shared" si="167"/>
        <v>0</v>
      </c>
      <c r="U297" s="25">
        <f t="shared" si="168"/>
        <v>2</v>
      </c>
      <c r="V297" s="26" t="str">
        <f t="shared" si="169"/>
        <v/>
      </c>
    </row>
    <row r="298" spans="1:22" ht="48" customHeight="1" x14ac:dyDescent="0.25">
      <c r="A298" s="17">
        <f>VLOOKUP(C298,[1]Werke!$A$1:$C$168,3,0)</f>
        <v>14</v>
      </c>
      <c r="B298" s="17" t="str">
        <f>VLOOKUP(C298,[1]Werke!$A$1:$C$168,2,0)</f>
        <v>D72</v>
      </c>
      <c r="C298" s="18" t="s">
        <v>220</v>
      </c>
      <c r="D298" s="17" t="str">
        <f>VLOOKUP(C298,[1]Maliteslimalan!$A$1:$B$210,2,0)</f>
        <v>8000013493</v>
      </c>
      <c r="E298" s="19">
        <f>VLOOKUP(C298,[1]Bestellnr.!$A$1:$B$174,2,0)</f>
        <v>0</v>
      </c>
      <c r="F298" s="20" t="str">
        <f t="shared" si="160"/>
        <v>N   910 216 01</v>
      </c>
      <c r="G298" s="21">
        <v>966796000</v>
      </c>
      <c r="H298" s="17">
        <f t="shared" si="161"/>
        <v>2.8289999999999999E-2</v>
      </c>
      <c r="I298" s="20"/>
      <c r="J298" s="17">
        <f t="shared" si="162"/>
        <v>460</v>
      </c>
      <c r="K298" s="17">
        <f t="shared" si="163"/>
        <v>0</v>
      </c>
      <c r="L298" s="22">
        <v>10</v>
      </c>
      <c r="M298" s="22">
        <v>30</v>
      </c>
      <c r="N298" s="22">
        <v>111444</v>
      </c>
      <c r="O298" s="22" t="str">
        <f t="shared" si="164"/>
        <v>001006</v>
      </c>
      <c r="P298" s="22">
        <f t="shared" si="165"/>
        <v>34</v>
      </c>
      <c r="Q298" s="22"/>
      <c r="R298" s="23" t="s">
        <v>153</v>
      </c>
      <c r="S298" s="22">
        <f t="shared" si="166"/>
        <v>0.56999999999999995</v>
      </c>
      <c r="T298" s="24">
        <f t="shared" si="167"/>
        <v>0</v>
      </c>
      <c r="U298" s="25">
        <f t="shared" si="168"/>
        <v>2</v>
      </c>
      <c r="V298" s="26" t="str">
        <f t="shared" si="169"/>
        <v/>
      </c>
    </row>
    <row r="299" spans="1:22" ht="48" customHeight="1" x14ac:dyDescent="0.25">
      <c r="A299" s="17">
        <f>VLOOKUP(C299,[1]Werke!$A$1:$C$168,3,0)</f>
        <v>22</v>
      </c>
      <c r="B299" s="17" t="str">
        <f>VLOOKUP(C299,[1]Werke!$A$1:$C$168,2,0)</f>
        <v>13P</v>
      </c>
      <c r="C299" s="18" t="s">
        <v>230</v>
      </c>
      <c r="D299" s="17" t="str">
        <f>VLOOKUP(C299,[1]Maliteslimalan!$A$1:$B$210,2,0)</f>
        <v>8000013344</v>
      </c>
      <c r="E299" s="19" t="str">
        <f>VLOOKUP(C299,[1]Bestellnr.!$A$1:$B$174,2,0)</f>
        <v>000006</v>
      </c>
      <c r="F299" s="20" t="str">
        <f t="shared" si="160"/>
        <v>N   910 216 01</v>
      </c>
      <c r="G299" s="21">
        <v>966796000</v>
      </c>
      <c r="H299" s="17">
        <f t="shared" si="161"/>
        <v>2.8289999999999999E-2</v>
      </c>
      <c r="I299" s="20"/>
      <c r="J299" s="17">
        <f t="shared" si="162"/>
        <v>460</v>
      </c>
      <c r="K299" s="17">
        <f t="shared" si="163"/>
        <v>0</v>
      </c>
      <c r="L299" s="22">
        <v>10</v>
      </c>
      <c r="M299" s="22">
        <v>30</v>
      </c>
      <c r="N299" s="22">
        <v>111444</v>
      </c>
      <c r="O299" s="22" t="str">
        <f t="shared" si="164"/>
        <v>001006</v>
      </c>
      <c r="P299" s="22">
        <f t="shared" si="165"/>
        <v>34</v>
      </c>
      <c r="Q299" s="22"/>
      <c r="R299" s="23" t="s">
        <v>153</v>
      </c>
      <c r="S299" s="22">
        <f t="shared" si="166"/>
        <v>0.56999999999999995</v>
      </c>
      <c r="T299" s="24">
        <f t="shared" si="167"/>
        <v>0</v>
      </c>
      <c r="U299" s="25">
        <f t="shared" si="168"/>
        <v>2</v>
      </c>
      <c r="V299" s="26" t="str">
        <f t="shared" si="169"/>
        <v/>
      </c>
    </row>
    <row r="300" spans="1:22" ht="48" customHeight="1" x14ac:dyDescent="0.25">
      <c r="A300" s="17">
        <f>VLOOKUP(C300,[1]Werke!$A$1:$C$168,3,0)</f>
        <v>37</v>
      </c>
      <c r="B300" s="17" t="str">
        <f>VLOOKUP(C300,[1]Werke!$A$1:$C$168,2,0)</f>
        <v>AKL</v>
      </c>
      <c r="C300" s="18" t="s">
        <v>232</v>
      </c>
      <c r="D300" s="17" t="str">
        <f>VLOOKUP(C300,[1]Maliteslimalan!$A$1:$B$210,2,0)</f>
        <v>8000012562</v>
      </c>
      <c r="E300" s="19" t="str">
        <f>VLOOKUP(C300,[1]Bestellnr.!$A$1:$B$174,2,0)</f>
        <v>000006</v>
      </c>
      <c r="F300" s="20" t="str">
        <f t="shared" si="160"/>
        <v>N   910 216 01</v>
      </c>
      <c r="G300" s="21">
        <v>966796000</v>
      </c>
      <c r="H300" s="17">
        <f t="shared" si="161"/>
        <v>2.8289999999999999E-2</v>
      </c>
      <c r="I300" s="20"/>
      <c r="J300" s="17">
        <f t="shared" si="162"/>
        <v>460</v>
      </c>
      <c r="K300" s="17">
        <f t="shared" si="163"/>
        <v>0</v>
      </c>
      <c r="L300" s="22">
        <v>10</v>
      </c>
      <c r="M300" s="22">
        <v>30</v>
      </c>
      <c r="N300" s="22">
        <v>111444</v>
      </c>
      <c r="O300" s="22" t="str">
        <f t="shared" si="164"/>
        <v>001006</v>
      </c>
      <c r="P300" s="22">
        <f t="shared" si="165"/>
        <v>34</v>
      </c>
      <c r="Q300" s="22"/>
      <c r="R300" s="23" t="s">
        <v>153</v>
      </c>
      <c r="S300" s="22">
        <f t="shared" si="166"/>
        <v>0.56999999999999995</v>
      </c>
      <c r="T300" s="24">
        <f t="shared" si="167"/>
        <v>0</v>
      </c>
      <c r="U300" s="25">
        <f t="shared" si="168"/>
        <v>2</v>
      </c>
      <c r="V300" s="26" t="str">
        <f t="shared" si="169"/>
        <v/>
      </c>
    </row>
    <row r="301" spans="1:22" ht="48" customHeight="1" x14ac:dyDescent="0.25">
      <c r="A301" s="17">
        <f>VLOOKUP(C301,[1]Werke!$A$1:$C$168,3,0)</f>
        <v>31</v>
      </c>
      <c r="B301" s="17" t="str">
        <f>VLOOKUP(C301,[1]Werke!$A$1:$C$168,2,0)</f>
        <v>BH7</v>
      </c>
      <c r="C301" s="18" t="s">
        <v>250</v>
      </c>
      <c r="D301" s="17">
        <f>VLOOKUP(C301,[1]Maliteslimalan!$A$1:$B$210,2,0)</f>
        <v>8000015577</v>
      </c>
      <c r="E301" s="19">
        <v>6</v>
      </c>
      <c r="F301" s="20" t="str">
        <f t="shared" si="160"/>
        <v>N   910 216 01</v>
      </c>
      <c r="G301" s="21">
        <v>966796000</v>
      </c>
      <c r="H301" s="17">
        <f t="shared" si="161"/>
        <v>2.8289999999999999E-2</v>
      </c>
      <c r="I301" s="20"/>
      <c r="J301" s="17">
        <f t="shared" si="162"/>
        <v>460</v>
      </c>
      <c r="K301" s="17">
        <f t="shared" si="163"/>
        <v>0</v>
      </c>
      <c r="L301" s="22">
        <v>10</v>
      </c>
      <c r="M301" s="22">
        <v>10</v>
      </c>
      <c r="N301" s="22">
        <v>111444</v>
      </c>
      <c r="O301" s="22" t="str">
        <f t="shared" si="164"/>
        <v>001006</v>
      </c>
      <c r="P301" s="22">
        <f t="shared" si="165"/>
        <v>34</v>
      </c>
      <c r="Q301" s="22"/>
      <c r="R301" s="23" t="s">
        <v>153</v>
      </c>
      <c r="S301" s="22">
        <f t="shared" si="166"/>
        <v>0.56999999999999995</v>
      </c>
      <c r="T301" s="24">
        <f t="shared" si="167"/>
        <v>0</v>
      </c>
      <c r="U301" s="25">
        <f t="shared" si="168"/>
        <v>2</v>
      </c>
      <c r="V301" s="26" t="str">
        <f t="shared" si="169"/>
        <v/>
      </c>
    </row>
    <row r="302" spans="1:22" ht="48" customHeight="1" x14ac:dyDescent="0.25">
      <c r="A302" s="17">
        <f>VLOOKUP(C302,[1]Werke!$A$1:$C$168,3,0)</f>
        <v>42</v>
      </c>
      <c r="B302" s="17" t="str">
        <f>VLOOKUP(C302,[1]Werke!$A$1:$C$168,2,0)</f>
        <v>CC1</v>
      </c>
      <c r="C302" s="18" t="s">
        <v>241</v>
      </c>
      <c r="D302" s="17" t="str">
        <f>VLOOKUP(C302,[1]Maliteslimalan!$A$1:$B$210,2,0)</f>
        <v>8000012577</v>
      </c>
      <c r="E302" s="19" t="str">
        <f>VLOOKUP(C302,[1]Bestellnr.!$A$1:$B$174,2,0)</f>
        <v>000001</v>
      </c>
      <c r="F302" s="20" t="str">
        <f t="shared" si="160"/>
        <v>N   910 216 01</v>
      </c>
      <c r="G302" s="21">
        <v>966796000</v>
      </c>
      <c r="H302" s="17">
        <f t="shared" si="161"/>
        <v>2.8289999999999999E-2</v>
      </c>
      <c r="I302" s="20"/>
      <c r="J302" s="17">
        <f t="shared" si="162"/>
        <v>460</v>
      </c>
      <c r="K302" s="17">
        <f t="shared" si="163"/>
        <v>0</v>
      </c>
      <c r="L302" s="22">
        <v>20</v>
      </c>
      <c r="M302" s="22">
        <v>60</v>
      </c>
      <c r="N302" s="22" t="s">
        <v>155</v>
      </c>
      <c r="O302" s="22" t="str">
        <f t="shared" si="164"/>
        <v>001210</v>
      </c>
      <c r="P302" s="22">
        <f t="shared" si="165"/>
        <v>55</v>
      </c>
      <c r="Q302" s="22"/>
      <c r="R302" s="23" t="s">
        <v>153</v>
      </c>
      <c r="S302" s="22">
        <f t="shared" si="166"/>
        <v>0.56999999999999995</v>
      </c>
      <c r="T302" s="24">
        <f t="shared" si="167"/>
        <v>0</v>
      </c>
      <c r="U302" s="25">
        <f t="shared" si="168"/>
        <v>2</v>
      </c>
      <c r="V302" s="26" t="str">
        <f t="shared" si="169"/>
        <v/>
      </c>
    </row>
    <row r="303" spans="1:22" ht="48" customHeight="1" x14ac:dyDescent="0.25">
      <c r="A303" s="17">
        <f>VLOOKUP(C303,[1]Werke!$A$1:$C$168,3,0)</f>
        <v>24</v>
      </c>
      <c r="B303" s="17" t="str">
        <f>VLOOKUP(C303,[1]Werke!$A$1:$C$168,2,0)</f>
        <v>CKS</v>
      </c>
      <c r="C303" s="18" t="s">
        <v>245</v>
      </c>
      <c r="D303" s="17" t="str">
        <f>VLOOKUP(C303,[1]Maliteslimalan!$A$1:$B$210,2,0)</f>
        <v>8000012647</v>
      </c>
      <c r="E303" s="19" t="str">
        <f>VLOOKUP(C303,[1]Bestellnr.!$A$1:$B$174,2,0)</f>
        <v>000006</v>
      </c>
      <c r="F303" s="20" t="str">
        <f t="shared" si="160"/>
        <v>N   910 216 01</v>
      </c>
      <c r="G303" s="21">
        <v>966796000</v>
      </c>
      <c r="H303" s="17">
        <f t="shared" si="161"/>
        <v>2.8289999999999999E-2</v>
      </c>
      <c r="I303" s="20"/>
      <c r="J303" s="17">
        <f t="shared" si="162"/>
        <v>460</v>
      </c>
      <c r="K303" s="17">
        <f t="shared" si="163"/>
        <v>0</v>
      </c>
      <c r="L303" s="22">
        <v>10</v>
      </c>
      <c r="M303" s="22">
        <v>30</v>
      </c>
      <c r="N303" s="22">
        <v>111444</v>
      </c>
      <c r="O303" s="22" t="str">
        <f t="shared" si="164"/>
        <v>001006</v>
      </c>
      <c r="P303" s="22">
        <f t="shared" si="165"/>
        <v>34</v>
      </c>
      <c r="Q303" s="22"/>
      <c r="R303" s="23" t="s">
        <v>153</v>
      </c>
      <c r="S303" s="22">
        <f t="shared" si="166"/>
        <v>0.56999999999999995</v>
      </c>
      <c r="T303" s="24">
        <f t="shared" si="167"/>
        <v>0</v>
      </c>
      <c r="U303" s="25">
        <f t="shared" si="168"/>
        <v>2</v>
      </c>
      <c r="V303" s="26" t="str">
        <f t="shared" si="169"/>
        <v/>
      </c>
    </row>
    <row r="304" spans="1:22" ht="48" customHeight="1" x14ac:dyDescent="0.25">
      <c r="A304" s="17"/>
      <c r="B304" s="17"/>
      <c r="C304" s="18"/>
      <c r="D304" s="17"/>
      <c r="E304" s="19"/>
      <c r="F304" s="20"/>
      <c r="G304" s="21"/>
      <c r="H304" s="17"/>
      <c r="I304" s="20"/>
      <c r="J304" s="17"/>
      <c r="K304" s="17"/>
      <c r="L304" s="22"/>
      <c r="M304" s="22"/>
      <c r="N304" s="22"/>
      <c r="O304" s="22"/>
      <c r="P304" s="22"/>
      <c r="Q304" s="22"/>
      <c r="R304" s="23"/>
      <c r="S304" s="22"/>
      <c r="T304" s="24"/>
      <c r="U304" s="25"/>
    </row>
    <row r="305" spans="1:22" ht="48.2" customHeight="1" x14ac:dyDescent="0.25">
      <c r="A305" s="17">
        <f>VLOOKUP(C305,[1]Werke!$A$1:$C$168,3,0)</f>
        <v>14</v>
      </c>
      <c r="B305" s="17" t="str">
        <f>VLOOKUP(C305,[1]Werke!$A$1:$C$168,2,0)</f>
        <v>D85</v>
      </c>
      <c r="C305" s="18" t="s">
        <v>239</v>
      </c>
      <c r="D305" s="17" t="str">
        <f>VLOOKUP(C305,[1]Maliteslimalan!$A$1:$B$210,2,0)</f>
        <v>8000012682</v>
      </c>
      <c r="E305" s="19">
        <f>VLOOKUP(C305,[1]Bestellnr.!$A$1:$B$174,2,0)</f>
        <v>0</v>
      </c>
      <c r="F305" s="20" t="str">
        <f>VLOOKUP(G305,$U$1:$V$1730,2,0)</f>
        <v>N   910 941 02</v>
      </c>
      <c r="G305" s="21">
        <v>936539000</v>
      </c>
      <c r="H305" s="17">
        <f>VLOOKUP(G305,Z$2:AA$1905,2,FALSE)</f>
        <v>4.011E-2</v>
      </c>
      <c r="I305" s="20"/>
      <c r="J305" s="17">
        <f>VLOOKUP(G305,W$2:X$1905,2,FALSE)</f>
        <v>350</v>
      </c>
      <c r="K305" s="17">
        <f>I305/J305</f>
        <v>0</v>
      </c>
      <c r="L305" s="22">
        <v>10</v>
      </c>
      <c r="M305" s="22">
        <v>30</v>
      </c>
      <c r="N305" s="22">
        <v>111444</v>
      </c>
      <c r="O305" s="22" t="str">
        <f>VLOOKUP(N305,$AL$1285:$AM$1310,2,FALSE)</f>
        <v>001006</v>
      </c>
      <c r="P305" s="22">
        <f>VLOOKUP(N305,AC$2:AD$1905,2,FALSE)</f>
        <v>34</v>
      </c>
      <c r="Q305" s="22"/>
      <c r="R305" s="23" t="s">
        <v>153</v>
      </c>
      <c r="S305" s="22">
        <f>VLOOKUP(R305,AC$2:AD$1905,2,FALSE)</f>
        <v>0.56999999999999995</v>
      </c>
      <c r="T305" s="24">
        <f>(H305*I305)+P305*Q305+S305*K305</f>
        <v>0</v>
      </c>
      <c r="U305" s="25">
        <f>IF(TRIM(N305&amp;"")="111444",
    IF(ROUNDUP(MAX(0,K305-(MAX(1,Q305)-1)*10)/10,0)=1,3,2),
    IF(TRIM(N305&amp;"")="VWPAL",
        IF(TRIM(R305&amp;"")="004147",1,2),
        ""
    )
)</f>
        <v>2</v>
      </c>
      <c r="V305" s="26" t="str">
        <f>IF(OR(TRIM(N305&amp;"")="111444",TRIM(N305&amp;"")="VWPAL"),
    IF(K305&lt;=0,"",
        IF(
            MIN(3,ROUNDUP(MAX(0,K305-(MAX(1,Q305)-1)*IF(TRIM(N305&amp;"")="111444",10,20))/IF(TRIM(N305&amp;"")="111444",10,20),0))=1,
            300,
            IF(
                MIN(3,ROUNDUP(MAX(0,K305-(MAX(1,Q305)-1)*IF(TRIM(N305&amp;"")="111444",10,20))/IF(TRIM(N305&amp;"")="111444",10,20),0))=2,
                450,
                600
            )
        )
    ),
    ""
)</f>
        <v/>
      </c>
    </row>
    <row r="306" spans="1:22" ht="48.2" customHeight="1" x14ac:dyDescent="0.25">
      <c r="A306" s="17"/>
      <c r="B306" s="17"/>
      <c r="C306" s="18"/>
      <c r="D306" s="17"/>
      <c r="E306" s="19"/>
      <c r="F306" s="20"/>
      <c r="G306" s="21"/>
      <c r="H306" s="17"/>
      <c r="I306" s="20"/>
      <c r="J306" s="17"/>
      <c r="K306" s="17"/>
      <c r="L306" s="22"/>
      <c r="M306" s="22"/>
      <c r="N306" s="22"/>
      <c r="O306" s="22"/>
      <c r="P306" s="22"/>
      <c r="Q306" s="22"/>
      <c r="R306" s="23"/>
      <c r="S306" s="22"/>
      <c r="T306" s="24"/>
      <c r="U306" s="25"/>
    </row>
    <row r="307" spans="1:22" ht="48.2" customHeight="1" x14ac:dyDescent="0.25">
      <c r="A307" s="17">
        <f>VLOOKUP(C307,[1]Werke!$A$1:$C$168,3,0)</f>
        <v>22</v>
      </c>
      <c r="B307" s="17" t="str">
        <f>VLOOKUP(C307,[1]Werke!$A$1:$C$168,2,0)</f>
        <v>13P</v>
      </c>
      <c r="C307" s="18" t="s">
        <v>230</v>
      </c>
      <c r="D307" s="17" t="str">
        <f>VLOOKUP(C307,[1]Maliteslimalan!$A$1:$B$210,2,0)</f>
        <v>8000013344</v>
      </c>
      <c r="E307" s="19" t="str">
        <f>VLOOKUP(C307,[1]Bestellnr.!$A$1:$B$174,2,0)</f>
        <v>000006</v>
      </c>
      <c r="F307" s="20" t="str">
        <f>VLOOKUP(G307,$U$1:$V$1730,2,0)</f>
        <v>N   910 953 01</v>
      </c>
      <c r="G307" s="21">
        <v>923519000</v>
      </c>
      <c r="H307" s="17">
        <f>VLOOKUP(G307,Z$2:AA$1905,2,FALSE)</f>
        <v>1.2760000000000001E-2</v>
      </c>
      <c r="I307" s="20"/>
      <c r="J307" s="17">
        <f>VLOOKUP(G307,W$2:X$1905,2,FALSE)</f>
        <v>1000</v>
      </c>
      <c r="K307" s="17">
        <f>I307/J307</f>
        <v>0</v>
      </c>
      <c r="L307" s="22">
        <v>10</v>
      </c>
      <c r="M307" s="22">
        <v>30</v>
      </c>
      <c r="N307" s="22">
        <v>111444</v>
      </c>
      <c r="O307" s="22" t="str">
        <f>VLOOKUP(N307,$AL$1285:$AM$1310,2,FALSE)</f>
        <v>001006</v>
      </c>
      <c r="P307" s="22">
        <f>VLOOKUP(N307,AC$2:AD$1905,2,FALSE)</f>
        <v>34</v>
      </c>
      <c r="Q307" s="22"/>
      <c r="R307" s="23" t="s">
        <v>153</v>
      </c>
      <c r="S307" s="22">
        <f>VLOOKUP(R307,AC$2:AD$1905,2,FALSE)</f>
        <v>0.56999999999999995</v>
      </c>
      <c r="T307" s="24">
        <f>(H307*I307)+P307*Q307+S307*K307</f>
        <v>0</v>
      </c>
      <c r="U307" s="25">
        <f>IF(TRIM(N307&amp;"")="111444",
    IF(ROUNDUP(MAX(0,K307-(MAX(1,Q307)-1)*10)/10,0)=1,3,2),
    IF(TRIM(N307&amp;"")="VWPAL",
        IF(TRIM(R307&amp;"")="004147",1,2),
        ""
    )
)</f>
        <v>2</v>
      </c>
      <c r="V307" s="26" t="str">
        <f>IF(OR(TRIM(N307&amp;"")="111444",TRIM(N307&amp;"")="VWPAL"),
    IF(K307&lt;=0,"",
        IF(
            MIN(3,ROUNDUP(MAX(0,K307-(MAX(1,Q307)-1)*IF(TRIM(N307&amp;"")="111444",10,20))/IF(TRIM(N307&amp;"")="111444",10,20),0))=1,
            300,
            IF(
                MIN(3,ROUNDUP(MAX(0,K307-(MAX(1,Q307)-1)*IF(TRIM(N307&amp;"")="111444",10,20))/IF(TRIM(N307&amp;"")="111444",10,20),0))=2,
                450,
                600
            )
        )
    ),
    ""
)</f>
        <v/>
      </c>
    </row>
    <row r="308" spans="1:22" ht="48.2" customHeight="1" x14ac:dyDescent="0.25">
      <c r="A308" s="17">
        <f>VLOOKUP(C308,[1]Werke!$A$1:$C$168,3,0)</f>
        <v>14</v>
      </c>
      <c r="B308" s="17" t="str">
        <f>VLOOKUP(C308,[1]Werke!$A$1:$C$168,2,0)</f>
        <v>D72</v>
      </c>
      <c r="C308" s="18" t="s">
        <v>220</v>
      </c>
      <c r="D308" s="17" t="str">
        <f>VLOOKUP(C308,[1]Maliteslimalan!$A$1:$B$210,2,0)</f>
        <v>8000013493</v>
      </c>
      <c r="E308" s="19">
        <f>VLOOKUP(C308,[1]Bestellnr.!$A$1:$B$174,2,0)</f>
        <v>0</v>
      </c>
      <c r="F308" s="20" t="str">
        <f>VLOOKUP(G308,$U$1:$V$1730,2,0)</f>
        <v>N   910 953 01</v>
      </c>
      <c r="G308" s="21">
        <v>923519000</v>
      </c>
      <c r="H308" s="17">
        <f>VLOOKUP(G308,Z$2:AA$1905,2,FALSE)</f>
        <v>1.2760000000000001E-2</v>
      </c>
      <c r="I308" s="20"/>
      <c r="J308" s="17">
        <v>1000</v>
      </c>
      <c r="K308" s="17">
        <f>I308/J308</f>
        <v>0</v>
      </c>
      <c r="L308" s="22">
        <v>20</v>
      </c>
      <c r="M308" s="22">
        <v>60</v>
      </c>
      <c r="N308" s="22" t="s">
        <v>155</v>
      </c>
      <c r="O308" s="22" t="str">
        <f>VLOOKUP(N308,$AL$1285:$AM$1310,2,FALSE)</f>
        <v>001210</v>
      </c>
      <c r="P308" s="22">
        <f>VLOOKUP(N308,AC$2:AD$1905,2,FALSE)</f>
        <v>55</v>
      </c>
      <c r="Q308" s="22"/>
      <c r="R308" s="23" t="s">
        <v>153</v>
      </c>
      <c r="S308" s="22">
        <f>VLOOKUP(R308,AC$2:AD$1905,2,FALSE)</f>
        <v>0.56999999999999995</v>
      </c>
      <c r="T308" s="24">
        <f>(H308*I308)+P308*Q308+S308*K308</f>
        <v>0</v>
      </c>
      <c r="U308" s="25">
        <f>IF(TRIM(N308&amp;"")="111444",
    IF(ROUNDUP(MAX(0,K308-(MAX(1,Q308)-1)*10)/10,0)=1,3,2),
    IF(TRIM(N308&amp;"")="VWPAL",
        IF(TRIM(R308&amp;"")="004147",1,2),
        ""
    )
)</f>
        <v>2</v>
      </c>
      <c r="V308" s="26" t="str">
        <f>IF(OR(TRIM(N308&amp;"")="111444",TRIM(N308&amp;"")="VWPAL"),
    IF(K308&lt;=0,"",
        IF(
            MIN(3,ROUNDUP(MAX(0,K308-(MAX(1,Q308)-1)*IF(TRIM(N308&amp;"")="111444",10,20))/IF(TRIM(N308&amp;"")="111444",10,20),0))=1,
            300,
            IF(
                MIN(3,ROUNDUP(MAX(0,K308-(MAX(1,Q308)-1)*IF(TRIM(N308&amp;"")="111444",10,20))/IF(TRIM(N308&amp;"")="111444",10,20),0))=2,
                450,
                600
            )
        )
    ),
    ""
)</f>
        <v/>
      </c>
    </row>
    <row r="309" spans="1:22" ht="48.2" customHeight="1" x14ac:dyDescent="0.25">
      <c r="A309" s="17"/>
      <c r="B309" s="17"/>
      <c r="C309" s="18"/>
      <c r="D309" s="17"/>
      <c r="E309" s="19"/>
      <c r="F309" s="20"/>
      <c r="G309" s="21"/>
      <c r="H309" s="17"/>
      <c r="I309" s="20"/>
      <c r="J309" s="17"/>
      <c r="K309" s="17"/>
      <c r="L309" s="22"/>
      <c r="M309" s="22"/>
      <c r="N309" s="22"/>
      <c r="O309" s="22"/>
      <c r="P309" s="22"/>
      <c r="Q309" s="22"/>
      <c r="R309" s="23"/>
      <c r="S309" s="22"/>
      <c r="T309" s="24"/>
      <c r="U309" s="25"/>
    </row>
    <row r="310" spans="1:22" ht="48" customHeight="1" x14ac:dyDescent="0.25">
      <c r="A310" s="17">
        <f>VLOOKUP(C310,[1]Werke!$A$1:$C$168,3,0)</f>
        <v>12</v>
      </c>
      <c r="B310" s="17">
        <f>VLOOKUP(C310,[1]Werke!$A$1:$C$168,2,0)</f>
        <v>0</v>
      </c>
      <c r="C310" s="18" t="s">
        <v>271</v>
      </c>
      <c r="D310" s="17">
        <f>VLOOKUP(C310,[1]Maliteslimalan!$A$1:$B$210,2,0)</f>
        <v>8000017843</v>
      </c>
      <c r="E310" s="19">
        <v>6</v>
      </c>
      <c r="F310" s="20" t="str">
        <f>VLOOKUP(G310,$U$1:$V$1730,2,0)</f>
        <v>N   911 266 01</v>
      </c>
      <c r="G310" s="21">
        <v>932337000</v>
      </c>
      <c r="H310" s="17">
        <f>VLOOKUP(G310,Z$2:AA$1905,2,FALSE)</f>
        <v>6.3400000000000001E-3</v>
      </c>
      <c r="I310" s="20"/>
      <c r="J310" s="17">
        <f>VLOOKUP(G310,W$2:X$1905,2,FALSE)</f>
        <v>2400</v>
      </c>
      <c r="K310" s="17">
        <f>I310/J310</f>
        <v>0</v>
      </c>
      <c r="L310" s="22">
        <v>10</v>
      </c>
      <c r="M310" s="22">
        <v>10</v>
      </c>
      <c r="N310" s="22">
        <v>111444</v>
      </c>
      <c r="O310" s="22" t="str">
        <f>VLOOKUP(N310,$AL$1285:$AM$1310,2,FALSE)</f>
        <v>001006</v>
      </c>
      <c r="P310" s="22">
        <f>VLOOKUP(N310,AC$2:AD$1905,2,FALSE)</f>
        <v>34</v>
      </c>
      <c r="Q310" s="22"/>
      <c r="R310" s="23" t="s">
        <v>153</v>
      </c>
      <c r="S310" s="22">
        <f>VLOOKUP(R310,AC$2:AD$1905,2,FALSE)</f>
        <v>0.56999999999999995</v>
      </c>
      <c r="T310" s="24">
        <f>(H310*I310)+P310*Q310+S310*K310</f>
        <v>0</v>
      </c>
      <c r="U310" s="25">
        <f>IF(TRIM(N310&amp;"")="111444",
    IF(ROUNDUP(MAX(0,K310-(MAX(1,Q310)-1)*10)/10,0)=1,3,2),
    IF(TRIM(N310&amp;"")="VWPAL",
        IF(TRIM(R310&amp;"")="004147",1,2),
        ""
    )
)</f>
        <v>2</v>
      </c>
      <c r="V310" s="26" t="str">
        <f>IF(OR(TRIM(N310&amp;"")="111444",TRIM(N310&amp;"")="VWPAL"),
    IF(K310&lt;=0,"",
        IF(
            MIN(3,ROUNDUP(MAX(0,K310-(MAX(1,Q310)-1)*IF(TRIM(N310&amp;"")="111444",10,20))/IF(TRIM(N310&amp;"")="111444",10,20),0))=1,
            300,
            IF(
                MIN(3,ROUNDUP(MAX(0,K310-(MAX(1,Q310)-1)*IF(TRIM(N310&amp;"")="111444",10,20))/IF(TRIM(N310&amp;"")="111444",10,20),0))=2,
                450,
                600
            )
        )
    ),
    ""
)</f>
        <v/>
      </c>
    </row>
    <row r="311" spans="1:22" ht="48" customHeight="1" x14ac:dyDescent="0.25">
      <c r="A311" s="17">
        <f>VLOOKUP(C311,[1]Werke!$A$1:$C$168,3,0)</f>
        <v>88</v>
      </c>
      <c r="B311" s="17" t="str">
        <f>VLOOKUP(C311,[1]Werke!$A$1:$C$168,2,0)</f>
        <v>02</v>
      </c>
      <c r="C311" s="20" t="s">
        <v>167</v>
      </c>
      <c r="D311" s="17" t="str">
        <f>VLOOKUP(C311,[1]Maliteslimalan!$A$1:$B$210,2,0)</f>
        <v>8000012643</v>
      </c>
      <c r="E311" s="19" t="str">
        <f>VLOOKUP(C311,[1]Bestellnr.!$A$1:$B$174,2,0)</f>
        <v>000088</v>
      </c>
      <c r="F311" s="20" t="str">
        <f>VLOOKUP(G311,$U$1:$V$1730,2,0)</f>
        <v>N   911 266 01</v>
      </c>
      <c r="G311" s="21">
        <v>932337000</v>
      </c>
      <c r="H311" s="17">
        <f>VLOOKUP(G311,Z$2:AA$1905,2,FALSE)</f>
        <v>6.3400000000000001E-3</v>
      </c>
      <c r="I311" s="20"/>
      <c r="J311" s="17">
        <f>VLOOKUP(G311,W$2:X$1905,2,FALSE)</f>
        <v>2400</v>
      </c>
      <c r="K311" s="17">
        <f>I311/J311</f>
        <v>0</v>
      </c>
      <c r="L311" s="22">
        <v>10</v>
      </c>
      <c r="M311" s="22">
        <v>30</v>
      </c>
      <c r="N311" s="22">
        <v>111444</v>
      </c>
      <c r="O311" s="22" t="str">
        <f>VLOOKUP(N311,$AL$1285:$AM$1310,2,FALSE)</f>
        <v>001006</v>
      </c>
      <c r="P311" s="22">
        <f>VLOOKUP(N311,AC$2:AD$1905,2,FALSE)</f>
        <v>34</v>
      </c>
      <c r="Q311" s="22"/>
      <c r="R311" s="23" t="s">
        <v>153</v>
      </c>
      <c r="S311" s="22">
        <f>VLOOKUP(R311,AC$2:AD$1905,2,FALSE)</f>
        <v>0.56999999999999995</v>
      </c>
      <c r="T311" s="24">
        <f>(H311*I311)+P311*Q311+S311*K311</f>
        <v>0</v>
      </c>
      <c r="U311" s="25">
        <f>IF(TRIM(N311&amp;"")="111444",
    IF(ROUNDUP(MAX(0,K311-(MAX(1,Q311)-1)*10)/10,0)=1,3,2),
    IF(TRIM(N311&amp;"")="VWPAL",
        IF(TRIM(R311&amp;"")="004147",1,2),
        ""
    )
)</f>
        <v>2</v>
      </c>
      <c r="V311" s="26" t="str">
        <f>IF(OR(TRIM(N311&amp;"")="111444",TRIM(N311&amp;"")="VWPAL"),
    IF(K311&lt;=0,"",
        IF(
            MIN(3,ROUNDUP(MAX(0,K311-(MAX(1,Q311)-1)*IF(TRIM(N311&amp;"")="111444",10,20))/IF(TRIM(N311&amp;"")="111444",10,20),0))=1,
            300,
            IF(
                MIN(3,ROUNDUP(MAX(0,K311-(MAX(1,Q311)-1)*IF(TRIM(N311&amp;"")="111444",10,20))/IF(TRIM(N311&amp;"")="111444",10,20),0))=2,
                450,
                600
            )
        )
    ),
    ""
)</f>
        <v/>
      </c>
    </row>
    <row r="312" spans="1:22" ht="48" customHeight="1" x14ac:dyDescent="0.25">
      <c r="A312" s="17" t="str">
        <f>VLOOKUP(C312,[1]Werke!$A$1:$C$168,3,0)</f>
        <v>26D</v>
      </c>
      <c r="B312" s="17" t="str">
        <f>VLOOKUP(C312,[1]Werke!$A$1:$C$168,2,0)</f>
        <v>G18</v>
      </c>
      <c r="C312" s="18" t="s">
        <v>272</v>
      </c>
      <c r="D312" s="17" t="str">
        <f>VLOOKUP(C312,[1]Maliteslimalan!$A$1:$B$210,2,0)</f>
        <v>8000012580</v>
      </c>
      <c r="E312" s="19">
        <f>VLOOKUP(C312,[1]Bestellnr.!$A$1:$B$174,2,0)</f>
        <v>0</v>
      </c>
      <c r="F312" s="20" t="str">
        <f>VLOOKUP(G312,$U$1:$V$1730,2,0)</f>
        <v>N   911 266 01</v>
      </c>
      <c r="G312" s="21">
        <v>932337000</v>
      </c>
      <c r="H312" s="17">
        <f>VLOOKUP(G312,Z$2:AA$1905,2,FALSE)</f>
        <v>6.3400000000000001E-3</v>
      </c>
      <c r="I312" s="20"/>
      <c r="J312" s="17">
        <f>VLOOKUP(G312,W$2:X$1905,2,FALSE)</f>
        <v>2400</v>
      </c>
      <c r="K312" s="17">
        <f>I312/J312</f>
        <v>0</v>
      </c>
      <c r="L312" s="22">
        <v>10</v>
      </c>
      <c r="M312" s="22">
        <v>30</v>
      </c>
      <c r="N312" s="22">
        <v>111444</v>
      </c>
      <c r="O312" s="22" t="str">
        <f>VLOOKUP(N312,$AL$1285:$AM$1310,2,FALSE)</f>
        <v>001006</v>
      </c>
      <c r="P312" s="22">
        <f>VLOOKUP(N312,AC$2:AD$1905,2,FALSE)</f>
        <v>34</v>
      </c>
      <c r="Q312" s="22"/>
      <c r="R312" s="23" t="s">
        <v>153</v>
      </c>
      <c r="S312" s="22">
        <f>VLOOKUP(R312,AC$2:AD$1905,2,FALSE)</f>
        <v>0.56999999999999995</v>
      </c>
      <c r="T312" s="24">
        <f>(H312*I312)+P312*Q312+S312*K312</f>
        <v>0</v>
      </c>
      <c r="U312" s="25">
        <f>IF(TRIM(N312&amp;"")="111444",
    IF(ROUNDUP(MAX(0,K312-(MAX(1,Q312)-1)*10)/10,0)=1,3,2),
    IF(TRIM(N312&amp;"")="VWPAL",
        IF(TRIM(R312&amp;"")="004147",1,2),
        ""
    )
)</f>
        <v>2</v>
      </c>
      <c r="V312" s="26" t="str">
        <f>IF(OR(TRIM(N312&amp;"")="111444",TRIM(N312&amp;"")="VWPAL"),
    IF(K312&lt;=0,"",
        IF(
            MIN(3,ROUNDUP(MAX(0,K312-(MAX(1,Q312)-1)*IF(TRIM(N312&amp;"")="111444",10,20))/IF(TRIM(N312&amp;"")="111444",10,20),0))=1,
            300,
            IF(
                MIN(3,ROUNDUP(MAX(0,K312-(MAX(1,Q312)-1)*IF(TRIM(N312&amp;"")="111444",10,20))/IF(TRIM(N312&amp;"")="111444",10,20),0))=2,
                450,
                600
            )
        )
    ),
    ""
)</f>
        <v/>
      </c>
    </row>
    <row r="313" spans="1:22" ht="48" customHeight="1" x14ac:dyDescent="0.25">
      <c r="A313" s="17">
        <f>VLOOKUP(C313,[1]Werke!$A$1:$C$168,3,0)</f>
        <v>40</v>
      </c>
      <c r="B313" s="17" t="str">
        <f>VLOOKUP(C313,[1]Werke!$A$1:$C$168,2,0)</f>
        <v>908</v>
      </c>
      <c r="C313" s="18" t="s">
        <v>273</v>
      </c>
      <c r="D313" s="17" t="str">
        <f>VLOOKUP(C313,[1]Maliteslimalan!$A$1:$B$210,2,0)</f>
        <v>8000014109</v>
      </c>
      <c r="E313" s="19">
        <f>VLOOKUP(C313,[1]Bestellnr.!$A$1:$B$174,2,0)</f>
        <v>0</v>
      </c>
      <c r="F313" s="20" t="str">
        <f>VLOOKUP(G313,$U$1:$V$1730,2,0)</f>
        <v>N   911 266 01</v>
      </c>
      <c r="G313" s="21">
        <v>932337000</v>
      </c>
      <c r="H313" s="17">
        <f>VLOOKUP(G313,Z$2:AA$1905,2,FALSE)</f>
        <v>6.3400000000000001E-3</v>
      </c>
      <c r="I313" s="20"/>
      <c r="J313" s="17">
        <f>VLOOKUP(G313,W$2:X$1905,2,FALSE)</f>
        <v>2400</v>
      </c>
      <c r="K313" s="17">
        <f>I313/J313</f>
        <v>0</v>
      </c>
      <c r="L313" s="22">
        <v>10</v>
      </c>
      <c r="M313" s="22">
        <v>10</v>
      </c>
      <c r="N313" s="22">
        <v>111444</v>
      </c>
      <c r="O313" s="22" t="str">
        <f>VLOOKUP(N313,$AL$1285:$AM$1310,2,FALSE)</f>
        <v>001006</v>
      </c>
      <c r="P313" s="22">
        <f>VLOOKUP(N313,AC$2:AD$1905,2,FALSE)</f>
        <v>34</v>
      </c>
      <c r="Q313" s="22"/>
      <c r="R313" s="23" t="s">
        <v>153</v>
      </c>
      <c r="S313" s="22">
        <f>VLOOKUP(R313,AC$2:AD$1905,2,FALSE)</f>
        <v>0.56999999999999995</v>
      </c>
      <c r="T313" s="24">
        <f>(H313*I313)+P313*Q313+S313*K313</f>
        <v>0</v>
      </c>
      <c r="U313" s="25">
        <f>IF(TRIM(N313&amp;"")="111444",
    IF(ROUNDUP(MAX(0,K313-(MAX(1,Q313)-1)*10)/10,0)=1,3,2),
    IF(TRIM(N313&amp;"")="VWPAL",
        IF(TRIM(R313&amp;"")="004147",1,2),
        ""
    )
)</f>
        <v>2</v>
      </c>
      <c r="V313" s="26" t="str">
        <f>IF(OR(TRIM(N313&amp;"")="111444",TRIM(N313&amp;"")="VWPAL"),
    IF(K313&lt;=0,"",
        IF(
            MIN(3,ROUNDUP(MAX(0,K313-(MAX(1,Q313)-1)*IF(TRIM(N313&amp;"")="111444",10,20))/IF(TRIM(N313&amp;"")="111444",10,20),0))=1,
            300,
            IF(
                MIN(3,ROUNDUP(MAX(0,K313-(MAX(1,Q313)-1)*IF(TRIM(N313&amp;"")="111444",10,20))/IF(TRIM(N313&amp;"")="111444",10,20),0))=2,
                450,
                600
            )
        )
    ),
    ""
)</f>
        <v/>
      </c>
    </row>
    <row r="314" spans="1:22" ht="48" customHeight="1" x14ac:dyDescent="0.25">
      <c r="A314" s="17">
        <f>VLOOKUP(C314,[1]Werke!$A$1:$C$168,3,0)</f>
        <v>14</v>
      </c>
      <c r="B314" s="17" t="str">
        <f>VLOOKUP(C314,[1]Werke!$A$1:$C$168,2,0)</f>
        <v>D66</v>
      </c>
      <c r="C314" s="18" t="s">
        <v>248</v>
      </c>
      <c r="D314" s="17" t="str">
        <f>VLOOKUP(C314,[1]Maliteslimalan!$A$1:$B$210,2,0)</f>
        <v>8000012561</v>
      </c>
      <c r="E314" s="19">
        <f>VLOOKUP(C314,[1]Bestellnr.!$A$1:$B$174,2,0)</f>
        <v>0</v>
      </c>
      <c r="F314" s="20" t="str">
        <f>VLOOKUP(G314,$U$1:$V$1730,2,0)</f>
        <v>N   911 266 01</v>
      </c>
      <c r="G314" s="21">
        <v>932337000</v>
      </c>
      <c r="H314" s="17">
        <f>VLOOKUP(G314,Z$2:AA$1905,2,FALSE)</f>
        <v>6.3400000000000001E-3</v>
      </c>
      <c r="I314" s="20"/>
      <c r="J314" s="17">
        <f>VLOOKUP(G314,W$2:X$1905,2,FALSE)</f>
        <v>2400</v>
      </c>
      <c r="K314" s="17">
        <f>I314/J314</f>
        <v>0</v>
      </c>
      <c r="L314" s="22">
        <v>10</v>
      </c>
      <c r="M314" s="22">
        <v>30</v>
      </c>
      <c r="N314" s="22">
        <v>111444</v>
      </c>
      <c r="O314" s="22" t="str">
        <f>VLOOKUP(N314,$AL$1285:$AM$1310,2,FALSE)</f>
        <v>001006</v>
      </c>
      <c r="P314" s="22">
        <f>VLOOKUP(N314,AC$2:AD$1905,2,FALSE)</f>
        <v>34</v>
      </c>
      <c r="Q314" s="22"/>
      <c r="R314" s="23" t="s">
        <v>153</v>
      </c>
      <c r="S314" s="22">
        <f>VLOOKUP(R314,AC$2:AD$1905,2,FALSE)</f>
        <v>0.56999999999999995</v>
      </c>
      <c r="T314" s="24">
        <f>(H314*I314)+P314*Q314+S314*K314</f>
        <v>0</v>
      </c>
      <c r="U314" s="25">
        <f>IF(TRIM(N314&amp;"")="111444",
    IF(ROUNDUP(MAX(0,K314-(MAX(1,Q314)-1)*10)/10,0)=1,3,2),
    IF(TRIM(N314&amp;"")="VWPAL",
        IF(TRIM(R314&amp;"")="004147",1,2),
        ""
    )
)</f>
        <v>2</v>
      </c>
      <c r="V314" s="26" t="str">
        <f>IF(OR(TRIM(N314&amp;"")="111444",TRIM(N314&amp;"")="VWPAL"),
    IF(K314&lt;=0,"",
        IF(
            MIN(3,ROUNDUP(MAX(0,K314-(MAX(1,Q314)-1)*IF(TRIM(N314&amp;"")="111444",10,20))/IF(TRIM(N314&amp;"")="111444",10,20),0))=1,
            300,
            IF(
                MIN(3,ROUNDUP(MAX(0,K314-(MAX(1,Q314)-1)*IF(TRIM(N314&amp;"")="111444",10,20))/IF(TRIM(N314&amp;"")="111444",10,20),0))=2,
                450,
                600
            )
        )
    ),
    ""
)</f>
        <v/>
      </c>
    </row>
    <row r="315" spans="1:22" ht="48" customHeight="1" x14ac:dyDescent="0.25">
      <c r="A315" s="17"/>
      <c r="B315" s="17"/>
      <c r="C315" s="18"/>
      <c r="D315" s="17"/>
      <c r="E315" s="19"/>
      <c r="F315" s="20"/>
      <c r="G315" s="21"/>
      <c r="H315" s="17"/>
      <c r="I315" s="20"/>
      <c r="J315" s="17"/>
      <c r="K315" s="17"/>
      <c r="L315" s="22"/>
      <c r="M315" s="22"/>
      <c r="N315" s="22"/>
      <c r="O315" s="22"/>
      <c r="P315" s="22"/>
      <c r="Q315" s="22"/>
      <c r="R315" s="23"/>
      <c r="S315" s="22"/>
      <c r="T315" s="24"/>
      <c r="U315" s="25"/>
    </row>
    <row r="316" spans="1:22" ht="48.2" customHeight="1" x14ac:dyDescent="0.25">
      <c r="A316" s="17" t="str">
        <f>VLOOKUP(C316,[1]Werke!$A$1:$C$168,3,0)</f>
        <v>26D</v>
      </c>
      <c r="B316" s="17" t="str">
        <f>VLOOKUP(C316,[1]Werke!$A$1:$C$168,2,0)</f>
        <v>220</v>
      </c>
      <c r="C316" s="18" t="s">
        <v>274</v>
      </c>
      <c r="D316" s="17">
        <f>VLOOKUP(C316,[1]Maliteslimalan!$A$1:$B$210,2,0)</f>
        <v>8000018273</v>
      </c>
      <c r="E316" s="19">
        <v>6</v>
      </c>
      <c r="F316" s="20" t="str">
        <f>VLOOKUP(G316,$U$1:$V$1730,2,0)</f>
        <v>WHT 010 195</v>
      </c>
      <c r="G316" s="21">
        <v>100409800</v>
      </c>
      <c r="H316" s="17">
        <f>VLOOKUP(G316,Z$2:AA$1905,2,FALSE)</f>
        <v>3.5000000000000003E-2</v>
      </c>
      <c r="I316" s="20"/>
      <c r="J316" s="17" t="str">
        <f>VLOOKUP(G316,W$2:X$1905,2,FALSE)</f>
        <v>200</v>
      </c>
      <c r="K316" s="17">
        <f>I316/J316</f>
        <v>0</v>
      </c>
      <c r="L316" s="22">
        <v>10</v>
      </c>
      <c r="M316" s="22">
        <v>30</v>
      </c>
      <c r="N316" s="22">
        <v>111444</v>
      </c>
      <c r="O316" s="22" t="str">
        <f>VLOOKUP(N316,$AL$1285:$AM$1310,2,FALSE)</f>
        <v>001006</v>
      </c>
      <c r="P316" s="22">
        <f>VLOOKUP(N316,AC$2:AD$1905,2,FALSE)</f>
        <v>34</v>
      </c>
      <c r="Q316" s="22"/>
      <c r="R316" s="23" t="s">
        <v>153</v>
      </c>
      <c r="S316" s="22">
        <f>VLOOKUP(R316,AC$2:AD$1905,2,FALSE)</f>
        <v>0.56999999999999995</v>
      </c>
      <c r="T316" s="24">
        <f>(H316*I316)+P316*Q316+S316*K316</f>
        <v>0</v>
      </c>
      <c r="U316" s="25">
        <f>IF(TRIM(N316&amp;"")="111444",
    IF(ROUNDUP(MAX(0,K316-(MAX(1,Q316)-1)*10)/10,0)=1,3,2),
    IF(TRIM(N316&amp;"")="VWPAL",
        IF(TRIM(R316&amp;"")="004147",1,2),
        ""
    )
)</f>
        <v>2</v>
      </c>
      <c r="V316" s="26" t="str">
        <f>IF(OR(TRIM(N316&amp;"")="111444",TRIM(N316&amp;"")="VWPAL"),
    IF(K316&lt;=0,"",
        IF(
            MIN(3,ROUNDUP(MAX(0,K316-(MAX(1,Q316)-1)*IF(TRIM(N316&amp;"")="111444",10,20))/IF(TRIM(N316&amp;"")="111444",10,20),0))=1,
            300,
            IF(
                MIN(3,ROUNDUP(MAX(0,K316-(MAX(1,Q316)-1)*IF(TRIM(N316&amp;"")="111444",10,20))/IF(TRIM(N316&amp;"")="111444",10,20),0))=2,
                450,
                600
            )
        )
    ),
    ""
)</f>
        <v/>
      </c>
    </row>
    <row r="317" spans="1:22" ht="48.2" customHeight="1" x14ac:dyDescent="0.25">
      <c r="A317" s="17">
        <f>VLOOKUP(C317,[1]Werke!$A$1:$C$168,3,0)</f>
        <v>14</v>
      </c>
      <c r="B317" s="17" t="str">
        <f>VLOOKUP(C317,[1]Werke!$A$1:$C$168,2,0)</f>
        <v>D72</v>
      </c>
      <c r="C317" s="18" t="s">
        <v>220</v>
      </c>
      <c r="D317" s="17" t="str">
        <f>VLOOKUP(C317,[1]Maliteslimalan!$A$1:$B$210,2,0)</f>
        <v>8000013493</v>
      </c>
      <c r="E317" s="19">
        <f>VLOOKUP(C317,[1]Bestellnr.!$A$1:$B$174,2,0)</f>
        <v>0</v>
      </c>
      <c r="F317" s="20" t="str">
        <f>VLOOKUP(G317,$U$1:$V$1730,2,0)</f>
        <v>WHT 010 195</v>
      </c>
      <c r="G317" s="21">
        <v>100409800</v>
      </c>
      <c r="H317" s="17">
        <f>VLOOKUP(G317,Z$2:AA$1905,2,FALSE)</f>
        <v>3.5000000000000003E-2</v>
      </c>
      <c r="I317" s="20"/>
      <c r="J317" s="17" t="str">
        <f>VLOOKUP(G317,W$2:X$1905,2,FALSE)</f>
        <v>200</v>
      </c>
      <c r="K317" s="17">
        <f>I317/J317</f>
        <v>0</v>
      </c>
      <c r="L317" s="22">
        <v>10</v>
      </c>
      <c r="M317" s="22">
        <v>30</v>
      </c>
      <c r="N317" s="22">
        <v>111444</v>
      </c>
      <c r="O317" s="22" t="str">
        <f>VLOOKUP(N317,$AL$1285:$AM$1310,2,FALSE)</f>
        <v>001006</v>
      </c>
      <c r="P317" s="22">
        <f>VLOOKUP(N317,AC$2:AD$1905,2,FALSE)</f>
        <v>34</v>
      </c>
      <c r="Q317" s="22"/>
      <c r="R317" s="23" t="s">
        <v>153</v>
      </c>
      <c r="S317" s="22">
        <f>VLOOKUP(R317,AC$2:AD$1905,2,FALSE)</f>
        <v>0.56999999999999995</v>
      </c>
      <c r="T317" s="24">
        <f>(H317*I317)+P317*Q317+S317*K317</f>
        <v>0</v>
      </c>
      <c r="U317" s="25">
        <f>IF(TRIM(N317&amp;"")="111444",
    IF(ROUNDUP(MAX(0,K317-(MAX(1,Q317)-1)*10)/10,0)=1,3,2),
    IF(TRIM(N317&amp;"")="VWPAL",
        IF(TRIM(R317&amp;"")="004147",1,2),
        ""
    )
)</f>
        <v>2</v>
      </c>
      <c r="V317" s="26" t="str">
        <f>IF(OR(TRIM(N317&amp;"")="111444",TRIM(N317&amp;"")="VWPAL"),
    IF(K317&lt;=0,"",
        IF(
            MIN(3,ROUNDUP(MAX(0,K317-(MAX(1,Q317)-1)*IF(TRIM(N317&amp;"")="111444",10,20))/IF(TRIM(N317&amp;"")="111444",10,20),0))=1,
            300,
            IF(
                MIN(3,ROUNDUP(MAX(0,K317-(MAX(1,Q317)-1)*IF(TRIM(N317&amp;"")="111444",10,20))/IF(TRIM(N317&amp;"")="111444",10,20),0))=2,
                450,
                600
            )
        )
    ),
    ""
)</f>
        <v/>
      </c>
    </row>
    <row r="318" spans="1:22" ht="48.2" customHeight="1" x14ac:dyDescent="0.25">
      <c r="A318" s="17" t="str">
        <f>VLOOKUP(C318,[1]Werke!$A$1:$C$168,3,0)</f>
        <v>26D</v>
      </c>
      <c r="B318" s="17" t="str">
        <f>VLOOKUP(C318,[1]Werke!$A$1:$C$168,2,0)</f>
        <v>G18</v>
      </c>
      <c r="C318" s="18" t="s">
        <v>257</v>
      </c>
      <c r="D318" s="17" t="str">
        <f>VLOOKUP(C318,[1]Maliteslimalan!$A$1:$B$210,2,0)</f>
        <v>8000012600</v>
      </c>
      <c r="E318" s="19">
        <f>VLOOKUP(C318,[1]Bestellnr.!$A$1:$B$174,2,0)</f>
        <v>0</v>
      </c>
      <c r="F318" s="20" t="str">
        <f>VLOOKUP(G318,$U$1:$V$1730,2,0)</f>
        <v>WHT 010 195</v>
      </c>
      <c r="G318" s="21">
        <v>100409800</v>
      </c>
      <c r="H318" s="17">
        <f>VLOOKUP(G318,Z$2:AA$1905,2,FALSE)</f>
        <v>3.5000000000000003E-2</v>
      </c>
      <c r="I318" s="20"/>
      <c r="J318" s="17" t="str">
        <f>VLOOKUP(G318,W$2:X$1905,2,FALSE)</f>
        <v>200</v>
      </c>
      <c r="K318" s="17">
        <f>I318/J318</f>
        <v>0</v>
      </c>
      <c r="L318" s="22">
        <v>10</v>
      </c>
      <c r="M318" s="22">
        <v>30</v>
      </c>
      <c r="N318" s="22">
        <v>111444</v>
      </c>
      <c r="O318" s="22" t="str">
        <f>VLOOKUP(N318,$AL$1285:$AM$1310,2,FALSE)</f>
        <v>001006</v>
      </c>
      <c r="P318" s="22">
        <f>VLOOKUP(N318,AC$2:AD$1905,2,FALSE)</f>
        <v>34</v>
      </c>
      <c r="Q318" s="22"/>
      <c r="R318" s="23" t="s">
        <v>153</v>
      </c>
      <c r="S318" s="22">
        <f>VLOOKUP(R318,AC$2:AD$1905,2,FALSE)</f>
        <v>0.56999999999999995</v>
      </c>
      <c r="T318" s="24">
        <f>(H318*I318)+P318*Q318+S318*K318</f>
        <v>0</v>
      </c>
      <c r="U318" s="25">
        <f>IF(TRIM(N318&amp;"")="111444",
    IF(ROUNDUP(MAX(0,K318-(MAX(1,Q318)-1)*10)/10,0)=1,3,2),
    IF(TRIM(N318&amp;"")="VWPAL",
        IF(TRIM(R318&amp;"")="004147",1,2),
        ""
    )
)</f>
        <v>2</v>
      </c>
      <c r="V318" s="26" t="str">
        <f>IF(OR(TRIM(N318&amp;"")="111444",TRIM(N318&amp;"")="VWPAL"),
    IF(K318&lt;=0,"",
        IF(
            MIN(3,ROUNDUP(MAX(0,K318-(MAX(1,Q318)-1)*IF(TRIM(N318&amp;"")="111444",10,20))/IF(TRIM(N318&amp;"")="111444",10,20),0))=1,
            300,
            IF(
                MIN(3,ROUNDUP(MAX(0,K318-(MAX(1,Q318)-1)*IF(TRIM(N318&amp;"")="111444",10,20))/IF(TRIM(N318&amp;"")="111444",10,20),0))=2,
                450,
                600
            )
        )
    ),
    ""
)</f>
        <v/>
      </c>
    </row>
    <row r="319" spans="1:22" ht="48.2" customHeight="1" x14ac:dyDescent="0.25">
      <c r="A319" s="17" t="str">
        <f>VLOOKUP(C319,[1]Werke!$A$1:$C$168,3,0)</f>
        <v>26D</v>
      </c>
      <c r="B319" s="17" t="str">
        <f>VLOOKUP(C319,[1]Werke!$A$1:$C$168,2,0)</f>
        <v>G18</v>
      </c>
      <c r="C319" s="18" t="s">
        <v>275</v>
      </c>
      <c r="D319" s="17" t="str">
        <f>VLOOKUP(C319,[1]Maliteslimalan!$A$1:$B$210,2,0)</f>
        <v>8000012880</v>
      </c>
      <c r="E319" s="19">
        <f>VLOOKUP(C319,[1]Bestellnr.!$A$1:$B$174,2,0)</f>
        <v>0</v>
      </c>
      <c r="F319" s="20" t="str">
        <f>VLOOKUP(G319,$U$1:$V$1730,2,0)</f>
        <v>WHT 010 195</v>
      </c>
      <c r="G319" s="21">
        <v>100409800</v>
      </c>
      <c r="H319" s="17">
        <f>VLOOKUP(G319,Z$2:AA$1905,2,FALSE)</f>
        <v>3.5000000000000003E-2</v>
      </c>
      <c r="I319" s="20"/>
      <c r="J319" s="17" t="str">
        <f>VLOOKUP(G319,W$2:X$1905,2,FALSE)</f>
        <v>200</v>
      </c>
      <c r="K319" s="17">
        <f>I319/J319</f>
        <v>0</v>
      </c>
      <c r="L319" s="22">
        <v>10</v>
      </c>
      <c r="M319" s="22">
        <v>30</v>
      </c>
      <c r="N319" s="22">
        <v>111444</v>
      </c>
      <c r="O319" s="22" t="str">
        <f>VLOOKUP(N319,$AL$1285:$AM$1310,2,FALSE)</f>
        <v>001006</v>
      </c>
      <c r="P319" s="22">
        <f>VLOOKUP(N319,AC$2:AD$1905,2,FALSE)</f>
        <v>34</v>
      </c>
      <c r="Q319" s="22"/>
      <c r="R319" s="23" t="s">
        <v>153</v>
      </c>
      <c r="S319" s="22">
        <f>VLOOKUP(R319,AC$2:AD$1905,2,FALSE)</f>
        <v>0.56999999999999995</v>
      </c>
      <c r="T319" s="24">
        <f>(H319*I319)+P319*Q319+S319*K319</f>
        <v>0</v>
      </c>
      <c r="U319" s="25">
        <f>IF(TRIM(N319&amp;"")="111444",
    IF(ROUNDUP(MAX(0,K319-(MAX(1,Q319)-1)*10)/10,0)=1,3,2),
    IF(TRIM(N319&amp;"")="VWPAL",
        IF(TRIM(R319&amp;"")="004147",1,2),
        ""
    )
)</f>
        <v>2</v>
      </c>
      <c r="V319" s="26" t="str">
        <f>IF(OR(TRIM(N319&amp;"")="111444",TRIM(N319&amp;"")="VWPAL"),
    IF(K319&lt;=0,"",
        IF(
            MIN(3,ROUNDUP(MAX(0,K319-(MAX(1,Q319)-1)*IF(TRIM(N319&amp;"")="111444",10,20))/IF(TRIM(N319&amp;"")="111444",10,20),0))=1,
            300,
            IF(
                MIN(3,ROUNDUP(MAX(0,K319-(MAX(1,Q319)-1)*IF(TRIM(N319&amp;"")="111444",10,20))/IF(TRIM(N319&amp;"")="111444",10,20),0))=2,
                450,
                600
            )
        )
    ),
    ""
)</f>
        <v/>
      </c>
    </row>
    <row r="320" spans="1:22" ht="48.2" customHeight="1" x14ac:dyDescent="0.25">
      <c r="A320" s="17"/>
      <c r="B320" s="17"/>
      <c r="C320" s="18"/>
      <c r="D320" s="17"/>
      <c r="E320" s="19"/>
      <c r="F320" s="20"/>
      <c r="G320" s="21"/>
      <c r="H320" s="17"/>
      <c r="I320" s="20"/>
      <c r="J320" s="17"/>
      <c r="K320" s="17"/>
      <c r="L320" s="22"/>
      <c r="M320" s="22"/>
      <c r="N320" s="22"/>
      <c r="O320" s="22"/>
      <c r="P320" s="22"/>
      <c r="Q320" s="22"/>
      <c r="R320" s="23"/>
      <c r="S320" s="22"/>
      <c r="T320" s="24"/>
      <c r="U320" s="25"/>
    </row>
    <row r="321" spans="1:22" ht="48" customHeight="1" x14ac:dyDescent="0.25">
      <c r="A321" s="17">
        <f>VLOOKUP(C321,[1]Werke!$A$1:$C$168,3,0)</f>
        <v>24</v>
      </c>
      <c r="B321" s="17" t="str">
        <f>VLOOKUP(C321,[1]Werke!$A$1:$C$168,2,0)</f>
        <v>CKH</v>
      </c>
      <c r="C321" s="18" t="s">
        <v>224</v>
      </c>
      <c r="D321" s="17">
        <f>VLOOKUP(C321,[1]Maliteslimalan!$A$1:$B$210,2,0)</f>
        <v>8000013551</v>
      </c>
      <c r="E321" s="19">
        <v>6</v>
      </c>
      <c r="F321" s="20" t="str">
        <f t="shared" ref="F321:F327" si="170">VLOOKUP(G321,$U$1:$V$1730,2,0)</f>
        <v>N   107 135 02</v>
      </c>
      <c r="G321" s="21">
        <v>925668000</v>
      </c>
      <c r="H321" s="17">
        <f t="shared" ref="H321:H327" si="171">VLOOKUP(G321,Z$2:AA$1905,2,FALSE)</f>
        <v>1.866E-2</v>
      </c>
      <c r="I321" s="20"/>
      <c r="J321" s="17" t="str">
        <f>VLOOKUP(G321,W$2:X$1905,2,FALSE)</f>
        <v>750</v>
      </c>
      <c r="K321" s="17">
        <f t="shared" ref="K321:K327" si="172">I321/J321</f>
        <v>0</v>
      </c>
      <c r="L321" s="22">
        <v>10</v>
      </c>
      <c r="M321" s="22">
        <v>30</v>
      </c>
      <c r="N321" s="22">
        <v>111444</v>
      </c>
      <c r="O321" s="22" t="str">
        <f t="shared" ref="O321:O327" si="173">VLOOKUP(N321,$AL$1285:$AM$1310,2,FALSE)</f>
        <v>001006</v>
      </c>
      <c r="P321" s="22">
        <f t="shared" ref="P321:P327" si="174">VLOOKUP(N321,AC$2:AD$1905,2,FALSE)</f>
        <v>34</v>
      </c>
      <c r="Q321" s="22"/>
      <c r="R321" s="23" t="s">
        <v>153</v>
      </c>
      <c r="S321" s="22">
        <f t="shared" ref="S321:S327" si="175">VLOOKUP(R321,AC$2:AD$1905,2,FALSE)</f>
        <v>0.56999999999999995</v>
      </c>
      <c r="T321" s="24">
        <f t="shared" ref="T321:T327" si="176">(H321*I321)+P321*Q321+S321*K321</f>
        <v>0</v>
      </c>
      <c r="U321" s="25">
        <f t="shared" ref="U321:U327" si="177">IF(TRIM(N321&amp;"")="111444",
    IF(ROUNDUP(MAX(0,K321-(MAX(1,Q321)-1)*10)/10,0)=1,3,2),
    IF(TRIM(N321&amp;"")="VWPAL",
        IF(TRIM(R321&amp;"")="004147",1,2),
        ""
    )
)</f>
        <v>2</v>
      </c>
      <c r="V321" s="26" t="str">
        <f t="shared" ref="V321:V327" si="178">IF(OR(TRIM(N321&amp;"")="111444",TRIM(N321&amp;"")="VWPAL"),
    IF(K321&lt;=0,"",
        IF(
            MIN(3,ROUNDUP(MAX(0,K321-(MAX(1,Q321)-1)*IF(TRIM(N321&amp;"")="111444",10,20))/IF(TRIM(N321&amp;"")="111444",10,20),0))=1,
            300,
            IF(
                MIN(3,ROUNDUP(MAX(0,K321-(MAX(1,Q321)-1)*IF(TRIM(N321&amp;"")="111444",10,20))/IF(TRIM(N321&amp;"")="111444",10,20),0))=2,
                450,
                600
            )
        )
    ),
    ""
)</f>
        <v/>
      </c>
    </row>
    <row r="322" spans="1:22" ht="48" customHeight="1" x14ac:dyDescent="0.25">
      <c r="A322" s="17" t="str">
        <f>VLOOKUP(C322,[1]Werke!$A$1:$C$168,3,0)</f>
        <v>HT</v>
      </c>
      <c r="B322" s="17">
        <f>VLOOKUP(C322,[1]Werke!$A$1:$C$168,2,0)</f>
        <v>34</v>
      </c>
      <c r="C322" s="18">
        <v>80245</v>
      </c>
      <c r="D322" s="17">
        <f>VLOOKUP(C322,[1]Maliteslimalan!$A$1:$B$210,2,0)</f>
        <v>8000012604</v>
      </c>
      <c r="E322" s="19">
        <v>6</v>
      </c>
      <c r="F322" s="20" t="str">
        <f t="shared" si="170"/>
        <v>N   107 135 02</v>
      </c>
      <c r="G322" s="21">
        <v>925668000</v>
      </c>
      <c r="H322" s="17">
        <f t="shared" si="171"/>
        <v>1.866E-2</v>
      </c>
      <c r="I322" s="20"/>
      <c r="J322" s="17" t="str">
        <f>VLOOKUP(G322,W$2:X$1905,2,FALSE)</f>
        <v>750</v>
      </c>
      <c r="K322" s="17">
        <f t="shared" si="172"/>
        <v>0</v>
      </c>
      <c r="L322" s="22">
        <v>10</v>
      </c>
      <c r="M322" s="22">
        <v>30</v>
      </c>
      <c r="N322" s="22">
        <v>111444</v>
      </c>
      <c r="O322" s="22" t="str">
        <f t="shared" si="173"/>
        <v>001006</v>
      </c>
      <c r="P322" s="22">
        <f t="shared" si="174"/>
        <v>34</v>
      </c>
      <c r="Q322" s="22"/>
      <c r="R322" s="23" t="s">
        <v>153</v>
      </c>
      <c r="S322" s="22">
        <f t="shared" si="175"/>
        <v>0.56999999999999995</v>
      </c>
      <c r="T322" s="24">
        <f t="shared" si="176"/>
        <v>0</v>
      </c>
      <c r="U322" s="25">
        <f t="shared" si="177"/>
        <v>2</v>
      </c>
      <c r="V322" s="26" t="str">
        <f t="shared" si="178"/>
        <v/>
      </c>
    </row>
    <row r="323" spans="1:22" ht="48" customHeight="1" x14ac:dyDescent="0.25">
      <c r="A323" s="17" t="str">
        <f>VLOOKUP(C323,[1]Werke!$A$1:$C$168,3,0)</f>
        <v>LD</v>
      </c>
      <c r="B323" s="17" t="str">
        <f>VLOOKUP(C323,[1]Werke!$A$1:$C$168,2,0)</f>
        <v>SLD</v>
      </c>
      <c r="C323" s="18">
        <v>83630</v>
      </c>
      <c r="D323" s="17" t="str">
        <f>VLOOKUP(C323,[1]Maliteslimalan!$A$1:$B$210,2,0)</f>
        <v>8000012862</v>
      </c>
      <c r="E323" s="19" t="str">
        <f>VLOOKUP(C323,[1]Bestellnr.!$A$1:$B$174,2,0)</f>
        <v>000006</v>
      </c>
      <c r="F323" s="20" t="str">
        <f t="shared" si="170"/>
        <v>N   107 135 02</v>
      </c>
      <c r="G323" s="21">
        <v>925668000</v>
      </c>
      <c r="H323" s="17">
        <f t="shared" si="171"/>
        <v>1.866E-2</v>
      </c>
      <c r="I323" s="20"/>
      <c r="J323" s="17" t="str">
        <f>VLOOKUP(G323,W$2:X$1905,2,FALSE)</f>
        <v>750</v>
      </c>
      <c r="K323" s="17">
        <f t="shared" si="172"/>
        <v>0</v>
      </c>
      <c r="L323" s="22">
        <v>10</v>
      </c>
      <c r="M323" s="22">
        <v>20</v>
      </c>
      <c r="N323" s="22">
        <v>111444</v>
      </c>
      <c r="O323" s="22" t="str">
        <f t="shared" si="173"/>
        <v>001006</v>
      </c>
      <c r="P323" s="22">
        <f t="shared" si="174"/>
        <v>34</v>
      </c>
      <c r="Q323" s="22"/>
      <c r="R323" s="23" t="s">
        <v>153</v>
      </c>
      <c r="S323" s="22">
        <f t="shared" si="175"/>
        <v>0.56999999999999995</v>
      </c>
      <c r="T323" s="24">
        <f t="shared" si="176"/>
        <v>0</v>
      </c>
      <c r="U323" s="25">
        <f t="shared" si="177"/>
        <v>2</v>
      </c>
      <c r="V323" s="26" t="str">
        <f t="shared" si="178"/>
        <v/>
      </c>
    </row>
    <row r="324" spans="1:22" ht="48" customHeight="1" x14ac:dyDescent="0.25">
      <c r="A324" s="17">
        <f>VLOOKUP(C324,[1]Werke!$A$1:$C$168,3,0)</f>
        <v>22</v>
      </c>
      <c r="B324" s="17" t="str">
        <f>VLOOKUP(C324,[1]Werke!$A$1:$C$168,2,0)</f>
        <v>13P</v>
      </c>
      <c r="C324" s="18" t="s">
        <v>230</v>
      </c>
      <c r="D324" s="17" t="str">
        <f>VLOOKUP(C324,[1]Maliteslimalan!$A$1:$B$210,2,0)</f>
        <v>8000013344</v>
      </c>
      <c r="E324" s="19" t="str">
        <f>VLOOKUP(C324,[1]Bestellnr.!$A$1:$B$174,2,0)</f>
        <v>000006</v>
      </c>
      <c r="F324" s="20" t="str">
        <f t="shared" si="170"/>
        <v>N   107 135 02</v>
      </c>
      <c r="G324" s="21">
        <v>925668000</v>
      </c>
      <c r="H324" s="17">
        <f t="shared" si="171"/>
        <v>1.866E-2</v>
      </c>
      <c r="I324" s="20"/>
      <c r="J324" s="17" t="str">
        <f>VLOOKUP(G324,W$2:X$1905,2,FALSE)</f>
        <v>750</v>
      </c>
      <c r="K324" s="17">
        <f t="shared" si="172"/>
        <v>0</v>
      </c>
      <c r="L324" s="22">
        <v>10</v>
      </c>
      <c r="M324" s="22">
        <v>30</v>
      </c>
      <c r="N324" s="22">
        <v>111444</v>
      </c>
      <c r="O324" s="22" t="str">
        <f t="shared" si="173"/>
        <v>001006</v>
      </c>
      <c r="P324" s="22">
        <f t="shared" si="174"/>
        <v>34</v>
      </c>
      <c r="Q324" s="22"/>
      <c r="R324" s="23" t="s">
        <v>153</v>
      </c>
      <c r="S324" s="22">
        <f t="shared" si="175"/>
        <v>0.56999999999999995</v>
      </c>
      <c r="T324" s="24">
        <f t="shared" si="176"/>
        <v>0</v>
      </c>
      <c r="U324" s="25">
        <f t="shared" si="177"/>
        <v>2</v>
      </c>
      <c r="V324" s="26" t="str">
        <f t="shared" si="178"/>
        <v/>
      </c>
    </row>
    <row r="325" spans="1:22" ht="48" customHeight="1" x14ac:dyDescent="0.25">
      <c r="A325" s="17">
        <f>VLOOKUP(C325,[1]Werke!$A$1:$C$168,3,0)</f>
        <v>37</v>
      </c>
      <c r="B325" s="17" t="str">
        <f>VLOOKUP(C325,[1]Werke!$A$1:$C$168,2,0)</f>
        <v>AKL</v>
      </c>
      <c r="C325" s="18" t="s">
        <v>232</v>
      </c>
      <c r="D325" s="17" t="str">
        <f>VLOOKUP(C325,[1]Maliteslimalan!$A$1:$B$210,2,0)</f>
        <v>8000012562</v>
      </c>
      <c r="E325" s="19" t="str">
        <f>VLOOKUP(C325,[1]Bestellnr.!$A$1:$B$174,2,0)</f>
        <v>000006</v>
      </c>
      <c r="F325" s="20" t="str">
        <f t="shared" si="170"/>
        <v>N   107 135 02</v>
      </c>
      <c r="G325" s="21">
        <v>925668000</v>
      </c>
      <c r="H325" s="17">
        <f t="shared" si="171"/>
        <v>1.866E-2</v>
      </c>
      <c r="I325" s="20"/>
      <c r="J325" s="17" t="str">
        <f>VLOOKUP(G325,W$2:X$1905,2,FALSE)</f>
        <v>750</v>
      </c>
      <c r="K325" s="17">
        <f t="shared" si="172"/>
        <v>0</v>
      </c>
      <c r="L325" s="22">
        <v>10</v>
      </c>
      <c r="M325" s="22">
        <v>30</v>
      </c>
      <c r="N325" s="22">
        <v>111444</v>
      </c>
      <c r="O325" s="22" t="str">
        <f t="shared" si="173"/>
        <v>001006</v>
      </c>
      <c r="P325" s="22">
        <f t="shared" si="174"/>
        <v>34</v>
      </c>
      <c r="Q325" s="22"/>
      <c r="R325" s="23" t="s">
        <v>153</v>
      </c>
      <c r="S325" s="22">
        <f t="shared" si="175"/>
        <v>0.56999999999999995</v>
      </c>
      <c r="T325" s="24">
        <f t="shared" si="176"/>
        <v>0</v>
      </c>
      <c r="U325" s="25">
        <f t="shared" si="177"/>
        <v>2</v>
      </c>
      <c r="V325" s="26" t="str">
        <f t="shared" si="178"/>
        <v/>
      </c>
    </row>
    <row r="326" spans="1:22" ht="48" customHeight="1" x14ac:dyDescent="0.25">
      <c r="A326" s="17">
        <f>VLOOKUP(C326,[1]Werke!$A$1:$C$168,3,0)</f>
        <v>14</v>
      </c>
      <c r="B326" s="17" t="str">
        <f>VLOOKUP(C326,[1]Werke!$A$1:$C$168,2,0)</f>
        <v>D85</v>
      </c>
      <c r="C326" s="18" t="s">
        <v>239</v>
      </c>
      <c r="D326" s="17" t="str">
        <f>VLOOKUP(C326,[1]Maliteslimalan!$A$1:$B$210,2,0)</f>
        <v>8000012682</v>
      </c>
      <c r="E326" s="19">
        <f>VLOOKUP(C326,[1]Bestellnr.!$A$1:$B$174,2,0)</f>
        <v>0</v>
      </c>
      <c r="F326" s="20" t="str">
        <f t="shared" si="170"/>
        <v>N   107 135 02</v>
      </c>
      <c r="G326" s="21">
        <v>925668000</v>
      </c>
      <c r="H326" s="17">
        <f t="shared" si="171"/>
        <v>1.866E-2</v>
      </c>
      <c r="I326" s="20"/>
      <c r="J326" s="17">
        <v>800</v>
      </c>
      <c r="K326" s="17">
        <f t="shared" si="172"/>
        <v>0</v>
      </c>
      <c r="L326" s="22">
        <v>10</v>
      </c>
      <c r="M326" s="22">
        <v>20</v>
      </c>
      <c r="N326" s="22">
        <v>111444</v>
      </c>
      <c r="O326" s="22" t="str">
        <f t="shared" si="173"/>
        <v>001006</v>
      </c>
      <c r="P326" s="22">
        <f t="shared" si="174"/>
        <v>34</v>
      </c>
      <c r="Q326" s="22"/>
      <c r="R326" s="23" t="s">
        <v>153</v>
      </c>
      <c r="S326" s="22">
        <f t="shared" si="175"/>
        <v>0.56999999999999995</v>
      </c>
      <c r="T326" s="24">
        <f t="shared" si="176"/>
        <v>0</v>
      </c>
      <c r="U326" s="25">
        <f t="shared" si="177"/>
        <v>2</v>
      </c>
      <c r="V326" s="26" t="str">
        <f t="shared" si="178"/>
        <v/>
      </c>
    </row>
    <row r="327" spans="1:22" ht="48" customHeight="1" x14ac:dyDescent="0.25">
      <c r="A327" s="17">
        <f>VLOOKUP(C327,[1]Werke!$A$1:$C$168,3,0)</f>
        <v>24</v>
      </c>
      <c r="B327" s="17" t="str">
        <f>VLOOKUP(C327,[1]Werke!$A$1:$C$168,2,0)</f>
        <v>CKS</v>
      </c>
      <c r="C327" s="18" t="s">
        <v>245</v>
      </c>
      <c r="D327" s="17" t="str">
        <f>VLOOKUP(C327,[1]Maliteslimalan!$A$1:$B$210,2,0)</f>
        <v>8000012647</v>
      </c>
      <c r="E327" s="19" t="str">
        <f>VLOOKUP(C327,[1]Bestellnr.!$A$1:$B$174,2,0)</f>
        <v>000006</v>
      </c>
      <c r="F327" s="20" t="str">
        <f t="shared" si="170"/>
        <v>N   107 135 02</v>
      </c>
      <c r="G327" s="21">
        <v>925668000</v>
      </c>
      <c r="H327" s="17">
        <f t="shared" si="171"/>
        <v>1.866E-2</v>
      </c>
      <c r="I327" s="20"/>
      <c r="J327" s="17" t="str">
        <f>VLOOKUP(G327,W$2:X$1905,2,FALSE)</f>
        <v>750</v>
      </c>
      <c r="K327" s="17">
        <f t="shared" si="172"/>
        <v>0</v>
      </c>
      <c r="L327" s="22">
        <v>10</v>
      </c>
      <c r="M327" s="22">
        <v>30</v>
      </c>
      <c r="N327" s="22">
        <v>111444</v>
      </c>
      <c r="O327" s="22" t="str">
        <f t="shared" si="173"/>
        <v>001006</v>
      </c>
      <c r="P327" s="22">
        <f t="shared" si="174"/>
        <v>34</v>
      </c>
      <c r="Q327" s="22"/>
      <c r="R327" s="23" t="s">
        <v>153</v>
      </c>
      <c r="S327" s="22">
        <f t="shared" si="175"/>
        <v>0.56999999999999995</v>
      </c>
      <c r="T327" s="24">
        <f t="shared" si="176"/>
        <v>0</v>
      </c>
      <c r="U327" s="25">
        <f t="shared" si="177"/>
        <v>2</v>
      </c>
      <c r="V327" s="26" t="str">
        <f t="shared" si="178"/>
        <v/>
      </c>
    </row>
    <row r="328" spans="1:22" ht="48" customHeight="1" x14ac:dyDescent="0.25">
      <c r="A328" s="17"/>
      <c r="B328" s="17"/>
      <c r="C328" s="18"/>
      <c r="D328" s="17"/>
      <c r="E328" s="19"/>
      <c r="F328" s="20"/>
      <c r="G328" s="21"/>
      <c r="H328" s="17"/>
      <c r="I328" s="20"/>
      <c r="J328" s="17"/>
      <c r="K328" s="17"/>
      <c r="L328" s="22"/>
      <c r="M328" s="22"/>
      <c r="N328" s="22"/>
      <c r="O328" s="22"/>
      <c r="P328" s="22"/>
      <c r="Q328" s="22"/>
      <c r="R328" s="23"/>
      <c r="S328" s="22"/>
      <c r="T328" s="24"/>
      <c r="U328" s="25"/>
    </row>
    <row r="329" spans="1:22" ht="48.2" customHeight="1" x14ac:dyDescent="0.25">
      <c r="A329" s="17" t="str">
        <f>VLOOKUP(C329,[1]Werke!$A$1:$C$168,3,0)</f>
        <v>3U</v>
      </c>
      <c r="B329" s="17" t="str">
        <f>VLOOKUP(C329,[1]Werke!$A$1:$C$168,2,0)</f>
        <v>BZ2</v>
      </c>
      <c r="C329" s="18" t="s">
        <v>235</v>
      </c>
      <c r="D329" s="17" t="str">
        <f>VLOOKUP(C329,[1]Maliteslimalan!$A$1:$B$210,2,0)</f>
        <v>8000012860</v>
      </c>
      <c r="E329" s="19" t="str">
        <f>VLOOKUP(C329,[1]Bestellnr.!$A$1:$B$174,2,0)</f>
        <v>000055</v>
      </c>
      <c r="F329" s="20" t="str">
        <f t="shared" ref="F329:F334" si="179">VLOOKUP(G329,$U$1:$V$1730,2,0)</f>
        <v>N   911 574 01</v>
      </c>
      <c r="G329" s="21">
        <v>968138000</v>
      </c>
      <c r="H329" s="17">
        <f t="shared" ref="H329:H334" si="180">VLOOKUP(G329,Z$2:AA$1905,2,FALSE)</f>
        <v>8.5900000000000004E-3</v>
      </c>
      <c r="I329" s="20"/>
      <c r="J329" s="17">
        <f>VLOOKUP(G329,W$2:X$1905,2,FALSE)</f>
        <v>1600</v>
      </c>
      <c r="K329" s="17">
        <f t="shared" ref="K329:K334" si="181">I329/J329</f>
        <v>0</v>
      </c>
      <c r="L329" s="22">
        <v>10</v>
      </c>
      <c r="M329" s="22">
        <v>30</v>
      </c>
      <c r="N329" s="22">
        <v>111444</v>
      </c>
      <c r="O329" s="22" t="str">
        <f t="shared" ref="O329:O334" si="182">VLOOKUP(N329,$AL$1285:$AM$1310,2,FALSE)</f>
        <v>001006</v>
      </c>
      <c r="P329" s="22">
        <f t="shared" ref="P329:P334" si="183">VLOOKUP(N329,AC$2:AD$1905,2,FALSE)</f>
        <v>34</v>
      </c>
      <c r="Q329" s="22"/>
      <c r="R329" s="23" t="s">
        <v>153</v>
      </c>
      <c r="S329" s="22">
        <f t="shared" ref="S329:S334" si="184">VLOOKUP(R329,AC$2:AD$1905,2,FALSE)</f>
        <v>0.56999999999999995</v>
      </c>
      <c r="T329" s="24">
        <f t="shared" ref="T329:T334" si="185">(H329*I329)+P329*Q329+S329*K329</f>
        <v>0</v>
      </c>
      <c r="U329" s="25">
        <f t="shared" ref="U329:U334" si="186">IF(TRIM(N329&amp;"")="111444",
    IF(ROUNDUP(MAX(0,K329-(MAX(1,Q329)-1)*10)/10,0)=1,3,2),
    IF(TRIM(N329&amp;"")="VWPAL",
        IF(TRIM(R329&amp;"")="004147",1,2),
        ""
    )
)</f>
        <v>2</v>
      </c>
      <c r="V329" s="26" t="str">
        <f t="shared" ref="V329:V334" si="187">IF(OR(TRIM(N329&amp;"")="111444",TRIM(N329&amp;"")="VWPAL"),
    IF(K329&lt;=0,"",
        IF(
            MIN(3,ROUNDUP(MAX(0,K329-(MAX(1,Q329)-1)*IF(TRIM(N329&amp;"")="111444",10,20))/IF(TRIM(N329&amp;"")="111444",10,20),0))=1,
            300,
            IF(
                MIN(3,ROUNDUP(MAX(0,K329-(MAX(1,Q329)-1)*IF(TRIM(N329&amp;"")="111444",10,20))/IF(TRIM(N329&amp;"")="111444",10,20),0))=2,
                450,
                600
            )
        )
    ),
    ""
)</f>
        <v/>
      </c>
    </row>
    <row r="330" spans="1:22" ht="48.2" customHeight="1" x14ac:dyDescent="0.25">
      <c r="A330" s="17">
        <f>VLOOKUP(C330,[1]Werke!$A$1:$C$168,3,0)</f>
        <v>24</v>
      </c>
      <c r="B330" s="17" t="str">
        <f>VLOOKUP(C330,[1]Werke!$A$1:$C$168,2,0)</f>
        <v>CKH</v>
      </c>
      <c r="C330" s="18" t="s">
        <v>224</v>
      </c>
      <c r="D330" s="17">
        <f>VLOOKUP(C330,[1]Maliteslimalan!$A$1:$B$210,2,0)</f>
        <v>8000013551</v>
      </c>
      <c r="E330" s="19">
        <v>6</v>
      </c>
      <c r="F330" s="20" t="str">
        <f t="shared" si="179"/>
        <v>N   911 574 01</v>
      </c>
      <c r="G330" s="21">
        <v>968138000</v>
      </c>
      <c r="H330" s="17">
        <f t="shared" si="180"/>
        <v>8.5900000000000004E-3</v>
      </c>
      <c r="I330" s="20"/>
      <c r="J330" s="17">
        <f>VLOOKUP(G330,W$2:X$1905,2,FALSE)</f>
        <v>1600</v>
      </c>
      <c r="K330" s="17">
        <f t="shared" si="181"/>
        <v>0</v>
      </c>
      <c r="L330" s="22">
        <v>10</v>
      </c>
      <c r="M330" s="22">
        <v>30</v>
      </c>
      <c r="N330" s="22">
        <v>111444</v>
      </c>
      <c r="O330" s="22" t="str">
        <f t="shared" si="182"/>
        <v>001006</v>
      </c>
      <c r="P330" s="22">
        <f t="shared" si="183"/>
        <v>34</v>
      </c>
      <c r="Q330" s="22"/>
      <c r="R330" s="23" t="s">
        <v>153</v>
      </c>
      <c r="S330" s="22">
        <f t="shared" si="184"/>
        <v>0.56999999999999995</v>
      </c>
      <c r="T330" s="24">
        <f t="shared" si="185"/>
        <v>0</v>
      </c>
      <c r="U330" s="25">
        <f t="shared" si="186"/>
        <v>2</v>
      </c>
      <c r="V330" s="26" t="str">
        <f t="shared" si="187"/>
        <v/>
      </c>
    </row>
    <row r="331" spans="1:22" ht="48.2" customHeight="1" x14ac:dyDescent="0.25">
      <c r="A331" s="17">
        <f>VLOOKUP(C331,[1]Werke!$A$1:$C$168,3,0)</f>
        <v>22</v>
      </c>
      <c r="B331" s="17" t="str">
        <f>VLOOKUP(C331,[1]Werke!$A$1:$C$168,2,0)</f>
        <v>13P</v>
      </c>
      <c r="C331" s="18" t="s">
        <v>230</v>
      </c>
      <c r="D331" s="17" t="str">
        <f>VLOOKUP(C331,[1]Maliteslimalan!$A$1:$B$210,2,0)</f>
        <v>8000013344</v>
      </c>
      <c r="E331" s="19" t="str">
        <f>VLOOKUP(C331,[1]Bestellnr.!$A$1:$B$174,2,0)</f>
        <v>000006</v>
      </c>
      <c r="F331" s="20" t="str">
        <f t="shared" si="179"/>
        <v>N   911 574 01</v>
      </c>
      <c r="G331" s="21">
        <v>968138000</v>
      </c>
      <c r="H331" s="17">
        <f t="shared" si="180"/>
        <v>8.5900000000000004E-3</v>
      </c>
      <c r="I331" s="20"/>
      <c r="J331" s="17">
        <f>VLOOKUP(G331,W$2:X$1905,2,FALSE)</f>
        <v>1600</v>
      </c>
      <c r="K331" s="17">
        <f t="shared" si="181"/>
        <v>0</v>
      </c>
      <c r="L331" s="22">
        <v>10</v>
      </c>
      <c r="M331" s="22">
        <v>20</v>
      </c>
      <c r="N331" s="22">
        <v>111444</v>
      </c>
      <c r="O331" s="22" t="str">
        <f t="shared" si="182"/>
        <v>001006</v>
      </c>
      <c r="P331" s="22">
        <f t="shared" si="183"/>
        <v>34</v>
      </c>
      <c r="Q331" s="22"/>
      <c r="R331" s="23" t="s">
        <v>153</v>
      </c>
      <c r="S331" s="22">
        <f t="shared" si="184"/>
        <v>0.56999999999999995</v>
      </c>
      <c r="T331" s="24">
        <f t="shared" si="185"/>
        <v>0</v>
      </c>
      <c r="U331" s="25">
        <f t="shared" si="186"/>
        <v>2</v>
      </c>
      <c r="V331" s="26" t="str">
        <f t="shared" si="187"/>
        <v/>
      </c>
    </row>
    <row r="332" spans="1:22" ht="48.2" customHeight="1" x14ac:dyDescent="0.25">
      <c r="A332" s="17">
        <f>VLOOKUP(C332,[1]Werke!$A$1:$C$168,3,0)</f>
        <v>37</v>
      </c>
      <c r="B332" s="17" t="str">
        <f>VLOOKUP(C332,[1]Werke!$A$1:$C$168,2,0)</f>
        <v>AKL</v>
      </c>
      <c r="C332" s="18" t="s">
        <v>232</v>
      </c>
      <c r="D332" s="17" t="str">
        <f>VLOOKUP(C332,[1]Maliteslimalan!$A$1:$B$210,2,0)</f>
        <v>8000012562</v>
      </c>
      <c r="E332" s="19" t="str">
        <f>VLOOKUP(C332,[1]Bestellnr.!$A$1:$B$174,2,0)</f>
        <v>000006</v>
      </c>
      <c r="F332" s="20" t="str">
        <f t="shared" si="179"/>
        <v>N   911 574 01</v>
      </c>
      <c r="G332" s="21">
        <v>968138000</v>
      </c>
      <c r="H332" s="17">
        <f t="shared" si="180"/>
        <v>8.5900000000000004E-3</v>
      </c>
      <c r="I332" s="20"/>
      <c r="J332" s="17">
        <f>VLOOKUP(G332,W$2:X$1905,2,FALSE)</f>
        <v>1600</v>
      </c>
      <c r="K332" s="17">
        <f t="shared" si="181"/>
        <v>0</v>
      </c>
      <c r="L332" s="22">
        <v>10</v>
      </c>
      <c r="M332" s="22">
        <v>10</v>
      </c>
      <c r="N332" s="22">
        <v>111444</v>
      </c>
      <c r="O332" s="22" t="str">
        <f t="shared" si="182"/>
        <v>001006</v>
      </c>
      <c r="P332" s="22">
        <f t="shared" si="183"/>
        <v>34</v>
      </c>
      <c r="Q332" s="22"/>
      <c r="R332" s="23" t="s">
        <v>153</v>
      </c>
      <c r="S332" s="22">
        <f t="shared" si="184"/>
        <v>0.56999999999999995</v>
      </c>
      <c r="T332" s="24">
        <f t="shared" si="185"/>
        <v>0</v>
      </c>
      <c r="U332" s="25">
        <f t="shared" si="186"/>
        <v>2</v>
      </c>
      <c r="V332" s="26" t="str">
        <f t="shared" si="187"/>
        <v/>
      </c>
    </row>
    <row r="333" spans="1:22" ht="48.2" customHeight="1" x14ac:dyDescent="0.25">
      <c r="A333" s="17">
        <f>VLOOKUP(C333,[1]Werke!$A$1:$C$168,3,0)</f>
        <v>14</v>
      </c>
      <c r="B333" s="17" t="str">
        <f>VLOOKUP(C333,[1]Werke!$A$1:$C$168,2,0)</f>
        <v>D72</v>
      </c>
      <c r="C333" s="18" t="s">
        <v>220</v>
      </c>
      <c r="D333" s="17" t="str">
        <f>VLOOKUP(C333,[1]Maliteslimalan!$A$1:$B$210,2,0)</f>
        <v>8000013493</v>
      </c>
      <c r="E333" s="19">
        <f>VLOOKUP(C333,[1]Bestellnr.!$A$1:$B$174,2,0)</f>
        <v>0</v>
      </c>
      <c r="F333" s="20" t="str">
        <f t="shared" si="179"/>
        <v>N   911 574 01</v>
      </c>
      <c r="G333" s="21">
        <v>968138000</v>
      </c>
      <c r="H333" s="17">
        <f t="shared" si="180"/>
        <v>8.5900000000000004E-3</v>
      </c>
      <c r="I333" s="20"/>
      <c r="J333" s="17">
        <v>1600</v>
      </c>
      <c r="K333" s="17">
        <f t="shared" si="181"/>
        <v>0</v>
      </c>
      <c r="L333" s="22">
        <v>10</v>
      </c>
      <c r="M333" s="22">
        <v>10</v>
      </c>
      <c r="N333" s="22">
        <v>111444</v>
      </c>
      <c r="O333" s="22" t="str">
        <f t="shared" si="182"/>
        <v>001006</v>
      </c>
      <c r="P333" s="22">
        <f t="shared" si="183"/>
        <v>34</v>
      </c>
      <c r="Q333" s="22"/>
      <c r="R333" s="23" t="s">
        <v>153</v>
      </c>
      <c r="S333" s="22">
        <f t="shared" si="184"/>
        <v>0.56999999999999995</v>
      </c>
      <c r="T333" s="24">
        <f t="shared" si="185"/>
        <v>0</v>
      </c>
      <c r="U333" s="25">
        <f t="shared" si="186"/>
        <v>2</v>
      </c>
      <c r="V333" s="26" t="str">
        <f t="shared" si="187"/>
        <v/>
      </c>
    </row>
    <row r="334" spans="1:22" ht="48.2" customHeight="1" x14ac:dyDescent="0.25">
      <c r="A334" s="17">
        <f>VLOOKUP(C334,[1]Werke!$A$1:$C$168,3,0)</f>
        <v>24</v>
      </c>
      <c r="B334" s="17" t="str">
        <f>VLOOKUP(C334,[1]Werke!$A$1:$C$168,2,0)</f>
        <v>CKS</v>
      </c>
      <c r="C334" s="18" t="s">
        <v>245</v>
      </c>
      <c r="D334" s="17" t="str">
        <f>VLOOKUP(C334,[1]Maliteslimalan!$A$1:$B$210,2,0)</f>
        <v>8000012647</v>
      </c>
      <c r="E334" s="19" t="str">
        <f>VLOOKUP(C334,[1]Bestellnr.!$A$1:$B$174,2,0)</f>
        <v>000006</v>
      </c>
      <c r="F334" s="20" t="str">
        <f t="shared" si="179"/>
        <v>N   911 574 01</v>
      </c>
      <c r="G334" s="21">
        <v>968138000</v>
      </c>
      <c r="H334" s="17">
        <f t="shared" si="180"/>
        <v>8.5900000000000004E-3</v>
      </c>
      <c r="I334" s="20"/>
      <c r="J334" s="17">
        <f>VLOOKUP(G334,W$2:X$1905,2,FALSE)</f>
        <v>1600</v>
      </c>
      <c r="K334" s="17">
        <f t="shared" si="181"/>
        <v>0</v>
      </c>
      <c r="L334" s="22">
        <v>10</v>
      </c>
      <c r="M334" s="22">
        <v>30</v>
      </c>
      <c r="N334" s="22">
        <v>111444</v>
      </c>
      <c r="O334" s="22" t="str">
        <f t="shared" si="182"/>
        <v>001006</v>
      </c>
      <c r="P334" s="22">
        <f t="shared" si="183"/>
        <v>34</v>
      </c>
      <c r="Q334" s="22"/>
      <c r="R334" s="23" t="s">
        <v>153</v>
      </c>
      <c r="S334" s="22">
        <f t="shared" si="184"/>
        <v>0.56999999999999995</v>
      </c>
      <c r="T334" s="24">
        <f t="shared" si="185"/>
        <v>0</v>
      </c>
      <c r="U334" s="25">
        <f t="shared" si="186"/>
        <v>2</v>
      </c>
      <c r="V334" s="26" t="str">
        <f t="shared" si="187"/>
        <v/>
      </c>
    </row>
    <row r="335" spans="1:22" ht="48.2" customHeight="1" x14ac:dyDescent="0.25">
      <c r="A335" s="17"/>
      <c r="B335" s="17"/>
      <c r="C335" s="18"/>
      <c r="D335" s="17"/>
      <c r="E335" s="19"/>
      <c r="F335" s="20"/>
      <c r="G335" s="21"/>
      <c r="H335" s="17"/>
      <c r="I335" s="20"/>
      <c r="J335" s="17"/>
      <c r="K335" s="17"/>
      <c r="L335" s="22"/>
      <c r="M335" s="22"/>
      <c r="N335" s="22"/>
      <c r="O335" s="22"/>
      <c r="P335" s="22"/>
      <c r="Q335" s="22"/>
      <c r="R335" s="23"/>
      <c r="S335" s="22"/>
      <c r="T335" s="24"/>
      <c r="U335" s="25"/>
    </row>
    <row r="336" spans="1:22" ht="48.2" customHeight="1" x14ac:dyDescent="0.25">
      <c r="A336" s="17">
        <f>VLOOKUP(C336,[1]Werke!$A$1:$C$168,3,0)</f>
        <v>21</v>
      </c>
      <c r="B336" s="17" t="str">
        <f>VLOOKUP(C336,[1]Werke!$A$1:$C$168,2,0)</f>
        <v>GZD</v>
      </c>
      <c r="C336" s="18" t="s">
        <v>154</v>
      </c>
      <c r="D336" s="17" t="str">
        <f>VLOOKUP(C336,[1]Maliteslimalan!$A$1:$B$210,2,0)</f>
        <v>8000012572</v>
      </c>
      <c r="E336" s="19" t="str">
        <f>VLOOKUP(C336,[1]Bestellnr.!$A$1:$B$174,2,0)</f>
        <v>000006</v>
      </c>
      <c r="F336" s="20" t="str">
        <f t="shared" ref="F336:F344" si="188">VLOOKUP(G336,$U$1:$V$1730,2,0)</f>
        <v>N   911 669 01</v>
      </c>
      <c r="G336" s="21">
        <v>933036000</v>
      </c>
      <c r="H336" s="17">
        <f t="shared" ref="H336:H344" si="189">VLOOKUP(G336,Z$2:AA$1905,2,FALSE)</f>
        <v>8.6499999999999997E-3</v>
      </c>
      <c r="I336" s="20"/>
      <c r="J336" s="17">
        <f t="shared" ref="J336:J342" si="190">VLOOKUP(G336,W$2:X$1905,2,FALSE)</f>
        <v>1700</v>
      </c>
      <c r="K336" s="17">
        <f t="shared" ref="K336:K344" si="191">I336/J336</f>
        <v>0</v>
      </c>
      <c r="L336" s="22">
        <v>20</v>
      </c>
      <c r="M336" s="22">
        <v>60</v>
      </c>
      <c r="N336" s="22" t="s">
        <v>155</v>
      </c>
      <c r="O336" s="22" t="str">
        <f t="shared" ref="O336:O344" si="192">VLOOKUP(N336,$AL$1285:$AM$1310,2,FALSE)</f>
        <v>001210</v>
      </c>
      <c r="P336" s="22">
        <f t="shared" ref="P336:P344" si="193">VLOOKUP(N336,AC$2:AD$1905,2,FALSE)</f>
        <v>55</v>
      </c>
      <c r="Q336" s="22"/>
      <c r="R336" s="23" t="s">
        <v>153</v>
      </c>
      <c r="S336" s="22">
        <f t="shared" ref="S336:S344" si="194">VLOOKUP(R336,AC$2:AD$1905,2,FALSE)</f>
        <v>0.56999999999999995</v>
      </c>
      <c r="T336" s="24">
        <f t="shared" ref="T336:T344" si="195">(H336*I336)+P336*Q336+S336*K336</f>
        <v>0</v>
      </c>
      <c r="U336" s="25">
        <f t="shared" ref="U336:U344" si="196">IF(TRIM(N336&amp;"")="111444",
    IF(ROUNDUP(MAX(0,K336-(MAX(1,Q336)-1)*10)/10,0)=1,3,2),
    IF(TRIM(N336&amp;"")="VWPAL",
        IF(TRIM(R336&amp;"")="004147",1,2),
        ""
    )
)</f>
        <v>2</v>
      </c>
      <c r="V336" s="26" t="str">
        <f t="shared" ref="V336:V344" si="197">IF(OR(TRIM(N336&amp;"")="111444",TRIM(N336&amp;"")="VWPAL"),
    IF(K336&lt;=0,"",
        IF(
            MIN(3,ROUNDUP(MAX(0,K336-(MAX(1,Q336)-1)*IF(TRIM(N336&amp;"")="111444",10,20))/IF(TRIM(N336&amp;"")="111444",10,20),0))=1,
            300,
            IF(
                MIN(3,ROUNDUP(MAX(0,K336-(MAX(1,Q336)-1)*IF(TRIM(N336&amp;"")="111444",10,20))/IF(TRIM(N336&amp;"")="111444",10,20),0))=2,
                450,
                600
            )
        )
    ),
    ""
)</f>
        <v/>
      </c>
    </row>
    <row r="337" spans="1:22" ht="48.2" customHeight="1" x14ac:dyDescent="0.25">
      <c r="A337" s="17">
        <f>VLOOKUP(C337,[1]Werke!$A$1:$C$168,3,0)</f>
        <v>24</v>
      </c>
      <c r="B337" s="17" t="str">
        <f>VLOOKUP(C337,[1]Werke!$A$1:$C$168,2,0)</f>
        <v>CKH</v>
      </c>
      <c r="C337" s="18" t="s">
        <v>224</v>
      </c>
      <c r="D337" s="17">
        <f>VLOOKUP(C337,[1]Maliteslimalan!$A$1:$B$210,2,0)</f>
        <v>8000013551</v>
      </c>
      <c r="E337" s="19">
        <v>6</v>
      </c>
      <c r="F337" s="20" t="str">
        <f t="shared" si="188"/>
        <v>N   911 669 01</v>
      </c>
      <c r="G337" s="21">
        <v>933036000</v>
      </c>
      <c r="H337" s="17">
        <f t="shared" si="189"/>
        <v>8.6499999999999997E-3</v>
      </c>
      <c r="I337" s="20"/>
      <c r="J337" s="17">
        <f t="shared" si="190"/>
        <v>1700</v>
      </c>
      <c r="K337" s="17">
        <f t="shared" si="191"/>
        <v>0</v>
      </c>
      <c r="L337" s="22">
        <v>10</v>
      </c>
      <c r="M337" s="22">
        <v>30</v>
      </c>
      <c r="N337" s="22">
        <v>111444</v>
      </c>
      <c r="O337" s="22" t="str">
        <f t="shared" si="192"/>
        <v>001006</v>
      </c>
      <c r="P337" s="22">
        <f t="shared" si="193"/>
        <v>34</v>
      </c>
      <c r="Q337" s="22"/>
      <c r="R337" s="23" t="s">
        <v>153</v>
      </c>
      <c r="S337" s="22">
        <f t="shared" si="194"/>
        <v>0.56999999999999995</v>
      </c>
      <c r="T337" s="24">
        <f t="shared" si="195"/>
        <v>0</v>
      </c>
      <c r="U337" s="25">
        <f t="shared" si="196"/>
        <v>2</v>
      </c>
      <c r="V337" s="26" t="str">
        <f t="shared" si="197"/>
        <v/>
      </c>
    </row>
    <row r="338" spans="1:22" ht="48.2" customHeight="1" x14ac:dyDescent="0.25">
      <c r="A338" s="17" t="str">
        <f>VLOOKUP(C338,[1]Werke!$A$1:$C$168,3,0)</f>
        <v>DZ</v>
      </c>
      <c r="B338" s="17" t="str">
        <f>VLOOKUP(C338,[1]Werke!$A$1:$C$168,2,0)</f>
        <v>S1</v>
      </c>
      <c r="C338" s="18" t="s">
        <v>276</v>
      </c>
      <c r="D338" s="17" t="str">
        <f>VLOOKUP(C338,[1]Maliteslimalan!$A$1:$B$210,2,0)</f>
        <v>8000012559</v>
      </c>
      <c r="E338" s="19" t="str">
        <f>VLOOKUP(C338,[1]Bestellnr.!$A$1:$B$174,2,0)</f>
        <v>000006</v>
      </c>
      <c r="F338" s="20" t="str">
        <f t="shared" si="188"/>
        <v>N   911 669 01</v>
      </c>
      <c r="G338" s="21">
        <v>933036000</v>
      </c>
      <c r="H338" s="17">
        <f t="shared" si="189"/>
        <v>8.6499999999999997E-3</v>
      </c>
      <c r="I338" s="20"/>
      <c r="J338" s="17">
        <f t="shared" si="190"/>
        <v>1700</v>
      </c>
      <c r="K338" s="17">
        <f t="shared" si="191"/>
        <v>0</v>
      </c>
      <c r="L338" s="22">
        <v>10</v>
      </c>
      <c r="M338" s="22">
        <v>30</v>
      </c>
      <c r="N338" s="22">
        <v>111444</v>
      </c>
      <c r="O338" s="22" t="str">
        <f t="shared" si="192"/>
        <v>001006</v>
      </c>
      <c r="P338" s="22">
        <f t="shared" si="193"/>
        <v>34</v>
      </c>
      <c r="Q338" s="22"/>
      <c r="R338" s="23" t="s">
        <v>153</v>
      </c>
      <c r="S338" s="22">
        <f t="shared" si="194"/>
        <v>0.56999999999999995</v>
      </c>
      <c r="T338" s="24">
        <f t="shared" si="195"/>
        <v>0</v>
      </c>
      <c r="U338" s="25">
        <f t="shared" si="196"/>
        <v>2</v>
      </c>
      <c r="V338" s="26" t="str">
        <f t="shared" si="197"/>
        <v/>
      </c>
    </row>
    <row r="339" spans="1:22" ht="48.2" customHeight="1" x14ac:dyDescent="0.25">
      <c r="A339" s="17" t="str">
        <f>VLOOKUP(C339,[1]Werke!$A$1:$C$168,3,0)</f>
        <v>16D</v>
      </c>
      <c r="B339" s="17">
        <f>VLOOKUP(C339,[1]Werke!$A$1:$C$168,2,0)</f>
        <v>501</v>
      </c>
      <c r="C339" s="18" t="s">
        <v>262</v>
      </c>
      <c r="D339" s="17" t="str">
        <f>VLOOKUP(C339,[1]Maliteslimalan!$A$1:$B$210,2,0)</f>
        <v>8000012876</v>
      </c>
      <c r="E339" s="19">
        <f>VLOOKUP(C339,[1]Bestellnr.!$A$1:$B$174,2,0)</f>
        <v>0</v>
      </c>
      <c r="F339" s="20" t="str">
        <f t="shared" si="188"/>
        <v>N   911 669 01</v>
      </c>
      <c r="G339" s="21">
        <v>933036000</v>
      </c>
      <c r="H339" s="17">
        <f t="shared" si="189"/>
        <v>8.6499999999999997E-3</v>
      </c>
      <c r="I339" s="20"/>
      <c r="J339" s="17">
        <f t="shared" si="190"/>
        <v>1700</v>
      </c>
      <c r="K339" s="17">
        <f t="shared" si="191"/>
        <v>0</v>
      </c>
      <c r="L339" s="22">
        <v>10</v>
      </c>
      <c r="M339" s="22">
        <v>30</v>
      </c>
      <c r="N339" s="22">
        <v>111444</v>
      </c>
      <c r="O339" s="22" t="str">
        <f t="shared" si="192"/>
        <v>001006</v>
      </c>
      <c r="P339" s="22">
        <f t="shared" si="193"/>
        <v>34</v>
      </c>
      <c r="Q339" s="22"/>
      <c r="R339" s="23" t="s">
        <v>153</v>
      </c>
      <c r="S339" s="22">
        <f t="shared" si="194"/>
        <v>0.56999999999999995</v>
      </c>
      <c r="T339" s="24">
        <f t="shared" si="195"/>
        <v>0</v>
      </c>
      <c r="U339" s="25">
        <f t="shared" si="196"/>
        <v>2</v>
      </c>
      <c r="V339" s="26" t="str">
        <f t="shared" si="197"/>
        <v/>
      </c>
    </row>
    <row r="340" spans="1:22" ht="48.2" customHeight="1" x14ac:dyDescent="0.25">
      <c r="A340" s="17">
        <f>VLOOKUP(C340,[1]Werke!$A$1:$C$168,3,0)</f>
        <v>11</v>
      </c>
      <c r="B340" s="17" t="str">
        <f>VLOOKUP(C340,[1]Werke!$A$1:$C$168,2,0)</f>
        <v>03A</v>
      </c>
      <c r="C340" s="18" t="s">
        <v>277</v>
      </c>
      <c r="D340" s="17" t="str">
        <f>VLOOKUP(C340,[1]Maliteslimalan!$A$1:$B$210,2,0)</f>
        <v>8000012601</v>
      </c>
      <c r="E340" s="19" t="str">
        <f>VLOOKUP(C340,[1]Bestellnr.!$A$1:$B$174,2,0)</f>
        <v>000006</v>
      </c>
      <c r="F340" s="20" t="str">
        <f t="shared" si="188"/>
        <v>N   911 669 01</v>
      </c>
      <c r="G340" s="21">
        <v>933036000</v>
      </c>
      <c r="H340" s="17">
        <f t="shared" si="189"/>
        <v>8.6499999999999997E-3</v>
      </c>
      <c r="I340" s="20"/>
      <c r="J340" s="17">
        <f t="shared" si="190"/>
        <v>1700</v>
      </c>
      <c r="K340" s="17">
        <f t="shared" si="191"/>
        <v>0</v>
      </c>
      <c r="L340" s="22">
        <v>10</v>
      </c>
      <c r="M340" s="22">
        <v>30</v>
      </c>
      <c r="N340" s="22">
        <v>111444</v>
      </c>
      <c r="O340" s="22" t="str">
        <f t="shared" si="192"/>
        <v>001006</v>
      </c>
      <c r="P340" s="22">
        <f t="shared" si="193"/>
        <v>34</v>
      </c>
      <c r="Q340" s="22"/>
      <c r="R340" s="23" t="s">
        <v>153</v>
      </c>
      <c r="S340" s="22">
        <f t="shared" si="194"/>
        <v>0.56999999999999995</v>
      </c>
      <c r="T340" s="24">
        <f t="shared" si="195"/>
        <v>0</v>
      </c>
      <c r="U340" s="25">
        <f t="shared" si="196"/>
        <v>2</v>
      </c>
      <c r="V340" s="26" t="str">
        <f t="shared" si="197"/>
        <v/>
      </c>
    </row>
    <row r="341" spans="1:22" ht="48.2" customHeight="1" x14ac:dyDescent="0.25">
      <c r="A341" s="17">
        <f>VLOOKUP(C341,[1]Werke!$A$1:$C$168,3,0)</f>
        <v>22</v>
      </c>
      <c r="B341" s="17" t="str">
        <f>VLOOKUP(C341,[1]Werke!$A$1:$C$168,2,0)</f>
        <v>13P</v>
      </c>
      <c r="C341" s="18" t="s">
        <v>230</v>
      </c>
      <c r="D341" s="17" t="str">
        <f>VLOOKUP(C341,[1]Maliteslimalan!$A$1:$B$210,2,0)</f>
        <v>8000013344</v>
      </c>
      <c r="E341" s="19" t="str">
        <f>VLOOKUP(C341,[1]Bestellnr.!$A$1:$B$174,2,0)</f>
        <v>000006</v>
      </c>
      <c r="F341" s="20" t="str">
        <f t="shared" si="188"/>
        <v>N   911 669 01</v>
      </c>
      <c r="G341" s="21">
        <v>933036000</v>
      </c>
      <c r="H341" s="17">
        <f t="shared" si="189"/>
        <v>8.6499999999999997E-3</v>
      </c>
      <c r="I341" s="20"/>
      <c r="J341" s="17">
        <f t="shared" si="190"/>
        <v>1700</v>
      </c>
      <c r="K341" s="17">
        <f t="shared" si="191"/>
        <v>0</v>
      </c>
      <c r="L341" s="22">
        <v>10</v>
      </c>
      <c r="M341" s="22">
        <v>30</v>
      </c>
      <c r="N341" s="22">
        <v>111444</v>
      </c>
      <c r="O341" s="22" t="str">
        <f t="shared" si="192"/>
        <v>001006</v>
      </c>
      <c r="P341" s="22">
        <f t="shared" si="193"/>
        <v>34</v>
      </c>
      <c r="Q341" s="22"/>
      <c r="R341" s="23" t="s">
        <v>153</v>
      </c>
      <c r="S341" s="22">
        <f t="shared" si="194"/>
        <v>0.56999999999999995</v>
      </c>
      <c r="T341" s="24">
        <f t="shared" si="195"/>
        <v>0</v>
      </c>
      <c r="U341" s="25">
        <f t="shared" si="196"/>
        <v>2</v>
      </c>
      <c r="V341" s="26" t="str">
        <f t="shared" si="197"/>
        <v/>
      </c>
    </row>
    <row r="342" spans="1:22" ht="48.2" customHeight="1" x14ac:dyDescent="0.25">
      <c r="A342" s="17">
        <f>VLOOKUP(C342,[1]Werke!$A$1:$C$168,3,0)</f>
        <v>37</v>
      </c>
      <c r="B342" s="17" t="str">
        <f>VLOOKUP(C342,[1]Werke!$A$1:$C$168,2,0)</f>
        <v>AKL</v>
      </c>
      <c r="C342" s="18" t="s">
        <v>232</v>
      </c>
      <c r="D342" s="17" t="str">
        <f>VLOOKUP(C342,[1]Maliteslimalan!$A$1:$B$210,2,0)</f>
        <v>8000012562</v>
      </c>
      <c r="E342" s="19" t="str">
        <f>VLOOKUP(C342,[1]Bestellnr.!$A$1:$B$174,2,0)</f>
        <v>000006</v>
      </c>
      <c r="F342" s="20" t="str">
        <f t="shared" si="188"/>
        <v>N   911 669 01</v>
      </c>
      <c r="G342" s="21">
        <v>933036000</v>
      </c>
      <c r="H342" s="17">
        <f t="shared" si="189"/>
        <v>8.6499999999999997E-3</v>
      </c>
      <c r="I342" s="20"/>
      <c r="J342" s="17">
        <f t="shared" si="190"/>
        <v>1700</v>
      </c>
      <c r="K342" s="17">
        <f t="shared" si="191"/>
        <v>0</v>
      </c>
      <c r="L342" s="22">
        <v>10</v>
      </c>
      <c r="M342" s="22">
        <v>30</v>
      </c>
      <c r="N342" s="22">
        <v>111444</v>
      </c>
      <c r="O342" s="22" t="str">
        <f t="shared" si="192"/>
        <v>001006</v>
      </c>
      <c r="P342" s="22">
        <f t="shared" si="193"/>
        <v>34</v>
      </c>
      <c r="Q342" s="22"/>
      <c r="R342" s="23" t="s">
        <v>153</v>
      </c>
      <c r="S342" s="22">
        <f t="shared" si="194"/>
        <v>0.56999999999999995</v>
      </c>
      <c r="T342" s="24">
        <f t="shared" si="195"/>
        <v>0</v>
      </c>
      <c r="U342" s="25">
        <f t="shared" si="196"/>
        <v>2</v>
      </c>
      <c r="V342" s="26" t="str">
        <f t="shared" si="197"/>
        <v/>
      </c>
    </row>
    <row r="343" spans="1:22" ht="48.2" customHeight="1" x14ac:dyDescent="0.25">
      <c r="A343" s="17">
        <f>VLOOKUP(C343,[1]Werke!$A$1:$C$168,3,0)</f>
        <v>14</v>
      </c>
      <c r="B343" s="17" t="str">
        <f>VLOOKUP(C343,[1]Werke!$A$1:$C$168,2,0)</f>
        <v>D72</v>
      </c>
      <c r="C343" s="18" t="s">
        <v>220</v>
      </c>
      <c r="D343" s="17" t="str">
        <f>VLOOKUP(C343,[1]Maliteslimalan!$A$1:$B$210,2,0)</f>
        <v>8000013493</v>
      </c>
      <c r="E343" s="19">
        <f>VLOOKUP(C343,[1]Bestellnr.!$A$1:$B$174,2,0)</f>
        <v>0</v>
      </c>
      <c r="F343" s="20" t="str">
        <f t="shared" si="188"/>
        <v>N   911 669 01</v>
      </c>
      <c r="G343" s="21">
        <v>933036000</v>
      </c>
      <c r="H343" s="17">
        <f t="shared" si="189"/>
        <v>8.6499999999999997E-3</v>
      </c>
      <c r="I343" s="20"/>
      <c r="J343" s="17">
        <v>1700</v>
      </c>
      <c r="K343" s="17">
        <f t="shared" si="191"/>
        <v>0</v>
      </c>
      <c r="L343" s="22">
        <v>20</v>
      </c>
      <c r="M343" s="22">
        <v>60</v>
      </c>
      <c r="N343" s="22" t="s">
        <v>155</v>
      </c>
      <c r="O343" s="22" t="str">
        <f t="shared" si="192"/>
        <v>001210</v>
      </c>
      <c r="P343" s="22">
        <f t="shared" si="193"/>
        <v>55</v>
      </c>
      <c r="Q343" s="22"/>
      <c r="R343" s="23" t="s">
        <v>153</v>
      </c>
      <c r="S343" s="22">
        <f t="shared" si="194"/>
        <v>0.56999999999999995</v>
      </c>
      <c r="T343" s="24">
        <f t="shared" si="195"/>
        <v>0</v>
      </c>
      <c r="U343" s="25">
        <f t="shared" si="196"/>
        <v>2</v>
      </c>
      <c r="V343" s="26" t="str">
        <f t="shared" si="197"/>
        <v/>
      </c>
    </row>
    <row r="344" spans="1:22" ht="48.2" customHeight="1" x14ac:dyDescent="0.25">
      <c r="A344" s="17">
        <f>VLOOKUP(C344,[1]Werke!$A$1:$C$168,3,0)</f>
        <v>24</v>
      </c>
      <c r="B344" s="17" t="str">
        <f>VLOOKUP(C344,[1]Werke!$A$1:$C$168,2,0)</f>
        <v>CKS</v>
      </c>
      <c r="C344" s="18" t="s">
        <v>245</v>
      </c>
      <c r="D344" s="17" t="str">
        <f>VLOOKUP(C344,[1]Maliteslimalan!$A$1:$B$210,2,0)</f>
        <v>8000012647</v>
      </c>
      <c r="E344" s="19" t="str">
        <f>VLOOKUP(C344,[1]Bestellnr.!$A$1:$B$174,2,0)</f>
        <v>000006</v>
      </c>
      <c r="F344" s="20" t="str">
        <f t="shared" si="188"/>
        <v>N   911 669 01</v>
      </c>
      <c r="G344" s="21">
        <v>933036000</v>
      </c>
      <c r="H344" s="17">
        <f t="shared" si="189"/>
        <v>8.6499999999999997E-3</v>
      </c>
      <c r="I344" s="20"/>
      <c r="J344" s="17">
        <f>VLOOKUP(G344,W$2:X$1905,2,FALSE)</f>
        <v>1700</v>
      </c>
      <c r="K344" s="17">
        <f t="shared" si="191"/>
        <v>0</v>
      </c>
      <c r="L344" s="22">
        <v>10</v>
      </c>
      <c r="M344" s="22">
        <v>30</v>
      </c>
      <c r="N344" s="22">
        <v>111444</v>
      </c>
      <c r="O344" s="22" t="str">
        <f t="shared" si="192"/>
        <v>001006</v>
      </c>
      <c r="P344" s="22">
        <f t="shared" si="193"/>
        <v>34</v>
      </c>
      <c r="Q344" s="22"/>
      <c r="R344" s="23" t="s">
        <v>153</v>
      </c>
      <c r="S344" s="22">
        <f t="shared" si="194"/>
        <v>0.56999999999999995</v>
      </c>
      <c r="T344" s="24">
        <f t="shared" si="195"/>
        <v>0</v>
      </c>
      <c r="U344" s="25">
        <f t="shared" si="196"/>
        <v>2</v>
      </c>
      <c r="V344" s="26" t="str">
        <f t="shared" si="197"/>
        <v/>
      </c>
    </row>
    <row r="345" spans="1:22" ht="48.2" customHeight="1" x14ac:dyDescent="0.25">
      <c r="A345" s="17"/>
      <c r="B345" s="17"/>
      <c r="C345" s="18"/>
      <c r="D345" s="17"/>
      <c r="E345" s="19"/>
      <c r="F345" s="20"/>
      <c r="G345" s="21"/>
      <c r="H345" s="17"/>
      <c r="I345" s="20"/>
      <c r="J345" s="17"/>
      <c r="K345" s="17"/>
      <c r="L345" s="22"/>
      <c r="M345" s="22"/>
      <c r="N345" s="22"/>
      <c r="O345" s="22"/>
      <c r="P345" s="22"/>
      <c r="Q345" s="22"/>
      <c r="R345" s="23"/>
      <c r="S345" s="22"/>
      <c r="T345" s="24"/>
      <c r="U345" s="25"/>
    </row>
    <row r="346" spans="1:22" ht="48.2" customHeight="1" x14ac:dyDescent="0.25">
      <c r="A346" s="17">
        <f>VLOOKUP(C346,[1]Werke!$A$1:$C$168,3,0)</f>
        <v>21</v>
      </c>
      <c r="B346" s="17" t="str">
        <f>VLOOKUP(C346,[1]Werke!$A$1:$C$168,2,0)</f>
        <v>GZD</v>
      </c>
      <c r="C346" s="18" t="s">
        <v>154</v>
      </c>
      <c r="D346" s="17" t="str">
        <f>VLOOKUP(C346,[1]Maliteslimalan!$A$1:$B$210,2,0)</f>
        <v>8000012572</v>
      </c>
      <c r="E346" s="19" t="str">
        <f>VLOOKUP(C346,[1]Bestellnr.!$A$1:$B$174,2,0)</f>
        <v>000006</v>
      </c>
      <c r="F346" s="20" t="str">
        <f>VLOOKUP(G346,$U$1:$V$1730,2,0)</f>
        <v>N   911 869 01</v>
      </c>
      <c r="G346" s="21">
        <v>933025000</v>
      </c>
      <c r="H346" s="17">
        <f>VLOOKUP(G346,Z$2:AA$1905,2,FALSE)</f>
        <v>9.8399999999999998E-3</v>
      </c>
      <c r="I346" s="20"/>
      <c r="J346" s="17">
        <f>VLOOKUP(G346,W$2:X$1905,2,FALSE)</f>
        <v>1300</v>
      </c>
      <c r="K346" s="17">
        <f>I346/J346</f>
        <v>0</v>
      </c>
      <c r="L346" s="22">
        <v>20</v>
      </c>
      <c r="M346" s="22">
        <v>60</v>
      </c>
      <c r="N346" s="22" t="s">
        <v>155</v>
      </c>
      <c r="O346" s="22" t="str">
        <f>VLOOKUP(N346,$AL$1285:$AM$1310,2,FALSE)</f>
        <v>001210</v>
      </c>
      <c r="P346" s="22">
        <f>VLOOKUP(N346,AC$2:AD$1905,2,FALSE)</f>
        <v>55</v>
      </c>
      <c r="Q346" s="22"/>
      <c r="R346" s="23" t="s">
        <v>153</v>
      </c>
      <c r="S346" s="22">
        <f>VLOOKUP(R346,AC$2:AD$1905,2,FALSE)</f>
        <v>0.56999999999999995</v>
      </c>
      <c r="T346" s="24">
        <f>(H346*I346)+P346*Q346+S346*K346</f>
        <v>0</v>
      </c>
      <c r="U346" s="25">
        <f>IF(TRIM(N346&amp;"")="111444",
    IF(ROUNDUP(MAX(0,K346-(MAX(1,Q346)-1)*10)/10,0)=1,3,2),
    IF(TRIM(N346&amp;"")="VWPAL",
        IF(TRIM(R346&amp;"")="004147",1,2),
        ""
    )
)</f>
        <v>2</v>
      </c>
      <c r="V346" s="26" t="str">
        <f>IF(OR(TRIM(N346&amp;"")="111444",TRIM(N346&amp;"")="VWPAL"),
    IF(K346&lt;=0,"",
        IF(
            MIN(3,ROUNDUP(MAX(0,K346-(MAX(1,Q346)-1)*IF(TRIM(N346&amp;"")="111444",10,20))/IF(TRIM(N346&amp;"")="111444",10,20),0))=1,
            300,
            IF(
                MIN(3,ROUNDUP(MAX(0,K346-(MAX(1,Q346)-1)*IF(TRIM(N346&amp;"")="111444",10,20))/IF(TRIM(N346&amp;"")="111444",10,20),0))=2,
                450,
                600
            )
        )
    ),
    ""
)</f>
        <v/>
      </c>
    </row>
    <row r="347" spans="1:22" ht="48.2" customHeight="1" x14ac:dyDescent="0.25">
      <c r="A347" s="17">
        <f>VLOOKUP(C347,[1]Werke!$A$1:$C$168,3,0)</f>
        <v>14</v>
      </c>
      <c r="B347" s="17" t="str">
        <f>VLOOKUP(C347,[1]Werke!$A$1:$C$168,2,0)</f>
        <v>D72</v>
      </c>
      <c r="C347" s="18" t="s">
        <v>220</v>
      </c>
      <c r="D347" s="17" t="str">
        <f>VLOOKUP(C347,[1]Maliteslimalan!$A$1:$B$210,2,0)</f>
        <v>8000013493</v>
      </c>
      <c r="E347" s="19">
        <f>VLOOKUP(C347,[1]Bestellnr.!$A$1:$B$174,2,0)</f>
        <v>0</v>
      </c>
      <c r="F347" s="20" t="str">
        <f>VLOOKUP(G347,$U$1:$V$1730,2,0)</f>
        <v>N   911 869 01</v>
      </c>
      <c r="G347" s="21">
        <v>933025000</v>
      </c>
      <c r="H347" s="17">
        <f>VLOOKUP(G347,Z$2:AA$1905,2,FALSE)</f>
        <v>9.8399999999999998E-3</v>
      </c>
      <c r="I347" s="20"/>
      <c r="J347" s="17">
        <f>VLOOKUP(G347,W$2:X$1905,2,FALSE)</f>
        <v>1300</v>
      </c>
      <c r="K347" s="17">
        <f>I347/J347</f>
        <v>0</v>
      </c>
      <c r="L347" s="22">
        <v>10</v>
      </c>
      <c r="M347" s="22">
        <v>30</v>
      </c>
      <c r="N347" s="22">
        <v>111444</v>
      </c>
      <c r="O347" s="22" t="str">
        <f>VLOOKUP(N347,$AL$1285:$AM$1310,2,FALSE)</f>
        <v>001006</v>
      </c>
      <c r="P347" s="22">
        <f>VLOOKUP(N347,AC$2:AD$1905,2,FALSE)</f>
        <v>34</v>
      </c>
      <c r="Q347" s="22"/>
      <c r="R347" s="23" t="s">
        <v>153</v>
      </c>
      <c r="S347" s="22">
        <f>VLOOKUP(R347,AC$2:AD$1905,2,FALSE)</f>
        <v>0.56999999999999995</v>
      </c>
      <c r="T347" s="24">
        <f>(H347*I347)+P347*Q347+S347*K347</f>
        <v>0</v>
      </c>
      <c r="U347" s="25">
        <f>IF(TRIM(N347&amp;"")="111444",
    IF(ROUNDUP(MAX(0,K347-(MAX(1,Q347)-1)*10)/10,0)=1,3,2),
    IF(TRIM(N347&amp;"")="VWPAL",
        IF(TRIM(R347&amp;"")="004147",1,2),
        ""
    )
)</f>
        <v>2</v>
      </c>
      <c r="V347" s="26" t="str">
        <f>IF(OR(TRIM(N347&amp;"")="111444",TRIM(N347&amp;"")="VWPAL"),
    IF(K347&lt;=0,"",
        IF(
            MIN(3,ROUNDUP(MAX(0,K347-(MAX(1,Q347)-1)*IF(TRIM(N347&amp;"")="111444",10,20))/IF(TRIM(N347&amp;"")="111444",10,20),0))=1,
            300,
            IF(
                MIN(3,ROUNDUP(MAX(0,K347-(MAX(1,Q347)-1)*IF(TRIM(N347&amp;"")="111444",10,20))/IF(TRIM(N347&amp;"")="111444",10,20),0))=2,
                450,
                600
            )
        )
    ),
    ""
)</f>
        <v/>
      </c>
    </row>
    <row r="348" spans="1:22" ht="48.2" customHeight="1" x14ac:dyDescent="0.25">
      <c r="A348" s="17">
        <f>VLOOKUP(C348,[1]Werke!$A$1:$C$168,3,0)</f>
        <v>24</v>
      </c>
      <c r="B348" s="17" t="str">
        <f>VLOOKUP(C348,[1]Werke!$A$1:$C$168,2,0)</f>
        <v>CKL</v>
      </c>
      <c r="C348" s="18" t="s">
        <v>252</v>
      </c>
      <c r="D348" s="17">
        <f>VLOOKUP(C348,[1]Maliteslimalan!$A$1:$B$210,2,0)</f>
        <v>8000016624</v>
      </c>
      <c r="E348" s="19">
        <v>6</v>
      </c>
      <c r="F348" s="20" t="str">
        <f>VLOOKUP(G348,$U$1:$V$1730,2,0)</f>
        <v>N   911 869 01</v>
      </c>
      <c r="G348" s="21">
        <v>933025000</v>
      </c>
      <c r="H348" s="17">
        <f>VLOOKUP(G348,Z$2:AA$1905,2,FALSE)</f>
        <v>9.8399999999999998E-3</v>
      </c>
      <c r="I348" s="20"/>
      <c r="J348" s="17">
        <f>VLOOKUP(G348,W$2:X$1905,2,FALSE)</f>
        <v>1300</v>
      </c>
      <c r="K348" s="17">
        <f>I348/J348</f>
        <v>0</v>
      </c>
      <c r="L348" s="22">
        <v>10</v>
      </c>
      <c r="M348" s="22">
        <v>30</v>
      </c>
      <c r="N348" s="22">
        <v>111444</v>
      </c>
      <c r="O348" s="22" t="str">
        <f>VLOOKUP(N348,$AL$1285:$AM$1310,2,FALSE)</f>
        <v>001006</v>
      </c>
      <c r="P348" s="22">
        <f>VLOOKUP(N348,AC$2:AD$1905,2,FALSE)</f>
        <v>34</v>
      </c>
      <c r="Q348" s="22"/>
      <c r="R348" s="23" t="s">
        <v>153</v>
      </c>
      <c r="S348" s="22">
        <f>VLOOKUP(R348,AC$2:AD$1905,2,FALSE)</f>
        <v>0.56999999999999995</v>
      </c>
      <c r="T348" s="24">
        <f>(H348*I348)+P348*Q348+S348*K348</f>
        <v>0</v>
      </c>
      <c r="U348" s="25">
        <f>IF(TRIM(N348&amp;"")="111444",
    IF(ROUNDUP(MAX(0,K348-(MAX(1,Q348)-1)*10)/10,0)=1,3,2),
    IF(TRIM(N348&amp;"")="VWPAL",
        IF(TRIM(R348&amp;"")="004147",1,2),
        ""
    )
)</f>
        <v>2</v>
      </c>
      <c r="V348" s="26" t="str">
        <f>IF(OR(TRIM(N348&amp;"")="111444",TRIM(N348&amp;"")="VWPAL"),
    IF(K348&lt;=0,"",
        IF(
            MIN(3,ROUNDUP(MAX(0,K348-(MAX(1,Q348)-1)*IF(TRIM(N348&amp;"")="111444",10,20))/IF(TRIM(N348&amp;"")="111444",10,20),0))=1,
            300,
            IF(
                MIN(3,ROUNDUP(MAX(0,K348-(MAX(1,Q348)-1)*IF(TRIM(N348&amp;"")="111444",10,20))/IF(TRIM(N348&amp;"")="111444",10,20),0))=2,
                450,
                600
            )
        )
    ),
    ""
)</f>
        <v/>
      </c>
    </row>
    <row r="349" spans="1:22" ht="48.2" customHeight="1" x14ac:dyDescent="0.25">
      <c r="A349" s="17">
        <f>VLOOKUP(C349,[1]Werke!$A$1:$C$168,3,0)</f>
        <v>24</v>
      </c>
      <c r="B349" s="17" t="str">
        <f>VLOOKUP(C349,[1]Werke!$A$1:$C$168,2,0)</f>
        <v>CKH</v>
      </c>
      <c r="C349" s="18" t="s">
        <v>224</v>
      </c>
      <c r="D349" s="17">
        <f>VLOOKUP(C349,[1]Maliteslimalan!$A$1:$B$210,2,0)</f>
        <v>8000013551</v>
      </c>
      <c r="E349" s="19">
        <v>6</v>
      </c>
      <c r="F349" s="20" t="str">
        <f>VLOOKUP(G349,$U$1:$V$1730,2,0)</f>
        <v>N   911 869 01</v>
      </c>
      <c r="G349" s="21">
        <v>933025000</v>
      </c>
      <c r="H349" s="17">
        <f>VLOOKUP(G349,Z$2:AA$1905,2,FALSE)</f>
        <v>9.8399999999999998E-3</v>
      </c>
      <c r="I349" s="20"/>
      <c r="J349" s="17">
        <f>VLOOKUP(G349,W$2:X$1905,2,FALSE)</f>
        <v>1300</v>
      </c>
      <c r="K349" s="17">
        <f>I349/J349</f>
        <v>0</v>
      </c>
      <c r="L349" s="22">
        <v>10</v>
      </c>
      <c r="M349" s="22">
        <v>30</v>
      </c>
      <c r="N349" s="22">
        <v>111444</v>
      </c>
      <c r="O349" s="22" t="str">
        <f>VLOOKUP(N349,$AL$1285:$AM$1310,2,FALSE)</f>
        <v>001006</v>
      </c>
      <c r="P349" s="22">
        <f>VLOOKUP(N349,AC$2:AD$1905,2,FALSE)</f>
        <v>34</v>
      </c>
      <c r="Q349" s="22"/>
      <c r="R349" s="23" t="s">
        <v>153</v>
      </c>
      <c r="S349" s="22">
        <f>VLOOKUP(R349,AC$2:AD$1905,2,FALSE)</f>
        <v>0.56999999999999995</v>
      </c>
      <c r="T349" s="24">
        <f>(H349*I349)+P349*Q349+S349*K349</f>
        <v>0</v>
      </c>
      <c r="U349" s="25">
        <f>IF(TRIM(N349&amp;"")="111444",
    IF(ROUNDUP(MAX(0,K349-(MAX(1,Q349)-1)*10)/10,0)=1,3,2),
    IF(TRIM(N349&amp;"")="VWPAL",
        IF(TRIM(R349&amp;"")="004147",1,2),
        ""
    )
)</f>
        <v>2</v>
      </c>
      <c r="V349" s="26" t="str">
        <f>IF(OR(TRIM(N349&amp;"")="111444",TRIM(N349&amp;"")="VWPAL"),
    IF(K349&lt;=0,"",
        IF(
            MIN(3,ROUNDUP(MAX(0,K349-(MAX(1,Q349)-1)*IF(TRIM(N349&amp;"")="111444",10,20))/IF(TRIM(N349&amp;"")="111444",10,20),0))=1,
            300,
            IF(
                MIN(3,ROUNDUP(MAX(0,K349-(MAX(1,Q349)-1)*IF(TRIM(N349&amp;"")="111444",10,20))/IF(TRIM(N349&amp;"")="111444",10,20),0))=2,
                450,
                600
            )
        )
    ),
    ""
)</f>
        <v/>
      </c>
    </row>
    <row r="350" spans="1:22" ht="48.2" customHeight="1" x14ac:dyDescent="0.25">
      <c r="A350" s="17">
        <f>VLOOKUP(C350,[1]Werke!$A$1:$C$168,3,0)</f>
        <v>24</v>
      </c>
      <c r="B350" s="17" t="str">
        <f>VLOOKUP(C350,[1]Werke!$A$1:$C$168,2,0)</f>
        <v>CKS</v>
      </c>
      <c r="C350" s="18" t="s">
        <v>245</v>
      </c>
      <c r="D350" s="17" t="str">
        <f>VLOOKUP(C350,[1]Maliteslimalan!$A$1:$B$210,2,0)</f>
        <v>8000012647</v>
      </c>
      <c r="E350" s="19" t="str">
        <f>VLOOKUP(C350,[1]Bestellnr.!$A$1:$B$174,2,0)</f>
        <v>000006</v>
      </c>
      <c r="F350" s="20" t="str">
        <f>VLOOKUP(G350,$U$1:$V$1730,2,0)</f>
        <v>N   911 869 01</v>
      </c>
      <c r="G350" s="21">
        <v>933025000</v>
      </c>
      <c r="H350" s="17">
        <f>VLOOKUP(G350,Z$2:AA$1905,2,FALSE)</f>
        <v>9.8399999999999998E-3</v>
      </c>
      <c r="I350" s="20"/>
      <c r="J350" s="17">
        <f>VLOOKUP(G350,W$2:X$1905,2,FALSE)</f>
        <v>1300</v>
      </c>
      <c r="K350" s="17">
        <f>I350/J350</f>
        <v>0</v>
      </c>
      <c r="L350" s="22">
        <v>10</v>
      </c>
      <c r="M350" s="22">
        <v>30</v>
      </c>
      <c r="N350" s="22">
        <v>111444</v>
      </c>
      <c r="O350" s="22" t="str">
        <f>VLOOKUP(N350,$AL$1285:$AM$1310,2,FALSE)</f>
        <v>001006</v>
      </c>
      <c r="P350" s="22">
        <f>VLOOKUP(N350,AC$2:AD$1905,2,FALSE)</f>
        <v>34</v>
      </c>
      <c r="Q350" s="22"/>
      <c r="R350" s="23" t="s">
        <v>153</v>
      </c>
      <c r="S350" s="22">
        <f>VLOOKUP(R350,AC$2:AD$1905,2,FALSE)</f>
        <v>0.56999999999999995</v>
      </c>
      <c r="T350" s="24">
        <f>(H350*I350)+P350*Q350+S350*K350</f>
        <v>0</v>
      </c>
      <c r="U350" s="25">
        <f>IF(TRIM(N350&amp;"")="111444",
    IF(ROUNDUP(MAX(0,K350-(MAX(1,Q350)-1)*10)/10,0)=1,3,2),
    IF(TRIM(N350&amp;"")="VWPAL",
        IF(TRIM(R350&amp;"")="004147",1,2),
        ""
    )
)</f>
        <v>2</v>
      </c>
      <c r="V350" s="26" t="str">
        <f>IF(OR(TRIM(N350&amp;"")="111444",TRIM(N350&amp;"")="VWPAL"),
    IF(K350&lt;=0,"",
        IF(
            MIN(3,ROUNDUP(MAX(0,K350-(MAX(1,Q350)-1)*IF(TRIM(N350&amp;"")="111444",10,20))/IF(TRIM(N350&amp;"")="111444",10,20),0))=1,
            300,
            IF(
                MIN(3,ROUNDUP(MAX(0,K350-(MAX(1,Q350)-1)*IF(TRIM(N350&amp;"")="111444",10,20))/IF(TRIM(N350&amp;"")="111444",10,20),0))=2,
                450,
                600
            )
        )
    ),
    ""
)</f>
        <v/>
      </c>
    </row>
    <row r="351" spans="1:22" ht="48.2" customHeight="1" x14ac:dyDescent="0.25">
      <c r="A351" s="17"/>
      <c r="B351" s="17"/>
      <c r="C351" s="18"/>
      <c r="D351" s="17"/>
      <c r="E351" s="19"/>
      <c r="F351" s="20"/>
      <c r="G351" s="21"/>
      <c r="H351" s="17"/>
      <c r="I351" s="20"/>
      <c r="J351" s="17"/>
      <c r="K351" s="17"/>
      <c r="L351" s="22"/>
      <c r="M351" s="22"/>
      <c r="N351" s="22"/>
      <c r="O351" s="22"/>
      <c r="P351" s="22"/>
      <c r="Q351" s="22"/>
      <c r="R351" s="23"/>
      <c r="S351" s="22"/>
      <c r="T351" s="24"/>
      <c r="U351" s="25"/>
    </row>
    <row r="352" spans="1:22" ht="48" customHeight="1" x14ac:dyDescent="0.25">
      <c r="A352" s="17" t="str">
        <f>VLOOKUP(C352,[1]Werke!$A$1:$C$168,3,0)</f>
        <v>26D</v>
      </c>
      <c r="B352" s="17" t="str">
        <f>VLOOKUP(C352,[1]Werke!$A$1:$C$168,2,0)</f>
        <v>G18</v>
      </c>
      <c r="C352" s="18" t="s">
        <v>272</v>
      </c>
      <c r="D352" s="17" t="str">
        <f>VLOOKUP(C352,[1]Maliteslimalan!$A$1:$B$210,2,0)</f>
        <v>8000012580</v>
      </c>
      <c r="E352" s="19">
        <f>VLOOKUP(C352,[1]Bestellnr.!$A$1:$B$174,2,0)</f>
        <v>0</v>
      </c>
      <c r="F352" s="20" t="str">
        <f>VLOOKUP(G352,$U$1:$V$1730,2,0)</f>
        <v>N   911 873 01</v>
      </c>
      <c r="G352" s="21">
        <v>932228000</v>
      </c>
      <c r="H352" s="17">
        <f>VLOOKUP(G352,Z$2:AA$1905,2,FALSE)</f>
        <v>1.9439999999999999E-2</v>
      </c>
      <c r="I352" s="20"/>
      <c r="J352" s="17">
        <f>VLOOKUP(G352,W$2:X$1905,2,FALSE)</f>
        <v>600</v>
      </c>
      <c r="K352" s="17">
        <f>I352/J352</f>
        <v>0</v>
      </c>
      <c r="L352" s="22">
        <v>10</v>
      </c>
      <c r="M352" s="22">
        <v>20</v>
      </c>
      <c r="N352" s="22">
        <v>111444</v>
      </c>
      <c r="O352" s="22" t="str">
        <f>VLOOKUP(N352,$AL$1285:$AM$1310,2,FALSE)</f>
        <v>001006</v>
      </c>
      <c r="P352" s="22">
        <f>VLOOKUP(N352,AC$2:AD$1905,2,FALSE)</f>
        <v>34</v>
      </c>
      <c r="Q352" s="22"/>
      <c r="R352" s="23" t="s">
        <v>153</v>
      </c>
      <c r="S352" s="22">
        <f>VLOOKUP(R352,AC$2:AD$1905,2,FALSE)</f>
        <v>0.56999999999999995</v>
      </c>
      <c r="T352" s="24">
        <f>(H352*I352)+P352*Q352+S352*K352</f>
        <v>0</v>
      </c>
      <c r="U352" s="25">
        <f>IF(TRIM(N352&amp;"")="111444",
    IF(ROUNDUP(MAX(0,K352-(MAX(1,Q352)-1)*10)/10,0)=1,3,2),
    IF(TRIM(N352&amp;"")="VWPAL",
        IF(TRIM(R352&amp;"")="004147",1,2),
        ""
    )
)</f>
        <v>2</v>
      </c>
      <c r="V352" s="26" t="str">
        <f>IF(OR(TRIM(N352&amp;"")="111444",TRIM(N352&amp;"")="VWPAL"),
    IF(K352&lt;=0,"",
        IF(
            MIN(3,ROUNDUP(MAX(0,K352-(MAX(1,Q352)-1)*IF(TRIM(N352&amp;"")="111444",10,20))/IF(TRIM(N352&amp;"")="111444",10,20),0))=1,
            300,
            IF(
                MIN(3,ROUNDUP(MAX(0,K352-(MAX(1,Q352)-1)*IF(TRIM(N352&amp;"")="111444",10,20))/IF(TRIM(N352&amp;"")="111444",10,20),0))=2,
                450,
                600
            )
        )
    ),
    ""
)</f>
        <v/>
      </c>
    </row>
    <row r="353" spans="1:22" ht="48" customHeight="1" x14ac:dyDescent="0.25">
      <c r="A353" s="17">
        <f>VLOOKUP(C353,[1]Werke!$A$1:$C$168,3,0)</f>
        <v>88</v>
      </c>
      <c r="B353" s="17" t="str">
        <f>VLOOKUP(C353,[1]Werke!$A$1:$C$168,2,0)</f>
        <v>02</v>
      </c>
      <c r="C353" s="20" t="s">
        <v>167</v>
      </c>
      <c r="D353" s="17" t="str">
        <f>VLOOKUP(C353,[1]Maliteslimalan!$A$1:$B$210,2,0)</f>
        <v>8000012643</v>
      </c>
      <c r="E353" s="19" t="str">
        <f>VLOOKUP(C353,[1]Bestellnr.!$A$1:$B$174,2,0)</f>
        <v>000088</v>
      </c>
      <c r="F353" s="20" t="str">
        <f>VLOOKUP(G353,$U$1:$V$1730,2,0)</f>
        <v>N   911 873 01</v>
      </c>
      <c r="G353" s="21">
        <v>932228000</v>
      </c>
      <c r="H353" s="17">
        <f>VLOOKUP(G353,Z$2:AA$1905,2,FALSE)</f>
        <v>1.9439999999999999E-2</v>
      </c>
      <c r="I353" s="20"/>
      <c r="J353" s="17">
        <f>VLOOKUP(G353,W$2:X$1905,2,FALSE)</f>
        <v>600</v>
      </c>
      <c r="K353" s="17">
        <f>I353/J353</f>
        <v>0</v>
      </c>
      <c r="L353" s="22">
        <v>10</v>
      </c>
      <c r="M353" s="22">
        <v>30</v>
      </c>
      <c r="N353" s="22">
        <v>111444</v>
      </c>
      <c r="O353" s="22" t="str">
        <f>VLOOKUP(N353,$AL$1285:$AM$1310,2,FALSE)</f>
        <v>001006</v>
      </c>
      <c r="P353" s="22">
        <f>VLOOKUP(N353,AC$2:AD$1905,2,FALSE)</f>
        <v>34</v>
      </c>
      <c r="Q353" s="22"/>
      <c r="R353" s="23" t="s">
        <v>153</v>
      </c>
      <c r="S353" s="22">
        <f>VLOOKUP(R353,AC$2:AD$1905,2,FALSE)</f>
        <v>0.56999999999999995</v>
      </c>
      <c r="T353" s="24">
        <f>(H353*I353)+P353*Q353+S353*K353</f>
        <v>0</v>
      </c>
      <c r="U353" s="25">
        <f>IF(TRIM(N353&amp;"")="111444",
    IF(ROUNDUP(MAX(0,K353-(MAX(1,Q353)-1)*10)/10,0)=1,3,2),
    IF(TRIM(N353&amp;"")="VWPAL",
        IF(TRIM(R353&amp;"")="004147",1,2),
        ""
    )
)</f>
        <v>2</v>
      </c>
      <c r="V353" s="26" t="str">
        <f>IF(OR(TRIM(N353&amp;"")="111444",TRIM(N353&amp;"")="VWPAL"),
    IF(K353&lt;=0,"",
        IF(
            MIN(3,ROUNDUP(MAX(0,K353-(MAX(1,Q353)-1)*IF(TRIM(N353&amp;"")="111444",10,20))/IF(TRIM(N353&amp;"")="111444",10,20),0))=1,
            300,
            IF(
                MIN(3,ROUNDUP(MAX(0,K353-(MAX(1,Q353)-1)*IF(TRIM(N353&amp;"")="111444",10,20))/IF(TRIM(N353&amp;"")="111444",10,20),0))=2,
                450,
                600
            )
        )
    ),
    ""
)</f>
        <v/>
      </c>
    </row>
    <row r="354" spans="1:22" ht="48" customHeight="1" x14ac:dyDescent="0.25">
      <c r="A354" s="17">
        <f>VLOOKUP(C354,[1]Werke!$A$1:$C$168,3,0)</f>
        <v>14</v>
      </c>
      <c r="B354" s="17" t="str">
        <f>VLOOKUP(C354,[1]Werke!$A$1:$C$168,2,0)</f>
        <v>D85</v>
      </c>
      <c r="C354" s="18" t="s">
        <v>239</v>
      </c>
      <c r="D354" s="17" t="str">
        <f>VLOOKUP(C354,[1]Maliteslimalan!$A$1:$B$210,2,0)</f>
        <v>8000012682</v>
      </c>
      <c r="E354" s="19">
        <f>VLOOKUP(C354,[1]Bestellnr.!$A$1:$B$174,2,0)</f>
        <v>0</v>
      </c>
      <c r="F354" s="20" t="str">
        <f>VLOOKUP(G354,$U$1:$V$1730,2,0)</f>
        <v>N   911 873 01</v>
      </c>
      <c r="G354" s="21">
        <v>932228000</v>
      </c>
      <c r="H354" s="17">
        <f>VLOOKUP(G354,Z$2:AA$1905,2,FALSE)</f>
        <v>1.9439999999999999E-2</v>
      </c>
      <c r="I354" s="20"/>
      <c r="J354" s="17">
        <v>600</v>
      </c>
      <c r="K354" s="17">
        <f>I354/J354</f>
        <v>0</v>
      </c>
      <c r="L354" s="22">
        <v>10</v>
      </c>
      <c r="M354" s="22">
        <v>20</v>
      </c>
      <c r="N354" s="22">
        <v>111444</v>
      </c>
      <c r="O354" s="22" t="str">
        <f>VLOOKUP(N354,$AL$1285:$AM$1310,2,FALSE)</f>
        <v>001006</v>
      </c>
      <c r="P354" s="22">
        <f>VLOOKUP(N354,AC$2:AD$1905,2,FALSE)</f>
        <v>34</v>
      </c>
      <c r="Q354" s="22"/>
      <c r="R354" s="23" t="s">
        <v>153</v>
      </c>
      <c r="S354" s="22">
        <f>VLOOKUP(R354,AC$2:AD$1905,2,FALSE)</f>
        <v>0.56999999999999995</v>
      </c>
      <c r="T354" s="24">
        <f>(H354*I354)+P354*Q354+S354*K354</f>
        <v>0</v>
      </c>
      <c r="U354" s="25">
        <f>IF(TRIM(N354&amp;"")="111444",
    IF(ROUNDUP(MAX(0,K354-(MAX(1,Q354)-1)*10)/10,0)=1,3,2),
    IF(TRIM(N354&amp;"")="VWPAL",
        IF(TRIM(R354&amp;"")="004147",1,2),
        ""
    )
)</f>
        <v>2</v>
      </c>
      <c r="V354" s="26" t="str">
        <f>IF(OR(TRIM(N354&amp;"")="111444",TRIM(N354&amp;"")="VWPAL"),
    IF(K354&lt;=0,"",
        IF(
            MIN(3,ROUNDUP(MAX(0,K354-(MAX(1,Q354)-1)*IF(TRIM(N354&amp;"")="111444",10,20))/IF(TRIM(N354&amp;"")="111444",10,20),0))=1,
            300,
            IF(
                MIN(3,ROUNDUP(MAX(0,K354-(MAX(1,Q354)-1)*IF(TRIM(N354&amp;"")="111444",10,20))/IF(TRIM(N354&amp;"")="111444",10,20),0))=2,
                450,
                600
            )
        )
    ),
    ""
)</f>
        <v/>
      </c>
    </row>
    <row r="355" spans="1:22" ht="48" customHeight="1" x14ac:dyDescent="0.25">
      <c r="A355" s="17"/>
      <c r="B355" s="17"/>
      <c r="C355" s="18"/>
      <c r="D355" s="17"/>
      <c r="E355" s="19"/>
      <c r="F355" s="20"/>
      <c r="G355" s="21"/>
      <c r="H355" s="17"/>
      <c r="I355" s="20"/>
      <c r="J355" s="17"/>
      <c r="K355" s="17"/>
      <c r="L355" s="22"/>
      <c r="M355" s="22"/>
      <c r="N355" s="22"/>
      <c r="O355" s="22"/>
      <c r="P355" s="22"/>
      <c r="Q355" s="22"/>
      <c r="R355" s="23"/>
      <c r="S355" s="22"/>
      <c r="T355" s="24"/>
      <c r="U355" s="25"/>
    </row>
    <row r="356" spans="1:22" ht="48.2" customHeight="1" x14ac:dyDescent="0.25">
      <c r="A356" s="17">
        <f>VLOOKUP(C356,[1]Werke!$A$1:$C$168,3,0)</f>
        <v>35</v>
      </c>
      <c r="B356" s="17" t="str">
        <f>VLOOKUP(C356,[1]Werke!$A$1:$C$168,2,0)</f>
        <v>AKL</v>
      </c>
      <c r="C356" s="18" t="s">
        <v>207</v>
      </c>
      <c r="D356" s="17" t="str">
        <f>VLOOKUP(C356,[1]Maliteslimalan!$A$1:$B$210,2,0)</f>
        <v>8000013262</v>
      </c>
      <c r="E356" s="19" t="str">
        <f>VLOOKUP(C356,[1]Bestellnr.!$A$1:$B$174,2,0)</f>
        <v>000006</v>
      </c>
      <c r="F356" s="20" t="str">
        <f>VLOOKUP(G356,$U$1:$V$1730,2,0)</f>
        <v>N   911 887 01</v>
      </c>
      <c r="G356" s="21">
        <v>925198000</v>
      </c>
      <c r="H356" s="17">
        <f>VLOOKUP(G356,Z$2:AA$1905,2,FALSE)</f>
        <v>8.7820999999999996E-2</v>
      </c>
      <c r="I356" s="20"/>
      <c r="J356" s="17">
        <f>VLOOKUP(G356,W$2:X$1905,2,FALSE)</f>
        <v>135</v>
      </c>
      <c r="K356" s="17">
        <f>I356/J356</f>
        <v>0</v>
      </c>
      <c r="L356" s="22">
        <v>10</v>
      </c>
      <c r="M356" s="22">
        <v>10</v>
      </c>
      <c r="N356" s="22">
        <v>111444</v>
      </c>
      <c r="O356" s="22" t="str">
        <f>VLOOKUP(N356,$AL$1285:$AM$1310,2,FALSE)</f>
        <v>001006</v>
      </c>
      <c r="P356" s="22">
        <f>VLOOKUP(N356,AC$2:AD$1905,2,FALSE)</f>
        <v>34</v>
      </c>
      <c r="Q356" s="22"/>
      <c r="R356" s="23" t="s">
        <v>153</v>
      </c>
      <c r="S356" s="22">
        <f>VLOOKUP(R356,AC$2:AD$1905,2,FALSE)</f>
        <v>0.56999999999999995</v>
      </c>
      <c r="T356" s="24">
        <f>(H356*I356)+P356*Q356+S356*K356</f>
        <v>0</v>
      </c>
      <c r="U356" s="25">
        <f>IF(TRIM(N356&amp;"")="111444",
    IF(ROUNDUP(MAX(0,K356-(MAX(1,Q356)-1)*10)/10,0)=1,3,2),
    IF(TRIM(N356&amp;"")="VWPAL",
        IF(TRIM(R356&amp;"")="004147",1,2),
        ""
    )
)</f>
        <v>2</v>
      </c>
      <c r="V356" s="26" t="str">
        <f>IF(OR(TRIM(N356&amp;"")="111444",TRIM(N356&amp;"")="VWPAL"),
    IF(K356&lt;=0,"",
        IF(
            MIN(3,ROUNDUP(MAX(0,K356-(MAX(1,Q356)-1)*IF(TRIM(N356&amp;"")="111444",10,20))/IF(TRIM(N356&amp;"")="111444",10,20),0))=1,
            300,
            IF(
                MIN(3,ROUNDUP(MAX(0,K356-(MAX(1,Q356)-1)*IF(TRIM(N356&amp;"")="111444",10,20))/IF(TRIM(N356&amp;"")="111444",10,20),0))=2,
                450,
                600
            )
        )
    ),
    ""
)</f>
        <v/>
      </c>
    </row>
    <row r="357" spans="1:22" ht="48.2" customHeight="1" x14ac:dyDescent="0.25">
      <c r="A357" s="17">
        <f>VLOOKUP(C357,[1]Werke!$A$1:$C$168,3,0)</f>
        <v>69</v>
      </c>
      <c r="B357" s="17" t="str">
        <f>VLOOKUP(C357,[1]Werke!$A$1:$C$168,2,0)</f>
        <v>AKL</v>
      </c>
      <c r="C357" s="18" t="s">
        <v>213</v>
      </c>
      <c r="D357" s="17">
        <f>VLOOKUP(C357,[1]Maliteslimalan!$A$1:$B$210,2,0)</f>
        <v>8000017492</v>
      </c>
      <c r="E357" s="19">
        <v>6</v>
      </c>
      <c r="F357" s="20" t="str">
        <f>VLOOKUP(G357,$U$1:$V$1730,2,0)</f>
        <v>N   911 887 01</v>
      </c>
      <c r="G357" s="21">
        <v>925198000</v>
      </c>
      <c r="H357" s="17">
        <f>VLOOKUP(G357,Z$2:AA$1905,2,FALSE)</f>
        <v>8.7820999999999996E-2</v>
      </c>
      <c r="I357" s="20"/>
      <c r="J357" s="17">
        <f>VLOOKUP(G357,W$2:X$1905,2,FALSE)</f>
        <v>135</v>
      </c>
      <c r="K357" s="17">
        <f>I357/J357</f>
        <v>0</v>
      </c>
      <c r="L357" s="22">
        <v>10</v>
      </c>
      <c r="M357" s="22">
        <v>30</v>
      </c>
      <c r="N357" s="22">
        <v>111444</v>
      </c>
      <c r="O357" s="22" t="str">
        <f>VLOOKUP(N357,$AL$1285:$AM$1310,2,FALSE)</f>
        <v>001006</v>
      </c>
      <c r="P357" s="22">
        <f>VLOOKUP(N357,AC$2:AD$1905,2,FALSE)</f>
        <v>34</v>
      </c>
      <c r="Q357" s="22"/>
      <c r="R357" s="23" t="s">
        <v>153</v>
      </c>
      <c r="S357" s="22">
        <f>VLOOKUP(R357,AC$2:AD$1905,2,FALSE)</f>
        <v>0.56999999999999995</v>
      </c>
      <c r="T357" s="24">
        <f>(H357*I357)+P357*Q357+S357*K357</f>
        <v>0</v>
      </c>
      <c r="U357" s="25">
        <f>IF(TRIM(N357&amp;"")="111444",
    IF(ROUNDUP(MAX(0,K357-(MAX(1,Q357)-1)*10)/10,0)=1,3,2),
    IF(TRIM(N357&amp;"")="VWPAL",
        IF(TRIM(R357&amp;"")="004147",1,2),
        ""
    )
)</f>
        <v>2</v>
      </c>
      <c r="V357" s="26" t="str">
        <f>IF(OR(TRIM(N357&amp;"")="111444",TRIM(N357&amp;"")="VWPAL"),
    IF(K357&lt;=0,"",
        IF(
            MIN(3,ROUNDUP(MAX(0,K357-(MAX(1,Q357)-1)*IF(TRIM(N357&amp;"")="111444",10,20))/IF(TRIM(N357&amp;"")="111444",10,20),0))=1,
            300,
            IF(
                MIN(3,ROUNDUP(MAX(0,K357-(MAX(1,Q357)-1)*IF(TRIM(N357&amp;"")="111444",10,20))/IF(TRIM(N357&amp;"")="111444",10,20),0))=2,
                450,
                600
            )
        )
    ),
    ""
)</f>
        <v/>
      </c>
    </row>
    <row r="358" spans="1:22" ht="48.2" customHeight="1" x14ac:dyDescent="0.25">
      <c r="A358" s="17">
        <f>VLOOKUP(C358,[1]Werke!$A$1:$C$168,3,0)</f>
        <v>14</v>
      </c>
      <c r="B358" s="17" t="str">
        <f>VLOOKUP(C358,[1]Werke!$A$1:$C$168,2,0)</f>
        <v>D47</v>
      </c>
      <c r="C358" s="18" t="s">
        <v>216</v>
      </c>
      <c r="D358" s="17" t="str">
        <f>VLOOKUP(C358,[1]Maliteslimalan!$A$1:$B$210,2,0)</f>
        <v>8000012583</v>
      </c>
      <c r="E358" s="19">
        <f>VLOOKUP(C358,[1]Bestellnr.!$A$1:$B$174,2,0)</f>
        <v>0</v>
      </c>
      <c r="F358" s="20" t="str">
        <f>VLOOKUP(G358,$U$1:$V$1730,2,0)</f>
        <v>N   911 887 01</v>
      </c>
      <c r="G358" s="21">
        <v>925198000</v>
      </c>
      <c r="H358" s="17">
        <f>VLOOKUP(G358,Z$2:AA$1905,2,FALSE)</f>
        <v>8.7820999999999996E-2</v>
      </c>
      <c r="I358" s="20"/>
      <c r="J358" s="17">
        <v>135</v>
      </c>
      <c r="K358" s="17">
        <f>I358/J358</f>
        <v>0</v>
      </c>
      <c r="L358" s="22">
        <v>10</v>
      </c>
      <c r="M358" s="22">
        <v>20</v>
      </c>
      <c r="N358" s="22">
        <v>111444</v>
      </c>
      <c r="O358" s="22" t="str">
        <f>VLOOKUP(N358,$AL$1285:$AM$1310,2,FALSE)</f>
        <v>001006</v>
      </c>
      <c r="P358" s="22">
        <f>VLOOKUP(N358,AC$2:AD$1905,2,FALSE)</f>
        <v>34</v>
      </c>
      <c r="Q358" s="22"/>
      <c r="R358" s="23" t="s">
        <v>153</v>
      </c>
      <c r="S358" s="22">
        <f>VLOOKUP(R358,AC$2:AD$1905,2,FALSE)</f>
        <v>0.56999999999999995</v>
      </c>
      <c r="T358" s="24">
        <f>(H358*I358)+P358*Q358+S358*K358</f>
        <v>0</v>
      </c>
      <c r="U358" s="25">
        <f>IF(TRIM(N358&amp;"")="111444",
    IF(ROUNDUP(MAX(0,K358-(MAX(1,Q358)-1)*10)/10,0)=1,3,2),
    IF(TRIM(N358&amp;"")="VWPAL",
        IF(TRIM(R358&amp;"")="004147",1,2),
        ""
    )
)</f>
        <v>2</v>
      </c>
      <c r="V358" s="26" t="str">
        <f>IF(OR(TRIM(N358&amp;"")="111444",TRIM(N358&amp;"")="VWPAL"),
    IF(K358&lt;=0,"",
        IF(
            MIN(3,ROUNDUP(MAX(0,K358-(MAX(1,Q358)-1)*IF(TRIM(N358&amp;"")="111444",10,20))/IF(TRIM(N358&amp;"")="111444",10,20),0))=1,
            300,
            IF(
                MIN(3,ROUNDUP(MAX(0,K358-(MAX(1,Q358)-1)*IF(TRIM(N358&amp;"")="111444",10,20))/IF(TRIM(N358&amp;"")="111444",10,20),0))=2,
                450,
                600
            )
        )
    ),
    ""
)</f>
        <v/>
      </c>
    </row>
    <row r="359" spans="1:22" ht="48.2" customHeight="1" x14ac:dyDescent="0.25">
      <c r="A359" s="17"/>
      <c r="B359" s="17"/>
      <c r="C359" s="18"/>
      <c r="D359" s="17"/>
      <c r="E359" s="19"/>
      <c r="F359" s="20"/>
      <c r="G359" s="21"/>
      <c r="H359" s="17"/>
      <c r="I359" s="20"/>
      <c r="J359" s="17"/>
      <c r="K359" s="17"/>
      <c r="L359" s="22"/>
      <c r="M359" s="22"/>
      <c r="N359" s="22"/>
      <c r="O359" s="22"/>
      <c r="P359" s="22"/>
      <c r="Q359" s="22"/>
      <c r="R359" s="23"/>
      <c r="S359" s="22"/>
      <c r="T359" s="24"/>
      <c r="U359" s="25"/>
    </row>
    <row r="360" spans="1:22" ht="48" customHeight="1" x14ac:dyDescent="0.25">
      <c r="A360" s="17">
        <f>VLOOKUP(C360,[1]Werke!$A$1:$C$168,3,0)</f>
        <v>22</v>
      </c>
      <c r="B360" s="17" t="str">
        <f>VLOOKUP(C360,[1]Werke!$A$1:$C$168,2,0)</f>
        <v>13P</v>
      </c>
      <c r="C360" s="18" t="s">
        <v>230</v>
      </c>
      <c r="D360" s="17" t="str">
        <f>VLOOKUP(C360,[1]Maliteslimalan!$A$1:$B$210,2,0)</f>
        <v>8000013344</v>
      </c>
      <c r="E360" s="19" t="str">
        <f>VLOOKUP(C360,[1]Bestellnr.!$A$1:$B$174,2,0)</f>
        <v>000006</v>
      </c>
      <c r="F360" s="20" t="str">
        <f>VLOOKUP(G360,$U$1:$V$1730,2,0)</f>
        <v>N   911 968 01</v>
      </c>
      <c r="G360" s="21">
        <v>935956000</v>
      </c>
      <c r="H360" s="17">
        <f>VLOOKUP(G360,Z$2:AA$1905,2,FALSE)</f>
        <v>0.14693999999999999</v>
      </c>
      <c r="I360" s="20"/>
      <c r="J360" s="17">
        <v>100</v>
      </c>
      <c r="K360" s="17">
        <f>I360/J360</f>
        <v>0</v>
      </c>
      <c r="L360" s="22">
        <v>10</v>
      </c>
      <c r="M360" s="22">
        <v>10</v>
      </c>
      <c r="N360" s="22" t="s">
        <v>155</v>
      </c>
      <c r="O360" s="22" t="str">
        <f>VLOOKUP(N360,$AL$1285:$AM$1310,2,FALSE)</f>
        <v>001210</v>
      </c>
      <c r="P360" s="22">
        <f>VLOOKUP(N360,AC$2:AD$1905,2,FALSE)</f>
        <v>55</v>
      </c>
      <c r="Q360" s="22"/>
      <c r="R360" s="23" t="s">
        <v>175</v>
      </c>
      <c r="S360" s="22">
        <f>VLOOKUP(R360,AC$2:AD$1905,2,FALSE)</f>
        <v>1.08</v>
      </c>
      <c r="T360" s="24">
        <f>(H360*I360)+P360*Q360+S360*K360</f>
        <v>0</v>
      </c>
      <c r="U360" s="25">
        <f>IF(TRIM(N360&amp;"")="111444",
    IF(ROUNDUP(MAX(0,K360-(MAX(1,Q360)-1)*10)/10,0)=1,3,2),
    IF(TRIM(N360&amp;"")="VWPAL",
        IF(TRIM(R360&amp;"")="004147",1,2),
        ""
    )
)</f>
        <v>1</v>
      </c>
      <c r="V360" s="26" t="str">
        <f>IF(OR(TRIM(N360&amp;"")="111444",TRIM(N360&amp;"")="VWPAL"),
    IF(K360&lt;=0,"",
        IF(
            MIN(3,ROUNDUP(MAX(0,K360-(MAX(1,Q360)-1)*IF(TRIM(N360&amp;"")="111444",10,20))/IF(TRIM(N360&amp;"")="111444",10,20),0))=1,
            300,
            IF(
                MIN(3,ROUNDUP(MAX(0,K360-(MAX(1,Q360)-1)*IF(TRIM(N360&amp;"")="111444",10,20))/IF(TRIM(N360&amp;"")="111444",10,20),0))=2,
                450,
                600
            )
        )
    ),
    ""
)</f>
        <v/>
      </c>
    </row>
    <row r="361" spans="1:22" ht="48" customHeight="1" x14ac:dyDescent="0.25">
      <c r="A361" s="17"/>
      <c r="B361" s="17"/>
      <c r="C361" s="18"/>
      <c r="D361" s="17"/>
      <c r="E361" s="19"/>
      <c r="F361" s="20"/>
      <c r="G361" s="21"/>
      <c r="H361" s="17"/>
      <c r="I361" s="20"/>
      <c r="J361" s="17"/>
      <c r="K361" s="17"/>
      <c r="L361" s="22"/>
      <c r="M361" s="22"/>
      <c r="N361" s="22"/>
      <c r="O361" s="22"/>
      <c r="P361" s="22"/>
      <c r="Q361" s="22"/>
      <c r="R361" s="23"/>
      <c r="S361" s="22"/>
      <c r="T361" s="24"/>
      <c r="U361" s="25"/>
    </row>
    <row r="362" spans="1:22" ht="48" customHeight="1" x14ac:dyDescent="0.25">
      <c r="A362" s="17">
        <f>VLOOKUP(C362,[1]Werke!$A$1:$C$168,3,0)</f>
        <v>31</v>
      </c>
      <c r="B362" s="17" t="str">
        <f>VLOOKUP(C362,[1]Werke!$A$1:$C$168,2,0)</f>
        <v>B62</v>
      </c>
      <c r="C362" s="18">
        <v>10362</v>
      </c>
      <c r="D362" s="17" t="str">
        <f>VLOOKUP(C362,[1]Maliteslimalan!$A$1:$B$210,2,0)</f>
        <v>8000012742</v>
      </c>
      <c r="E362" s="19">
        <v>6</v>
      </c>
      <c r="F362" s="20" t="str">
        <f>VLOOKUP(G362,$U$1:$V$1730,2,0)</f>
        <v>N 912 056 01</v>
      </c>
      <c r="G362" s="21">
        <v>101182700</v>
      </c>
      <c r="H362" s="17" t="str">
        <f>VLOOKUP(G362,Z$2:AA$1905,2,FALSE)</f>
        <v>0,0168</v>
      </c>
      <c r="I362" s="20"/>
      <c r="J362" s="17">
        <v>700</v>
      </c>
      <c r="K362" s="17">
        <f>I362/J362</f>
        <v>0</v>
      </c>
      <c r="L362" s="22">
        <v>10</v>
      </c>
      <c r="M362" s="22">
        <v>10</v>
      </c>
      <c r="N362" s="22">
        <v>111444</v>
      </c>
      <c r="O362" s="22" t="str">
        <f>VLOOKUP(N362,$AL$1285:$AM$1310,2,FALSE)</f>
        <v>001006</v>
      </c>
      <c r="P362" s="22">
        <f>VLOOKUP(N362,AC$2:AD$1905,2,FALSE)</f>
        <v>34</v>
      </c>
      <c r="Q362" s="22"/>
      <c r="R362" s="23" t="s">
        <v>153</v>
      </c>
      <c r="S362" s="22">
        <f>VLOOKUP(R362,AC$2:AD$1905,2,FALSE)</f>
        <v>0.56999999999999995</v>
      </c>
      <c r="T362" s="24">
        <f>(H362*I362)+P362*Q362+S362*K362</f>
        <v>0</v>
      </c>
      <c r="U362" s="25">
        <f>IF(TRIM(N362&amp;"")="111444",
    IF(ROUNDUP(MAX(0,K362-(MAX(1,Q362)-1)*10)/10,0)=1,3,2),
    IF(TRIM(N362&amp;"")="VWPAL",
        IF(TRIM(R362&amp;"")="004147",1,2),
        ""
    )
)</f>
        <v>2</v>
      </c>
      <c r="V362" s="26" t="str">
        <f>IF(OR(TRIM(N362&amp;"")="111444",TRIM(N362&amp;"")="VWPAL"),
    IF(K362&lt;=0,"",
        IF(
            MIN(3,ROUNDUP(MAX(0,K362-(MAX(1,Q362)-1)*IF(TRIM(N362&amp;"")="111444",10,20))/IF(TRIM(N362&amp;"")="111444",10,20),0))=1,
            300,
            IF(
                MIN(3,ROUNDUP(MAX(0,K362-(MAX(1,Q362)-1)*IF(TRIM(N362&amp;"")="111444",10,20))/IF(TRIM(N362&amp;"")="111444",10,20),0))=2,
                450,
                600
            )
        )
    ),
    ""
)</f>
        <v/>
      </c>
    </row>
    <row r="363" spans="1:22" ht="48" customHeight="1" x14ac:dyDescent="0.25">
      <c r="A363" s="17">
        <f>VLOOKUP(C363,[1]Werke!$A$1:$C$168,3,0)</f>
        <v>33</v>
      </c>
      <c r="B363" s="17" t="str">
        <f>VLOOKUP(C363,[1]Werke!$A$1:$C$168,2,0)</f>
        <v>HM7</v>
      </c>
      <c r="C363" s="18" t="s">
        <v>266</v>
      </c>
      <c r="D363" s="17" t="str">
        <f>VLOOKUP(C363,[1]Maliteslimalan!$A$1:$B$210,2,0)</f>
        <v>8000012724</v>
      </c>
      <c r="E363" s="19" t="str">
        <f>VLOOKUP(C363,[1]Bestellnr.!$A$1:$B$174,2,0)</f>
        <v>000055</v>
      </c>
      <c r="F363" s="20" t="str">
        <f>VLOOKUP(G363,$U$1:$V$1730,2,0)</f>
        <v>N 912 056 01</v>
      </c>
      <c r="G363" s="21">
        <v>101182700</v>
      </c>
      <c r="H363" s="17" t="str">
        <f>VLOOKUP(G363,Z$2:AA$1905,2,FALSE)</f>
        <v>0,0168</v>
      </c>
      <c r="I363" s="20"/>
      <c r="J363" s="17">
        <v>700</v>
      </c>
      <c r="K363" s="17">
        <f>I363/J363</f>
        <v>0</v>
      </c>
      <c r="L363" s="22">
        <v>20</v>
      </c>
      <c r="M363" s="22">
        <v>20</v>
      </c>
      <c r="N363" s="22" t="s">
        <v>155</v>
      </c>
      <c r="O363" s="22" t="str">
        <f>VLOOKUP(N363,$AL$1285:$AM$1310,2,FALSE)</f>
        <v>001210</v>
      </c>
      <c r="P363" s="22">
        <f>VLOOKUP(N363,AC$2:AD$1905,2,FALSE)</f>
        <v>55</v>
      </c>
      <c r="Q363" s="22"/>
      <c r="R363" s="23" t="s">
        <v>153</v>
      </c>
      <c r="S363" s="22">
        <f>VLOOKUP(R363,AC$2:AD$1905,2,FALSE)</f>
        <v>0.56999999999999995</v>
      </c>
      <c r="T363" s="24">
        <f>(H363*I363)+P363*Q363+S363*K363</f>
        <v>0</v>
      </c>
      <c r="U363" s="25">
        <f>IF(TRIM(N363&amp;"")="111444",
    IF(ROUNDUP(MAX(0,K363-(MAX(1,Q363)-1)*10)/10,0)=1,3,2),
    IF(TRIM(N363&amp;"")="VWPAL",
        IF(TRIM(R363&amp;"")="004147",1,2),
        ""
    )
)</f>
        <v>2</v>
      </c>
      <c r="V363" s="26" t="str">
        <f>IF(OR(TRIM(N363&amp;"")="111444",TRIM(N363&amp;"")="VWPAL"),
    IF(K363&lt;=0,"",
        IF(
            MIN(3,ROUNDUP(MAX(0,K363-(MAX(1,Q363)-1)*IF(TRIM(N363&amp;"")="111444",10,20))/IF(TRIM(N363&amp;"")="111444",10,20),0))=1,
            300,
            IF(
                MIN(3,ROUNDUP(MAX(0,K363-(MAX(1,Q363)-1)*IF(TRIM(N363&amp;"")="111444",10,20))/IF(TRIM(N363&amp;"")="111444",10,20),0))=2,
                450,
                600
            )
        )
    ),
    ""
)</f>
        <v/>
      </c>
    </row>
    <row r="364" spans="1:22" ht="48" customHeight="1" x14ac:dyDescent="0.25">
      <c r="A364" s="17"/>
      <c r="B364" s="17"/>
      <c r="C364" s="18"/>
      <c r="D364" s="17"/>
      <c r="E364" s="19"/>
      <c r="F364" s="20"/>
      <c r="G364" s="21"/>
      <c r="H364" s="17"/>
      <c r="I364" s="20"/>
      <c r="J364" s="17"/>
      <c r="K364" s="17"/>
      <c r="L364" s="22"/>
      <c r="M364" s="22"/>
      <c r="N364" s="22"/>
      <c r="O364" s="22"/>
      <c r="P364" s="22"/>
      <c r="Q364" s="22"/>
      <c r="R364" s="23"/>
      <c r="S364" s="22"/>
      <c r="T364" s="24"/>
      <c r="U364" s="25"/>
    </row>
    <row r="365" spans="1:22" ht="48.2" customHeight="1" x14ac:dyDescent="0.25">
      <c r="A365" s="17">
        <f>VLOOKUP(C365,[1]Werke!$A$1:$C$168,3,0)</f>
        <v>31</v>
      </c>
      <c r="B365" s="17" t="str">
        <f>VLOOKUP(C365,[1]Werke!$A$1:$C$168,2,0)</f>
        <v>B62</v>
      </c>
      <c r="C365" s="18">
        <v>10362</v>
      </c>
      <c r="D365" s="17" t="str">
        <f>VLOOKUP(C365,[1]Maliteslimalan!$A$1:$B$210,2,0)</f>
        <v>8000012742</v>
      </c>
      <c r="E365" s="19">
        <v>6</v>
      </c>
      <c r="F365" s="20" t="str">
        <f>VLOOKUP(G365,$U$1:$V$1730,2,0)</f>
        <v>N 912 788 01</v>
      </c>
      <c r="G365" s="21">
        <v>101182800</v>
      </c>
      <c r="H365" s="17" t="str">
        <f>VLOOKUP(G365,Z$2:AA$1905,2,FALSE)</f>
        <v>0,01676</v>
      </c>
      <c r="I365" s="20"/>
      <c r="J365" s="17">
        <v>800</v>
      </c>
      <c r="K365" s="17">
        <f>I365/J365</f>
        <v>0</v>
      </c>
      <c r="L365" s="22">
        <v>10</v>
      </c>
      <c r="M365" s="22">
        <v>30</v>
      </c>
      <c r="N365" s="22">
        <v>111444</v>
      </c>
      <c r="O365" s="22" t="str">
        <f>VLOOKUP(N365,$AL$1285:$AM$1310,2,FALSE)</f>
        <v>001006</v>
      </c>
      <c r="P365" s="22">
        <f>VLOOKUP(N365,AC$2:AD$1905,2,FALSE)</f>
        <v>34</v>
      </c>
      <c r="Q365" s="22"/>
      <c r="R365" s="23" t="s">
        <v>153</v>
      </c>
      <c r="S365" s="22">
        <f>VLOOKUP(R365,AC$2:AD$1905,2,FALSE)</f>
        <v>0.56999999999999995</v>
      </c>
      <c r="T365" s="24">
        <f>(H365*I365)+P365*Q365+S365*K365</f>
        <v>0</v>
      </c>
      <c r="U365" s="25">
        <f>IF(TRIM(N365&amp;"")="111444",
    IF(ROUNDUP(MAX(0,K365-(MAX(1,Q365)-1)*10)/10,0)=1,3,2),
    IF(TRIM(N365&amp;"")="VWPAL",
        IF(TRIM(R365&amp;"")="004147",1,2),
        ""
    )
)</f>
        <v>2</v>
      </c>
      <c r="V365" s="26" t="str">
        <f>IF(OR(TRIM(N365&amp;"")="111444",TRIM(N365&amp;"")="VWPAL"),
    IF(K365&lt;=0,"",
        IF(
            MIN(3,ROUNDUP(MAX(0,K365-(MAX(1,Q365)-1)*IF(TRIM(N365&amp;"")="111444",10,20))/IF(TRIM(N365&amp;"")="111444",10,20),0))=1,
            300,
            IF(
                MIN(3,ROUNDUP(MAX(0,K365-(MAX(1,Q365)-1)*IF(TRIM(N365&amp;"")="111444",10,20))/IF(TRIM(N365&amp;"")="111444",10,20),0))=2,
                450,
                600
            )
        )
    ),
    ""
)</f>
        <v/>
      </c>
    </row>
    <row r="366" spans="1:22" ht="48.2" customHeight="1" x14ac:dyDescent="0.25">
      <c r="A366" s="17">
        <f>VLOOKUP(C366,[1]Werke!$A$1:$C$168,3,0)</f>
        <v>12</v>
      </c>
      <c r="B366" s="17" t="str">
        <f>VLOOKUP(C366,[1]Werke!$A$1:$C$168,2,0)</f>
        <v>U4</v>
      </c>
      <c r="C366" s="18" t="s">
        <v>278</v>
      </c>
      <c r="D366" s="17" t="str">
        <f>VLOOKUP(C366,[1]Maliteslimalan!$A$1:$B$210,2,0)</f>
        <v>8000013430</v>
      </c>
      <c r="E366" s="19" t="str">
        <f>VLOOKUP(C366,[1]Bestellnr.!$A$1:$B$174,2,0)</f>
        <v>000006</v>
      </c>
      <c r="F366" s="20" t="str">
        <f>VLOOKUP(G366,$U$1:$V$1730,2,0)</f>
        <v>N 912 788 01</v>
      </c>
      <c r="G366" s="21">
        <v>101182800</v>
      </c>
      <c r="H366" s="17" t="str">
        <f>VLOOKUP(G366,Z$2:AA$1905,2,FALSE)</f>
        <v>0,01676</v>
      </c>
      <c r="I366" s="20"/>
      <c r="J366" s="17">
        <f>VLOOKUP(G366,W$2:X$1905,2,FALSE)</f>
        <v>650</v>
      </c>
      <c r="K366" s="17">
        <f>I366/J366</f>
        <v>0</v>
      </c>
      <c r="L366" s="22">
        <v>10</v>
      </c>
      <c r="M366" s="22">
        <v>30</v>
      </c>
      <c r="N366" s="22">
        <v>111444</v>
      </c>
      <c r="O366" s="22" t="str">
        <f>VLOOKUP(N366,$AL$1285:$AM$1310,2,FALSE)</f>
        <v>001006</v>
      </c>
      <c r="P366" s="22">
        <f>VLOOKUP(N366,AC$2:AD$1905,2,FALSE)</f>
        <v>34</v>
      </c>
      <c r="Q366" s="22"/>
      <c r="R366" s="23" t="s">
        <v>153</v>
      </c>
      <c r="S366" s="22">
        <f>VLOOKUP(R366,AC$2:AD$1905,2,FALSE)</f>
        <v>0.56999999999999995</v>
      </c>
      <c r="T366" s="24">
        <f>(H366*I366)+P366*Q366+S366*K366</f>
        <v>0</v>
      </c>
      <c r="U366" s="25">
        <f>IF(TRIM(N366&amp;"")="111444",
    IF(ROUNDUP(MAX(0,K366-(MAX(1,Q366)-1)*10)/10,0)=1,3,2),
    IF(TRIM(N366&amp;"")="VWPAL",
        IF(TRIM(R366&amp;"")="004147",1,2),
        ""
    )
)</f>
        <v>2</v>
      </c>
      <c r="V366" s="26" t="str">
        <f>IF(OR(TRIM(N366&amp;"")="111444",TRIM(N366&amp;"")="VWPAL"),
    IF(K366&lt;=0,"",
        IF(
            MIN(3,ROUNDUP(MAX(0,K366-(MAX(1,Q366)-1)*IF(TRIM(N366&amp;"")="111444",10,20))/IF(TRIM(N366&amp;"")="111444",10,20),0))=1,
            300,
            IF(
                MIN(3,ROUNDUP(MAX(0,K366-(MAX(1,Q366)-1)*IF(TRIM(N366&amp;"")="111444",10,20))/IF(TRIM(N366&amp;"")="111444",10,20),0))=2,
                450,
                600
            )
        )
    ),
    ""
)</f>
        <v/>
      </c>
    </row>
    <row r="367" spans="1:22" ht="48.2" customHeight="1" x14ac:dyDescent="0.25">
      <c r="A367" s="17">
        <f>VLOOKUP(C367,[1]Werke!$A$1:$C$168,3,0)</f>
        <v>33</v>
      </c>
      <c r="B367" s="17" t="str">
        <f>VLOOKUP(C367,[1]Werke!$A$1:$C$168,2,0)</f>
        <v>KK2</v>
      </c>
      <c r="C367" s="18" t="s">
        <v>185</v>
      </c>
      <c r="D367" s="17" t="str">
        <f>VLOOKUP(C367,[1]Maliteslimalan!$A$1:$B$210,2,0)</f>
        <v>8000012709</v>
      </c>
      <c r="E367" s="19" t="str">
        <f>VLOOKUP(C367,[1]Bestellnr.!$A$1:$B$174,2,0)</f>
        <v>000055</v>
      </c>
      <c r="F367" s="20" t="str">
        <f>VLOOKUP(G367,$U$1:$V$1730,2,0)</f>
        <v>N 912 788 01</v>
      </c>
      <c r="G367" s="21">
        <v>101182800</v>
      </c>
      <c r="H367" s="17" t="str">
        <f>VLOOKUP(G367,Z$2:AA$1905,2,FALSE)</f>
        <v>0,01676</v>
      </c>
      <c r="I367" s="20"/>
      <c r="J367" s="17">
        <v>800</v>
      </c>
      <c r="K367" s="17">
        <f>I367/J367</f>
        <v>0</v>
      </c>
      <c r="L367" s="22">
        <v>10</v>
      </c>
      <c r="M367" s="22">
        <v>10</v>
      </c>
      <c r="N367" s="22">
        <v>111444</v>
      </c>
      <c r="O367" s="22" t="str">
        <f>VLOOKUP(N367,$AL$1285:$AM$1310,2,FALSE)</f>
        <v>001006</v>
      </c>
      <c r="P367" s="22">
        <f>VLOOKUP(N367,AC$2:AD$1905,2,FALSE)</f>
        <v>34</v>
      </c>
      <c r="Q367" s="22"/>
      <c r="R367" s="23" t="s">
        <v>153</v>
      </c>
      <c r="S367" s="22">
        <f>VLOOKUP(R367,AC$2:AD$1905,2,FALSE)</f>
        <v>0.56999999999999995</v>
      </c>
      <c r="T367" s="24">
        <f>(H367*I367)+P367*Q367+S367*K367</f>
        <v>0</v>
      </c>
      <c r="U367" s="25">
        <f>IF(TRIM(N367&amp;"")="111444",
    IF(ROUNDUP(MAX(0,K367-(MAX(1,Q367)-1)*10)/10,0)=1,3,2),
    IF(TRIM(N367&amp;"")="VWPAL",
        IF(TRIM(R367&amp;"")="004147",1,2),
        ""
    )
)</f>
        <v>2</v>
      </c>
      <c r="V367" s="26" t="str">
        <f>IF(OR(TRIM(N367&amp;"")="111444",TRIM(N367&amp;"")="VWPAL"),
    IF(K367&lt;=0,"",
        IF(
            MIN(3,ROUNDUP(MAX(0,K367-(MAX(1,Q367)-1)*IF(TRIM(N367&amp;"")="111444",10,20))/IF(TRIM(N367&amp;"")="111444",10,20),0))=1,
            300,
            IF(
                MIN(3,ROUNDUP(MAX(0,K367-(MAX(1,Q367)-1)*IF(TRIM(N367&amp;"")="111444",10,20))/IF(TRIM(N367&amp;"")="111444",10,20),0))=2,
                450,
                600
            )
        )
    ),
    ""
)</f>
        <v/>
      </c>
    </row>
    <row r="368" spans="1:22" ht="48.2" customHeight="1" x14ac:dyDescent="0.25">
      <c r="A368" s="17">
        <f>VLOOKUP(C368,[1]Werke!$A$1:$C$168,3,0)</f>
        <v>14</v>
      </c>
      <c r="B368" s="17" t="str">
        <f>VLOOKUP(C368,[1]Werke!$A$1:$C$168,2,0)</f>
        <v>D47</v>
      </c>
      <c r="C368" s="18" t="s">
        <v>246</v>
      </c>
      <c r="D368" s="17" t="str">
        <f>VLOOKUP(C368,[1]Maliteslimalan!$A$1:$B$210,2,0)</f>
        <v>8000012583</v>
      </c>
      <c r="E368" s="19">
        <f>VLOOKUP(C368,[1]Bestellnr.!$A$1:$B$174,2,0)</f>
        <v>0</v>
      </c>
      <c r="F368" s="20" t="str">
        <f>VLOOKUP(G368,$U$1:$V$1730,2,0)</f>
        <v>N 912 788 01</v>
      </c>
      <c r="G368" s="21">
        <v>101182800</v>
      </c>
      <c r="H368" s="17" t="str">
        <f>VLOOKUP(G368,Z$2:AA$1905,2,FALSE)</f>
        <v>0,01676</v>
      </c>
      <c r="I368" s="20"/>
      <c r="J368" s="17">
        <f>VLOOKUP(G368,W$2:X$1905,2,FALSE)</f>
        <v>650</v>
      </c>
      <c r="K368" s="17">
        <f>I368/J368</f>
        <v>0</v>
      </c>
      <c r="L368" s="22">
        <v>10</v>
      </c>
      <c r="M368" s="22">
        <v>30</v>
      </c>
      <c r="N368" s="22">
        <v>111444</v>
      </c>
      <c r="O368" s="22" t="str">
        <f>VLOOKUP(N368,$AL$1285:$AM$1310,2,FALSE)</f>
        <v>001006</v>
      </c>
      <c r="P368" s="22">
        <f>VLOOKUP(N368,AC$2:AD$1905,2,FALSE)</f>
        <v>34</v>
      </c>
      <c r="Q368" s="22"/>
      <c r="R368" s="23" t="s">
        <v>153</v>
      </c>
      <c r="S368" s="22">
        <f>VLOOKUP(R368,AC$2:AD$1905,2,FALSE)</f>
        <v>0.56999999999999995</v>
      </c>
      <c r="T368" s="24">
        <f>(H368*I368)+P368*Q368+S368*K368</f>
        <v>0</v>
      </c>
      <c r="U368" s="25">
        <f>IF(TRIM(N368&amp;"")="111444",
    IF(ROUNDUP(MAX(0,K368-(MAX(1,Q368)-1)*10)/10,0)=1,3,2),
    IF(TRIM(N368&amp;"")="VWPAL",
        IF(TRIM(R368&amp;"")="004147",1,2),
        ""
    )
)</f>
        <v>2</v>
      </c>
      <c r="V368" s="26" t="str">
        <f>IF(OR(TRIM(N368&amp;"")="111444",TRIM(N368&amp;"")="VWPAL"),
    IF(K368&lt;=0,"",
        IF(
            MIN(3,ROUNDUP(MAX(0,K368-(MAX(1,Q368)-1)*IF(TRIM(N368&amp;"")="111444",10,20))/IF(TRIM(N368&amp;"")="111444",10,20),0))=1,
            300,
            IF(
                MIN(3,ROUNDUP(MAX(0,K368-(MAX(1,Q368)-1)*IF(TRIM(N368&amp;"")="111444",10,20))/IF(TRIM(N368&amp;"")="111444",10,20),0))=2,
                450,
                600
            )
        )
    ),
    ""
)</f>
        <v/>
      </c>
    </row>
    <row r="369" spans="1:22" ht="48.2" customHeight="1" x14ac:dyDescent="0.25">
      <c r="A369" s="17"/>
      <c r="B369" s="17"/>
      <c r="C369" s="18"/>
      <c r="D369" s="17"/>
      <c r="E369" s="19"/>
      <c r="F369" s="20"/>
      <c r="G369" s="21"/>
      <c r="H369" s="17"/>
      <c r="I369" s="20"/>
      <c r="J369" s="17"/>
      <c r="K369" s="17"/>
      <c r="L369" s="22"/>
      <c r="M369" s="22"/>
      <c r="N369" s="22"/>
      <c r="O369" s="22"/>
      <c r="P369" s="22"/>
      <c r="Q369" s="22"/>
      <c r="R369" s="23"/>
      <c r="S369" s="22"/>
      <c r="T369" s="24"/>
      <c r="U369" s="25"/>
    </row>
    <row r="370" spans="1:22" ht="48.2" customHeight="1" x14ac:dyDescent="0.25">
      <c r="A370" s="17">
        <f>VLOOKUP(C370,[1]Werke!$A$1:$C$168,3,0)</f>
        <v>31</v>
      </c>
      <c r="B370" s="17" t="str">
        <f>VLOOKUP(C370,[1]Werke!$A$1:$C$168,2,0)</f>
        <v>BG7</v>
      </c>
      <c r="C370" s="18" t="s">
        <v>279</v>
      </c>
      <c r="D370" s="17">
        <f>VLOOKUP(C370,[1]Maliteslimalan!$A$1:$B$210,2,0)</f>
        <v>8000014238</v>
      </c>
      <c r="E370" s="19">
        <v>6</v>
      </c>
      <c r="F370" s="20" t="str">
        <f>VLOOKUP(G370,$U$1:$V$1730,2,0)</f>
        <v>N 107 367 01</v>
      </c>
      <c r="G370" s="21">
        <v>101182900</v>
      </c>
      <c r="H370" s="17" t="str">
        <f>VLOOKUP(G370,Z$2:AA$1905,2,FALSE)</f>
        <v>0,01531</v>
      </c>
      <c r="I370" s="20"/>
      <c r="J370" s="17">
        <v>800</v>
      </c>
      <c r="K370" s="17">
        <f>I370/J370</f>
        <v>0</v>
      </c>
      <c r="L370" s="22">
        <v>10</v>
      </c>
      <c r="M370" s="22">
        <v>10</v>
      </c>
      <c r="N370" s="22">
        <v>111444</v>
      </c>
      <c r="O370" s="22" t="str">
        <f>VLOOKUP(N370,$AL$1285:$AM$1310,2,FALSE)</f>
        <v>001006</v>
      </c>
      <c r="P370" s="22">
        <f>VLOOKUP(N370,AC$2:AD$1905,2,FALSE)</f>
        <v>34</v>
      </c>
      <c r="Q370" s="22"/>
      <c r="R370" s="23" t="s">
        <v>153</v>
      </c>
      <c r="S370" s="22">
        <f>VLOOKUP(R370,AC$2:AD$1905,2,FALSE)</f>
        <v>0.56999999999999995</v>
      </c>
      <c r="T370" s="24">
        <f>(H370*I370)+P370*Q370+S370*K370</f>
        <v>0</v>
      </c>
      <c r="U370" s="25">
        <f>IF(TRIM(N370&amp;"")="111444",
    IF(ROUNDUP(MAX(0,K370-(MAX(1,Q370)-1)*10)/10,0)=1,3,2),
    IF(TRIM(N370&amp;"")="VWPAL",
        IF(TRIM(R370&amp;"")="004147",1,2),
        ""
    )
)</f>
        <v>2</v>
      </c>
      <c r="V370" s="26" t="str">
        <f>IF(OR(TRIM(N370&amp;"")="111444",TRIM(N370&amp;"")="VWPAL"),
    IF(K370&lt;=0,"",
        IF(
            MIN(3,ROUNDUP(MAX(0,K370-(MAX(1,Q370)-1)*IF(TRIM(N370&amp;"")="111444",10,20))/IF(TRIM(N370&amp;"")="111444",10,20),0))=1,
            300,
            IF(
                MIN(3,ROUNDUP(MAX(0,K370-(MAX(1,Q370)-1)*IF(TRIM(N370&amp;"")="111444",10,20))/IF(TRIM(N370&amp;"")="111444",10,20),0))=2,
                450,
                600
            )
        )
    ),
    ""
)</f>
        <v/>
      </c>
    </row>
    <row r="371" spans="1:22" ht="48.2" customHeight="1" x14ac:dyDescent="0.25">
      <c r="A371" s="17"/>
      <c r="B371" s="17"/>
      <c r="C371" s="18"/>
      <c r="D371" s="17"/>
      <c r="E371" s="19"/>
      <c r="F371" s="20"/>
      <c r="G371" s="21"/>
      <c r="H371" s="17"/>
      <c r="I371" s="20"/>
      <c r="J371" s="17"/>
      <c r="K371" s="17"/>
      <c r="L371" s="22"/>
      <c r="M371" s="22"/>
      <c r="N371" s="22"/>
      <c r="O371" s="22"/>
      <c r="P371" s="22"/>
      <c r="Q371" s="22"/>
      <c r="R371" s="23"/>
      <c r="S371" s="22"/>
      <c r="T371" s="24"/>
      <c r="U371" s="25"/>
    </row>
    <row r="372" spans="1:22" ht="48.2" customHeight="1" x14ac:dyDescent="0.25">
      <c r="A372" s="17">
        <f>VLOOKUP(C372,[1]Werke!$A$1:$C$168,3,0)</f>
        <v>31</v>
      </c>
      <c r="B372" s="17" t="str">
        <f>VLOOKUP(C372,[1]Werke!$A$1:$C$168,2,0)</f>
        <v>BH7</v>
      </c>
      <c r="C372" s="18" t="s">
        <v>250</v>
      </c>
      <c r="D372" s="17">
        <f>VLOOKUP(C372,[1]Maliteslimalan!$A$1:$B$210,2,0)</f>
        <v>8000015577</v>
      </c>
      <c r="E372" s="19">
        <v>6</v>
      </c>
      <c r="F372" s="20" t="str">
        <f>VLOOKUP(G372,$U$1:$V$1730,2,0)</f>
        <v>N 107 371 01</v>
      </c>
      <c r="G372" s="21">
        <v>101183000</v>
      </c>
      <c r="H372" s="17" t="str">
        <f>VLOOKUP(G372,Z$2:AA$1905,2,FALSE)</f>
        <v>0,01686</v>
      </c>
      <c r="I372" s="20"/>
      <c r="J372" s="17">
        <f>VLOOKUP(G372,W$2:X$1905,2,FALSE)</f>
        <v>650</v>
      </c>
      <c r="K372" s="17">
        <f>I372/J372</f>
        <v>0</v>
      </c>
      <c r="L372" s="22">
        <v>20</v>
      </c>
      <c r="M372" s="22">
        <v>20</v>
      </c>
      <c r="N372" s="22" t="s">
        <v>155</v>
      </c>
      <c r="O372" s="22" t="str">
        <f>VLOOKUP(N372,$AL$1285:$AM$1310,2,FALSE)</f>
        <v>001210</v>
      </c>
      <c r="P372" s="22">
        <f>VLOOKUP(N372,AC$2:AD$1905,2,FALSE)</f>
        <v>55</v>
      </c>
      <c r="Q372" s="22"/>
      <c r="R372" s="23" t="s">
        <v>153</v>
      </c>
      <c r="S372" s="22">
        <f>VLOOKUP(R372,AC$2:AD$1905,2,FALSE)</f>
        <v>0.56999999999999995</v>
      </c>
      <c r="T372" s="24">
        <f>(H372*I372)+P372*Q372+S372*K372</f>
        <v>0</v>
      </c>
      <c r="U372" s="25">
        <f>IF(TRIM(N372&amp;"")="111444",
    IF(ROUNDUP(MAX(0,K372-(MAX(1,Q372)-1)*10)/10,0)=1,3,2),
    IF(TRIM(N372&amp;"")="VWPAL",
        IF(TRIM(R372&amp;"")="004147",1,2),
        ""
    )
)</f>
        <v>2</v>
      </c>
      <c r="V372" s="26" t="str">
        <f>IF(OR(TRIM(N372&amp;"")="111444",TRIM(N372&amp;"")="VWPAL"),
    IF(K372&lt;=0,"",
        IF(
            MIN(3,ROUNDUP(MAX(0,K372-(MAX(1,Q372)-1)*IF(TRIM(N372&amp;"")="111444",10,20))/IF(TRIM(N372&amp;"")="111444",10,20),0))=1,
            300,
            IF(
                MIN(3,ROUNDUP(MAX(0,K372-(MAX(1,Q372)-1)*IF(TRIM(N372&amp;"")="111444",10,20))/IF(TRIM(N372&amp;"")="111444",10,20),0))=2,
                450,
                600
            )
        )
    ),
    ""
)</f>
        <v/>
      </c>
    </row>
    <row r="373" spans="1:22" ht="48.2" customHeight="1" x14ac:dyDescent="0.25">
      <c r="A373" s="17"/>
      <c r="B373" s="17"/>
      <c r="C373" s="18"/>
      <c r="D373" s="17"/>
      <c r="E373" s="19"/>
      <c r="F373" s="20"/>
      <c r="G373" s="21"/>
      <c r="H373" s="17"/>
      <c r="I373" s="20"/>
      <c r="J373" s="17"/>
      <c r="K373" s="17"/>
      <c r="L373" s="22"/>
      <c r="M373" s="22"/>
      <c r="N373" s="22"/>
      <c r="O373" s="22"/>
      <c r="P373" s="22"/>
      <c r="Q373" s="22"/>
      <c r="R373" s="23"/>
      <c r="S373" s="22"/>
      <c r="T373" s="24"/>
      <c r="U373" s="25"/>
    </row>
    <row r="374" spans="1:22" ht="48.2" customHeight="1" x14ac:dyDescent="0.25">
      <c r="A374" s="17">
        <f>VLOOKUP(C374,[1]Werke!$A$1:$C$168,3,0)</f>
        <v>31</v>
      </c>
      <c r="B374" s="17" t="str">
        <f>VLOOKUP(C374,[1]Werke!$A$1:$C$168,2,0)</f>
        <v>BH7</v>
      </c>
      <c r="C374" s="18" t="s">
        <v>250</v>
      </c>
      <c r="D374" s="17">
        <f>VLOOKUP(C374,[1]Maliteslimalan!$A$1:$B$210,2,0)</f>
        <v>8000015577</v>
      </c>
      <c r="E374" s="19">
        <v>6</v>
      </c>
      <c r="F374" s="20" t="str">
        <f>VLOOKUP(G374,$U$1:$V$1730,2,0)</f>
        <v>N 107 765 01</v>
      </c>
      <c r="G374" s="21">
        <v>101183100</v>
      </c>
      <c r="H374" s="17" t="str">
        <f>VLOOKUP(G374,Z$2:AA$1905,2,FALSE)</f>
        <v>0,03638</v>
      </c>
      <c r="I374" s="20"/>
      <c r="J374" s="17">
        <v>200</v>
      </c>
      <c r="K374" s="17">
        <f>I374/J374</f>
        <v>0</v>
      </c>
      <c r="L374" s="22">
        <v>10</v>
      </c>
      <c r="M374" s="22">
        <v>10</v>
      </c>
      <c r="N374" s="22">
        <v>111444</v>
      </c>
      <c r="O374" s="22" t="str">
        <f>VLOOKUP(N374,$AL$1285:$AM$1310,2,FALSE)</f>
        <v>001006</v>
      </c>
      <c r="P374" s="22">
        <f>VLOOKUP(N374,AC$2:AD$1905,2,FALSE)</f>
        <v>34</v>
      </c>
      <c r="Q374" s="22"/>
      <c r="R374" s="23" t="s">
        <v>153</v>
      </c>
      <c r="S374" s="22">
        <f>VLOOKUP(R374,AC$2:AD$1905,2,FALSE)</f>
        <v>0.56999999999999995</v>
      </c>
      <c r="T374" s="24">
        <f>(H374*I374)+P374*Q374+S374*K374</f>
        <v>0</v>
      </c>
      <c r="U374" s="25">
        <f>IF(TRIM(N374&amp;"")="111444",
    IF(ROUNDUP(MAX(0,K374-(MAX(1,Q374)-1)*10)/10,0)=1,3,2),
    IF(TRIM(N374&amp;"")="VWPAL",
        IF(TRIM(R374&amp;"")="004147",1,2),
        ""
    )
)</f>
        <v>2</v>
      </c>
      <c r="V374" s="26" t="str">
        <f>IF(OR(TRIM(N374&amp;"")="111444",TRIM(N374&amp;"")="VWPAL"),
    IF(K374&lt;=0,"",
        IF(
            MIN(3,ROUNDUP(MAX(0,K374-(MAX(1,Q374)-1)*IF(TRIM(N374&amp;"")="111444",10,20))/IF(TRIM(N374&amp;"")="111444",10,20),0))=1,
            300,
            IF(
                MIN(3,ROUNDUP(MAX(0,K374-(MAX(1,Q374)-1)*IF(TRIM(N374&amp;"")="111444",10,20))/IF(TRIM(N374&amp;"")="111444",10,20),0))=2,
                450,
                600
            )
        )
    ),
    ""
)</f>
        <v/>
      </c>
    </row>
    <row r="375" spans="1:22" ht="48.2" customHeight="1" x14ac:dyDescent="0.25">
      <c r="A375" s="17">
        <f>VLOOKUP(C375,[1]Werke!$A$1:$C$168,3,0)</f>
        <v>88</v>
      </c>
      <c r="B375" s="17" t="str">
        <f>VLOOKUP(C375,[1]Werke!$A$1:$C$168,2,0)</f>
        <v>02</v>
      </c>
      <c r="C375" s="20" t="s">
        <v>167</v>
      </c>
      <c r="D375" s="17" t="str">
        <f>VLOOKUP(C375,[1]Maliteslimalan!$A$1:$B$210,2,0)</f>
        <v>8000012643</v>
      </c>
      <c r="E375" s="19" t="str">
        <f>VLOOKUP(C375,[1]Bestellnr.!$A$1:$B$174,2,0)</f>
        <v>000088</v>
      </c>
      <c r="F375" s="20" t="str">
        <f>VLOOKUP(G375,$U$1:$V$1730,2,0)</f>
        <v>N 107 765 01</v>
      </c>
      <c r="G375" s="21">
        <v>101183100</v>
      </c>
      <c r="H375" s="17" t="str">
        <f>VLOOKUP(G375,Z$2:AA$1905,2,FALSE)</f>
        <v>0,03638</v>
      </c>
      <c r="I375" s="20"/>
      <c r="J375" s="17">
        <f>VLOOKUP(G375,W$2:X$1905,2,FALSE)</f>
        <v>300</v>
      </c>
      <c r="K375" s="17">
        <f>I375/J375</f>
        <v>0</v>
      </c>
      <c r="L375" s="22">
        <v>10</v>
      </c>
      <c r="M375" s="22">
        <v>30</v>
      </c>
      <c r="N375" s="22">
        <v>111444</v>
      </c>
      <c r="O375" s="22" t="str">
        <f>VLOOKUP(N375,$AL$1285:$AM$1310,2,FALSE)</f>
        <v>001006</v>
      </c>
      <c r="P375" s="22">
        <f>VLOOKUP(N375,AC$2:AD$1905,2,FALSE)</f>
        <v>34</v>
      </c>
      <c r="Q375" s="22"/>
      <c r="R375" s="23" t="s">
        <v>153</v>
      </c>
      <c r="S375" s="22">
        <f>VLOOKUP(R375,AC$2:AD$1905,2,FALSE)</f>
        <v>0.56999999999999995</v>
      </c>
      <c r="T375" s="24">
        <f>(H375*I375)+P375*Q375+S375*K375</f>
        <v>0</v>
      </c>
      <c r="U375" s="25">
        <f>IF(TRIM(N375&amp;"")="111444",
    IF(ROUNDUP(MAX(0,K375-(MAX(1,Q375)-1)*10)/10,0)=1,3,2),
    IF(TRIM(N375&amp;"")="VWPAL",
        IF(TRIM(R375&amp;"")="004147",1,2),
        ""
    )
)</f>
        <v>2</v>
      </c>
      <c r="V375" s="26" t="str">
        <f>IF(OR(TRIM(N375&amp;"")="111444",TRIM(N375&amp;"")="VWPAL"),
    IF(K375&lt;=0,"",
        IF(
            MIN(3,ROUNDUP(MAX(0,K375-(MAX(1,Q375)-1)*IF(TRIM(N375&amp;"")="111444",10,20))/IF(TRIM(N375&amp;"")="111444",10,20),0))=1,
            300,
            IF(
                MIN(3,ROUNDUP(MAX(0,K375-(MAX(1,Q375)-1)*IF(TRIM(N375&amp;"")="111444",10,20))/IF(TRIM(N375&amp;"")="111444",10,20),0))=2,
                450,
                600
            )
        )
    ),
    ""
)</f>
        <v/>
      </c>
    </row>
    <row r="376" spans="1:22" ht="48.2" customHeight="1" x14ac:dyDescent="0.25">
      <c r="A376" s="17"/>
      <c r="B376" s="17"/>
      <c r="C376" s="18"/>
      <c r="D376" s="17"/>
      <c r="E376" s="19"/>
      <c r="F376" s="20"/>
      <c r="G376" s="21"/>
      <c r="H376" s="17"/>
      <c r="I376" s="20"/>
      <c r="J376" s="17"/>
      <c r="K376" s="17"/>
      <c r="L376" s="22"/>
      <c r="M376" s="22"/>
      <c r="N376" s="22"/>
      <c r="O376" s="22"/>
      <c r="P376" s="22"/>
      <c r="Q376" s="22"/>
      <c r="R376" s="23"/>
      <c r="S376" s="22"/>
      <c r="T376" s="24"/>
      <c r="U376" s="25"/>
    </row>
    <row r="377" spans="1:22" ht="48.2" customHeight="1" x14ac:dyDescent="0.25">
      <c r="A377" s="17">
        <f>VLOOKUP(C377,[1]Werke!$A$1:$C$168,3,0)</f>
        <v>31</v>
      </c>
      <c r="B377" s="17" t="str">
        <f>VLOOKUP(C377,[1]Werke!$A$1:$C$168,2,0)</f>
        <v>BH7</v>
      </c>
      <c r="C377" s="18" t="s">
        <v>250</v>
      </c>
      <c r="D377" s="17">
        <f>VLOOKUP(C377,[1]Maliteslimalan!$A$1:$B$210,2,0)</f>
        <v>8000015577</v>
      </c>
      <c r="E377" s="19">
        <v>6</v>
      </c>
      <c r="F377" s="20" t="str">
        <f>VLOOKUP(G377,$U$1:$V$1730,2,0)</f>
        <v>N 107 805 01</v>
      </c>
      <c r="G377" s="21">
        <v>101183200</v>
      </c>
      <c r="H377" s="17" t="str">
        <f>VLOOKUP(G377,Z$2:AA$1905,2,FALSE)</f>
        <v>0,02314</v>
      </c>
      <c r="I377" s="20"/>
      <c r="J377" s="17">
        <v>500</v>
      </c>
      <c r="K377" s="17">
        <f>I377/J377</f>
        <v>0</v>
      </c>
      <c r="L377" s="22">
        <v>10</v>
      </c>
      <c r="M377" s="22">
        <v>10</v>
      </c>
      <c r="N377" s="22">
        <v>111444</v>
      </c>
      <c r="O377" s="22" t="str">
        <f>VLOOKUP(N377,$AL$1285:$AM$1310,2,FALSE)</f>
        <v>001006</v>
      </c>
      <c r="P377" s="22">
        <f>VLOOKUP(N377,AC$2:AD$1905,2,FALSE)</f>
        <v>34</v>
      </c>
      <c r="Q377" s="22"/>
      <c r="R377" s="23" t="s">
        <v>153</v>
      </c>
      <c r="S377" s="22">
        <f>VLOOKUP(R377,AC$2:AD$1905,2,FALSE)</f>
        <v>0.56999999999999995</v>
      </c>
      <c r="T377" s="24">
        <f>(H377*I377)+P377*Q377+S377*K377</f>
        <v>0</v>
      </c>
      <c r="U377" s="25">
        <f>IF(TRIM(N377&amp;"")="111444",
    IF(ROUNDUP(MAX(0,K377-(MAX(1,Q377)-1)*10)/10,0)=1,3,2),
    IF(TRIM(N377&amp;"")="VWPAL",
        IF(TRIM(R377&amp;"")="004147",1,2),
        ""
    )
)</f>
        <v>2</v>
      </c>
      <c r="V377" s="26" t="str">
        <f>IF(OR(TRIM(N377&amp;"")="111444",TRIM(N377&amp;"")="VWPAL"),
    IF(K377&lt;=0,"",
        IF(
            MIN(3,ROUNDUP(MAX(0,K377-(MAX(1,Q377)-1)*IF(TRIM(N377&amp;"")="111444",10,20))/IF(TRIM(N377&amp;"")="111444",10,20),0))=1,
            300,
            IF(
                MIN(3,ROUNDUP(MAX(0,K377-(MAX(1,Q377)-1)*IF(TRIM(N377&amp;"")="111444",10,20))/IF(TRIM(N377&amp;"")="111444",10,20),0))=2,
                450,
                600
            )
        )
    ),
    ""
)</f>
        <v/>
      </c>
    </row>
    <row r="378" spans="1:22" ht="48.2" customHeight="1" x14ac:dyDescent="0.25">
      <c r="A378" s="17"/>
      <c r="B378" s="17"/>
      <c r="C378" s="18"/>
      <c r="D378" s="17"/>
      <c r="E378" s="19"/>
      <c r="F378" s="20"/>
      <c r="G378" s="21"/>
      <c r="H378" s="17"/>
      <c r="I378" s="20"/>
      <c r="J378" s="17"/>
      <c r="K378" s="17"/>
      <c r="L378" s="22"/>
      <c r="M378" s="22"/>
      <c r="N378" s="22"/>
      <c r="O378" s="22"/>
      <c r="P378" s="22"/>
      <c r="Q378" s="22"/>
      <c r="R378" s="23"/>
      <c r="S378" s="22"/>
      <c r="T378" s="24"/>
      <c r="U378" s="25"/>
    </row>
    <row r="379" spans="1:22" ht="48.2" customHeight="1" x14ac:dyDescent="0.25">
      <c r="A379" s="17">
        <f>VLOOKUP(C379,[1]Werke!$A$1:$C$168,3,0)</f>
        <v>31</v>
      </c>
      <c r="B379" s="17" t="str">
        <f>VLOOKUP(C379,[1]Werke!$A$1:$C$168,2,0)</f>
        <v>B29</v>
      </c>
      <c r="C379" s="18">
        <v>10329</v>
      </c>
      <c r="D379" s="17">
        <f>VLOOKUP(C379,[1]Maliteslimalan!$A$1:$B$210,2,0)</f>
        <v>8000013608</v>
      </c>
      <c r="E379" s="19">
        <v>6</v>
      </c>
      <c r="F379" s="20" t="str">
        <f>VLOOKUP(G379,$U$1:$V$1730,2,0)</f>
        <v>N 913 257 01</v>
      </c>
      <c r="G379" s="21">
        <v>101147800</v>
      </c>
      <c r="H379" s="17" t="str">
        <f>VLOOKUP(G379,Z$2:AA$1905,2,FALSE)</f>
        <v>0,11701</v>
      </c>
      <c r="I379" s="20"/>
      <c r="J379" s="17">
        <v>130</v>
      </c>
      <c r="K379" s="17">
        <f>I379/J379</f>
        <v>0</v>
      </c>
      <c r="L379" s="22">
        <v>10</v>
      </c>
      <c r="M379" s="22">
        <v>10</v>
      </c>
      <c r="N379" s="22" t="s">
        <v>155</v>
      </c>
      <c r="O379" s="22" t="str">
        <f>VLOOKUP(N379,$AL$1285:$AM$1310,2,FALSE)</f>
        <v>001210</v>
      </c>
      <c r="P379" s="22">
        <f>VLOOKUP(N379,AC$2:AD$1905,2,FALSE)</f>
        <v>55</v>
      </c>
      <c r="Q379" s="22"/>
      <c r="R379" s="23" t="s">
        <v>175</v>
      </c>
      <c r="S379" s="22">
        <f>VLOOKUP(R379,AC$2:AD$1905,2,FALSE)</f>
        <v>1.08</v>
      </c>
      <c r="T379" s="24">
        <f>(H379*I379)+P379*Q379+S379*K379</f>
        <v>0</v>
      </c>
      <c r="U379" s="25">
        <f>IF(TRIM(N379&amp;"")="111444",
    IF(ROUNDUP(MAX(0,K379-(MAX(1,Q379)-1)*10)/10,0)=1,3,2),
    IF(TRIM(N379&amp;"")="VWPAL",
        IF(TRIM(R379&amp;"")="004147",1,2),
        ""
    )
)</f>
        <v>1</v>
      </c>
      <c r="V379" s="26" t="str">
        <f>IF(OR(TRIM(N379&amp;"")="111444",TRIM(N379&amp;"")="VWPAL"),
    IF(K379&lt;=0,"",
        IF(
            MIN(3,ROUNDUP(MAX(0,K379-(MAX(1,Q379)-1)*IF(TRIM(N379&amp;"")="111444",10,20))/IF(TRIM(N379&amp;"")="111444",10,20),0))=1,
            300,
            IF(
                MIN(3,ROUNDUP(MAX(0,K379-(MAX(1,Q379)-1)*IF(TRIM(N379&amp;"")="111444",10,20))/IF(TRIM(N379&amp;"")="111444",10,20),0))=2,
                450,
                600
            )
        )
    ),
    ""
)</f>
        <v/>
      </c>
    </row>
    <row r="380" spans="1:22" ht="48.2" customHeight="1" x14ac:dyDescent="0.25">
      <c r="A380" s="17"/>
      <c r="B380" s="17"/>
      <c r="C380" s="18"/>
      <c r="D380" s="17"/>
      <c r="E380" s="19"/>
      <c r="F380" s="20"/>
      <c r="G380" s="21"/>
      <c r="H380" s="17"/>
      <c r="I380" s="20"/>
      <c r="J380" s="17"/>
      <c r="K380" s="17"/>
      <c r="L380" s="22"/>
      <c r="M380" s="22"/>
      <c r="N380" s="22"/>
      <c r="O380" s="22"/>
      <c r="P380" s="22"/>
      <c r="Q380" s="22"/>
      <c r="R380" s="23"/>
      <c r="S380" s="22"/>
      <c r="T380" s="24"/>
      <c r="U380" s="25"/>
    </row>
    <row r="381" spans="1:22" ht="48.2" customHeight="1" x14ac:dyDescent="0.25">
      <c r="A381" s="17">
        <f>VLOOKUP(C381,[1]Werke!$A$1:$C$168,3,0)</f>
        <v>22</v>
      </c>
      <c r="B381" s="17" t="str">
        <f>VLOOKUP(C381,[1]Werke!$A$1:$C$168,2,0)</f>
        <v>13P</v>
      </c>
      <c r="C381" s="18" t="s">
        <v>230</v>
      </c>
      <c r="D381" s="17" t="str">
        <f>VLOOKUP(C381,[1]Maliteslimalan!$A$1:$B$210,2,0)</f>
        <v>8000013344</v>
      </c>
      <c r="E381" s="19" t="str">
        <f>VLOOKUP(C381,[1]Bestellnr.!$A$1:$B$174,2,0)</f>
        <v>000006</v>
      </c>
      <c r="F381" s="20" t="str">
        <f>VLOOKUP(G381,$U$1:$V$1730,2,0)</f>
        <v>N 913 249 01</v>
      </c>
      <c r="G381" s="21">
        <v>101105300</v>
      </c>
      <c r="H381" s="17" t="str">
        <f>VLOOKUP(G381,Z$2:AA$1905,2,FALSE)</f>
        <v>0,11306</v>
      </c>
      <c r="I381" s="20"/>
      <c r="J381" s="17">
        <f>VLOOKUP(G381,W$2:X$1905,2,FALSE)</f>
        <v>90</v>
      </c>
      <c r="K381" s="17">
        <f>I381/J381</f>
        <v>0</v>
      </c>
      <c r="L381" s="22">
        <v>10</v>
      </c>
      <c r="M381" s="22">
        <v>10</v>
      </c>
      <c r="N381" s="22">
        <v>111444</v>
      </c>
      <c r="O381" s="22" t="str">
        <f>VLOOKUP(N381,$AL$1285:$AM$1310,2,FALSE)</f>
        <v>001006</v>
      </c>
      <c r="P381" s="22">
        <f>VLOOKUP(N381,AC$2:AD$1905,2,FALSE)</f>
        <v>34</v>
      </c>
      <c r="Q381" s="22"/>
      <c r="R381" s="23" t="s">
        <v>153</v>
      </c>
      <c r="S381" s="22">
        <f>VLOOKUP(R381,AC$2:AD$1905,2,FALSE)</f>
        <v>0.56999999999999995</v>
      </c>
      <c r="T381" s="24">
        <f>(H381*I381)+P381*Q381+S381*K381</f>
        <v>0</v>
      </c>
      <c r="U381" s="25">
        <f>IF(TRIM(N381&amp;"")="111444",
    IF(ROUNDUP(MAX(0,K381-(MAX(1,Q381)-1)*10)/10,0)=1,3,2),
    IF(TRIM(N381&amp;"")="VWPAL",
        IF(TRIM(R381&amp;"")="004147",1,2),
        ""
    )
)</f>
        <v>2</v>
      </c>
      <c r="V381" s="26" t="str">
        <f>IF(OR(TRIM(N381&amp;"")="111444",TRIM(N381&amp;"")="VWPAL"),
    IF(K381&lt;=0,"",
        IF(
            MIN(3,ROUNDUP(MAX(0,K381-(MAX(1,Q381)-1)*IF(TRIM(N381&amp;"")="111444",10,20))/IF(TRIM(N381&amp;"")="111444",10,20),0))=1,
            300,
            IF(
                MIN(3,ROUNDUP(MAX(0,K381-(MAX(1,Q381)-1)*IF(TRIM(N381&amp;"")="111444",10,20))/IF(TRIM(N381&amp;"")="111444",10,20),0))=2,
                450,
                600
            )
        )
    ),
    ""
)</f>
        <v/>
      </c>
    </row>
    <row r="382" spans="1:22" ht="48.2" customHeight="1" x14ac:dyDescent="0.25">
      <c r="A382" s="17"/>
      <c r="B382" s="17"/>
      <c r="C382" s="18"/>
      <c r="D382" s="17"/>
      <c r="E382" s="19"/>
      <c r="F382" s="20"/>
      <c r="G382" s="21"/>
      <c r="H382" s="17"/>
      <c r="I382" s="20"/>
      <c r="J382" s="17"/>
      <c r="K382" s="17"/>
      <c r="L382" s="22"/>
      <c r="M382" s="22"/>
      <c r="N382" s="22"/>
      <c r="O382" s="22"/>
      <c r="P382" s="22"/>
      <c r="Q382" s="22"/>
      <c r="R382" s="23"/>
      <c r="S382" s="22"/>
      <c r="T382" s="24"/>
      <c r="U382" s="25"/>
    </row>
    <row r="383" spans="1:22" ht="48.2" customHeight="1" x14ac:dyDescent="0.25">
      <c r="A383" s="17">
        <f>VLOOKUP(C383,[1]Werke!$A$1:$C$168,3,0)</f>
        <v>12</v>
      </c>
      <c r="B383" s="17" t="str">
        <f>VLOOKUP(C383,[1]Werke!$A$1:$C$168,2,0)</f>
        <v>1B</v>
      </c>
      <c r="C383" s="18">
        <v>21730</v>
      </c>
      <c r="D383" s="17">
        <f>VLOOKUP(C383,[1]Maliteslimalan!$A$1:$B$210,2,0)</f>
        <v>8000017606</v>
      </c>
      <c r="E383" s="19">
        <v>6</v>
      </c>
      <c r="F383" s="20" t="str">
        <f>VLOOKUP(G383,$U$1:$V$1730,2,0)</f>
        <v>N 910 416 01</v>
      </c>
      <c r="G383" s="21">
        <v>101202200</v>
      </c>
      <c r="H383" s="17" t="str">
        <f>VLOOKUP(G383,Z$2:AA$1905,2,FALSE)</f>
        <v>0,00483</v>
      </c>
      <c r="I383" s="20"/>
      <c r="J383" s="17">
        <f>VLOOKUP(G383,W$2:X$1905,2,FALSE)</f>
        <v>2500</v>
      </c>
      <c r="K383" s="17">
        <f>I383/J383</f>
        <v>0</v>
      </c>
      <c r="L383" s="22">
        <v>10</v>
      </c>
      <c r="M383" s="22">
        <v>30</v>
      </c>
      <c r="N383" s="22">
        <v>111444</v>
      </c>
      <c r="O383" s="22" t="str">
        <f>VLOOKUP(N383,$AL$1285:$AM$1310,2,FALSE)</f>
        <v>001006</v>
      </c>
      <c r="P383" s="22">
        <f>VLOOKUP(N383,AC$2:AD$1905,2,FALSE)</f>
        <v>34</v>
      </c>
      <c r="Q383" s="22"/>
      <c r="R383" s="23" t="s">
        <v>153</v>
      </c>
      <c r="S383" s="22">
        <f>VLOOKUP(R383,AC$2:AD$1905,2,FALSE)</f>
        <v>0.56999999999999995</v>
      </c>
      <c r="T383" s="24">
        <f>(H383*I383)+P383*Q383+S383*K383</f>
        <v>0</v>
      </c>
      <c r="U383" s="25">
        <f>IF(TRIM(N383&amp;"")="111444",
    IF(ROUNDUP(MAX(0,K383-(MAX(1,Q383)-1)*10)/10,0)=1,3,2),
    IF(TRIM(N383&amp;"")="VWPAL",
        IF(TRIM(R383&amp;"")="004147",1,2),
        ""
    )
)</f>
        <v>2</v>
      </c>
      <c r="V383" s="26" t="str">
        <f>IF(OR(TRIM(N383&amp;"")="111444",TRIM(N383&amp;"")="VWPAL"),
    IF(K383&lt;=0,"",
        IF(
            MIN(3,ROUNDUP(MAX(0,K383-(MAX(1,Q383)-1)*IF(TRIM(N383&amp;"")="111444",10,20))/IF(TRIM(N383&amp;"")="111444",10,20),0))=1,
            300,
            IF(
                MIN(3,ROUNDUP(MAX(0,K383-(MAX(1,Q383)-1)*IF(TRIM(N383&amp;"")="111444",10,20))/IF(TRIM(N383&amp;"")="111444",10,20),0))=2,
                450,
                600
            )
        )
    ),
    ""
)</f>
        <v/>
      </c>
    </row>
    <row r="384" spans="1:22" ht="48.2" customHeight="1" x14ac:dyDescent="0.25">
      <c r="A384" s="17">
        <f>VLOOKUP(C384,[1]Werke!$A$1:$C$168,3,0)</f>
        <v>14</v>
      </c>
      <c r="B384" s="17" t="str">
        <f>VLOOKUP(C384,[1]Werke!$A$1:$C$168,2,0)</f>
        <v>D85</v>
      </c>
      <c r="C384" s="18" t="s">
        <v>239</v>
      </c>
      <c r="D384" s="17" t="str">
        <f>VLOOKUP(C384,[1]Maliteslimalan!$A$1:$B$210,2,0)</f>
        <v>8000012682</v>
      </c>
      <c r="E384" s="19">
        <f>VLOOKUP(C384,[1]Bestellnr.!$A$1:$B$174,2,0)</f>
        <v>0</v>
      </c>
      <c r="F384" s="20" t="str">
        <f>VLOOKUP(G384,$U$1:$V$1730,2,0)</f>
        <v>N 910 416 01</v>
      </c>
      <c r="G384" s="21">
        <v>101202200</v>
      </c>
      <c r="H384" s="17" t="str">
        <f>VLOOKUP(G384,Z$2:AA$1905,2,FALSE)</f>
        <v>0,00483</v>
      </c>
      <c r="I384" s="20"/>
      <c r="J384" s="17">
        <v>3000</v>
      </c>
      <c r="K384" s="17">
        <f>I384/J384</f>
        <v>0</v>
      </c>
      <c r="L384" s="22">
        <v>10</v>
      </c>
      <c r="M384" s="22">
        <v>30</v>
      </c>
      <c r="N384" s="22">
        <v>111444</v>
      </c>
      <c r="O384" s="22" t="str">
        <f>VLOOKUP(N384,$AL$1285:$AM$1310,2,FALSE)</f>
        <v>001006</v>
      </c>
      <c r="P384" s="22">
        <f>VLOOKUP(N384,AC$2:AD$1905,2,FALSE)</f>
        <v>34</v>
      </c>
      <c r="Q384" s="22"/>
      <c r="R384" s="23" t="s">
        <v>153</v>
      </c>
      <c r="S384" s="22">
        <f>VLOOKUP(R384,AC$2:AD$1905,2,FALSE)</f>
        <v>0.56999999999999995</v>
      </c>
      <c r="T384" s="24">
        <f>(H384*I384)+P384*Q384+S384*K384</f>
        <v>0</v>
      </c>
      <c r="U384" s="25">
        <f>IF(TRIM(N384&amp;"")="111444",
    IF(ROUNDUP(MAX(0,K384-(MAX(1,Q384)-1)*10)/10,0)=1,3,2),
    IF(TRIM(N384&amp;"")="VWPAL",
        IF(TRIM(R384&amp;"")="004147",1,2),
        ""
    )
)</f>
        <v>2</v>
      </c>
      <c r="V384" s="26" t="str">
        <f>IF(OR(TRIM(N384&amp;"")="111444",TRIM(N384&amp;"")="VWPAL"),
    IF(K384&lt;=0,"",
        IF(
            MIN(3,ROUNDUP(MAX(0,K384-(MAX(1,Q384)-1)*IF(TRIM(N384&amp;"")="111444",10,20))/IF(TRIM(N384&amp;"")="111444",10,20),0))=1,
            300,
            IF(
                MIN(3,ROUNDUP(MAX(0,K384-(MAX(1,Q384)-1)*IF(TRIM(N384&amp;"")="111444",10,20))/IF(TRIM(N384&amp;"")="111444",10,20),0))=2,
                450,
                600
            )
        )
    ),
    ""
)</f>
        <v/>
      </c>
    </row>
    <row r="385" spans="1:22" ht="48.2" customHeight="1" x14ac:dyDescent="0.25">
      <c r="A385" s="17"/>
      <c r="B385" s="17"/>
      <c r="C385" s="18"/>
      <c r="D385" s="17"/>
      <c r="E385" s="19"/>
      <c r="F385" s="20"/>
      <c r="G385" s="21"/>
      <c r="H385" s="17"/>
      <c r="I385" s="20"/>
      <c r="J385" s="17"/>
      <c r="K385" s="17"/>
      <c r="L385" s="22"/>
      <c r="M385" s="22"/>
      <c r="N385" s="22"/>
      <c r="O385" s="22"/>
      <c r="P385" s="22"/>
      <c r="Q385" s="22"/>
      <c r="R385" s="23"/>
      <c r="S385" s="22"/>
      <c r="T385" s="24"/>
      <c r="U385" s="25"/>
    </row>
    <row r="386" spans="1:22" ht="48.2" customHeight="1" x14ac:dyDescent="0.25">
      <c r="A386" s="17">
        <f>VLOOKUP(C386,[1]Werke!$A$1:$C$168,3,0)</f>
        <v>31</v>
      </c>
      <c r="B386" s="17" t="str">
        <f>VLOOKUP(C386,[1]Werke!$A$1:$C$168,2,0)</f>
        <v>B62</v>
      </c>
      <c r="C386" s="18">
        <v>10362</v>
      </c>
      <c r="D386" s="17" t="str">
        <f>VLOOKUP(C386,[1]Maliteslimalan!$A$1:$B$210,2,0)</f>
        <v>8000012742</v>
      </c>
      <c r="E386" s="19">
        <v>6</v>
      </c>
      <c r="F386" s="20" t="str">
        <f>VLOOKUP(G386,$U$1:$V$1730,2,0)</f>
        <v>N 102 684 01</v>
      </c>
      <c r="G386" s="21">
        <v>101203500</v>
      </c>
      <c r="H386" s="17" t="str">
        <f>VLOOKUP(G386,Z$2:AA$1905,2,FALSE)</f>
        <v>0,0096</v>
      </c>
      <c r="I386" s="20"/>
      <c r="J386" s="17">
        <v>1200</v>
      </c>
      <c r="K386" s="17">
        <f>I386/J386</f>
        <v>0</v>
      </c>
      <c r="L386" s="22">
        <v>10</v>
      </c>
      <c r="M386" s="22">
        <v>10</v>
      </c>
      <c r="N386" s="22">
        <v>111444</v>
      </c>
      <c r="O386" s="22" t="str">
        <f>VLOOKUP(N386,$AL$1285:$AM$1310,2,FALSE)</f>
        <v>001006</v>
      </c>
      <c r="P386" s="22">
        <f>VLOOKUP(N386,AC$2:AD$1905,2,FALSE)</f>
        <v>34</v>
      </c>
      <c r="Q386" s="22"/>
      <c r="R386" s="23" t="s">
        <v>153</v>
      </c>
      <c r="S386" s="22">
        <f>VLOOKUP(R386,AC$2:AD$1905,2,FALSE)</f>
        <v>0.56999999999999995</v>
      </c>
      <c r="T386" s="24">
        <f>(H386*I386)+P386*Q386+S386*K386</f>
        <v>0</v>
      </c>
      <c r="U386" s="25">
        <f>IF(TRIM(N386&amp;"")="111444",
    IF(ROUNDUP(MAX(0,K386-(MAX(1,Q386)-1)*10)/10,0)=1,3,2),
    IF(TRIM(N386&amp;"")="VWPAL",
        IF(TRIM(R386&amp;"")="004147",1,2),
        ""
    )
)</f>
        <v>2</v>
      </c>
      <c r="V386" s="26" t="str">
        <f>IF(OR(TRIM(N386&amp;"")="111444",TRIM(N386&amp;"")="VWPAL"),
    IF(K386&lt;=0,"",
        IF(
            MIN(3,ROUNDUP(MAX(0,K386-(MAX(1,Q386)-1)*IF(TRIM(N386&amp;"")="111444",10,20))/IF(TRIM(N386&amp;"")="111444",10,20),0))=1,
            300,
            IF(
                MIN(3,ROUNDUP(MAX(0,K386-(MAX(1,Q386)-1)*IF(TRIM(N386&amp;"")="111444",10,20))/IF(TRIM(N386&amp;"")="111444",10,20),0))=2,
                450,
                600
            )
        )
    ),
    ""
)</f>
        <v/>
      </c>
    </row>
    <row r="387" spans="1:22" ht="48.2" customHeight="1" x14ac:dyDescent="0.25">
      <c r="A387" s="17"/>
      <c r="B387" s="17"/>
      <c r="C387" s="18"/>
      <c r="D387" s="17"/>
      <c r="E387" s="19"/>
      <c r="F387" s="20"/>
      <c r="G387" s="21"/>
      <c r="H387" s="17"/>
      <c r="I387" s="20"/>
      <c r="J387" s="17"/>
      <c r="K387" s="17"/>
      <c r="L387" s="22"/>
      <c r="M387" s="22"/>
      <c r="N387" s="22"/>
      <c r="O387" s="22"/>
      <c r="P387" s="22"/>
      <c r="Q387" s="22"/>
      <c r="R387" s="23"/>
      <c r="S387" s="22"/>
      <c r="T387" s="24"/>
      <c r="U387" s="25"/>
    </row>
    <row r="388" spans="1:22" ht="48.2" customHeight="1" x14ac:dyDescent="0.25">
      <c r="A388" s="17" t="str">
        <f>VLOOKUP(C388,[1]Werke!$A$1:$C$168,3,0)</f>
        <v>LD</v>
      </c>
      <c r="B388" s="17" t="str">
        <f>VLOOKUP(C388,[1]Werke!$A$1:$C$168,2,0)</f>
        <v>SLD</v>
      </c>
      <c r="C388" s="18">
        <v>83630</v>
      </c>
      <c r="D388" s="17" t="str">
        <f>VLOOKUP(C388,[1]Maliteslimalan!$A$1:$B$210,2,0)</f>
        <v>8000012862</v>
      </c>
      <c r="E388" s="19" t="str">
        <f>VLOOKUP(C388,[1]Bestellnr.!$A$1:$B$174,2,0)</f>
        <v>000006</v>
      </c>
      <c r="F388" s="20" t="str">
        <f>VLOOKUP(G388,$U$1:$V$1730,2,0)</f>
        <v>WHT 009 841</v>
      </c>
      <c r="G388" s="21">
        <v>120042100</v>
      </c>
      <c r="H388" s="17" t="str">
        <f>VLOOKUP(G388,Z$2:AA$1905,2,FALSE)</f>
        <v>0,00201</v>
      </c>
      <c r="I388" s="20"/>
      <c r="J388" s="17">
        <f>VLOOKUP(G388,W$2:X$1905,2,FALSE)</f>
        <v>4000</v>
      </c>
      <c r="K388" s="17">
        <f>I388/J388</f>
        <v>0</v>
      </c>
      <c r="L388" s="22">
        <v>10</v>
      </c>
      <c r="M388" s="22">
        <v>10</v>
      </c>
      <c r="N388" s="22">
        <v>111444</v>
      </c>
      <c r="O388" s="22" t="str">
        <f>VLOOKUP(N388,$AL$1285:$AM$1310,2,FALSE)</f>
        <v>001006</v>
      </c>
      <c r="P388" s="22">
        <f>VLOOKUP(N388,AC$2:AD$1905,2,FALSE)</f>
        <v>34</v>
      </c>
      <c r="Q388" s="22"/>
      <c r="R388" s="23" t="s">
        <v>153</v>
      </c>
      <c r="S388" s="22">
        <f>VLOOKUP(R388,AC$2:AD$1905,2,FALSE)</f>
        <v>0.56999999999999995</v>
      </c>
      <c r="T388" s="24">
        <f>(H388*I388)+P388*Q388+S388*K388</f>
        <v>0</v>
      </c>
      <c r="U388" s="25">
        <f>IF(TRIM(N388&amp;"")="111444",
    IF(ROUNDUP(MAX(0,K388-(MAX(1,Q388)-1)*10)/10,0)=1,3,2),
    IF(TRIM(N388&amp;"")="VWPAL",
        IF(TRIM(R388&amp;"")="004147",1,2),
        ""
    )
)</f>
        <v>2</v>
      </c>
      <c r="V388" s="26" t="str">
        <f>IF(OR(TRIM(N388&amp;"")="111444",TRIM(N388&amp;"")="VWPAL"),
    IF(K388&lt;=0,"",
        IF(
            MIN(3,ROUNDUP(MAX(0,K388-(MAX(1,Q388)-1)*IF(TRIM(N388&amp;"")="111444",10,20))/IF(TRIM(N388&amp;"")="111444",10,20),0))=1,
            300,
            IF(
                MIN(3,ROUNDUP(MAX(0,K388-(MAX(1,Q388)-1)*IF(TRIM(N388&amp;"")="111444",10,20))/IF(TRIM(N388&amp;"")="111444",10,20),0))=2,
                450,
                600
            )
        )
    ),
    ""
)</f>
        <v/>
      </c>
    </row>
    <row r="389" spans="1:22" ht="48.2" customHeight="1" x14ac:dyDescent="0.25">
      <c r="A389" s="17">
        <f>VLOOKUP(C389,[1]Werke!$A$1:$C$168,3,0)</f>
        <v>31</v>
      </c>
      <c r="B389" s="17" t="str">
        <f>VLOOKUP(C389,[1]Werke!$A$1:$C$168,2,0)</f>
        <v>B62</v>
      </c>
      <c r="C389" s="18">
        <v>10362</v>
      </c>
      <c r="D389" s="17" t="str">
        <f>VLOOKUP(C389,[1]Maliteslimalan!$A$1:$B$210,2,0)</f>
        <v>8000012742</v>
      </c>
      <c r="E389" s="19">
        <v>6</v>
      </c>
      <c r="F389" s="20" t="str">
        <f>VLOOKUP(G389,$U$1:$V$1730,2,0)</f>
        <v>WHT 009 841</v>
      </c>
      <c r="G389" s="21">
        <v>120042100</v>
      </c>
      <c r="H389" s="17" t="str">
        <f>VLOOKUP(G389,Z$2:AA$1905,2,FALSE)</f>
        <v>0,00201</v>
      </c>
      <c r="I389" s="20"/>
      <c r="J389" s="17">
        <f>VLOOKUP(G389,W$2:X$1905,2,FALSE)</f>
        <v>4000</v>
      </c>
      <c r="K389" s="17">
        <f>I389/J389</f>
        <v>0</v>
      </c>
      <c r="L389" s="22">
        <v>10</v>
      </c>
      <c r="M389" s="22">
        <v>10</v>
      </c>
      <c r="N389" s="22">
        <v>111444</v>
      </c>
      <c r="O389" s="22" t="str">
        <f>VLOOKUP(N389,$AL$1285:$AM$1310,2,FALSE)</f>
        <v>001006</v>
      </c>
      <c r="P389" s="22">
        <f>VLOOKUP(N389,AC$2:AD$1905,2,FALSE)</f>
        <v>34</v>
      </c>
      <c r="Q389" s="22"/>
      <c r="R389" s="23" t="s">
        <v>153</v>
      </c>
      <c r="S389" s="22">
        <f>VLOOKUP(R389,AC$2:AD$1905,2,FALSE)</f>
        <v>0.56999999999999995</v>
      </c>
      <c r="T389" s="24">
        <f>(H389*I389)+P389*Q389+S389*K389</f>
        <v>0</v>
      </c>
      <c r="U389" s="25">
        <f>IF(TRIM(N389&amp;"")="111444",
    IF(ROUNDUP(MAX(0,K389-(MAX(1,Q389)-1)*10)/10,0)=1,3,2),
    IF(TRIM(N389&amp;"")="VWPAL",
        IF(TRIM(R389&amp;"")="004147",1,2),
        ""
    )
)</f>
        <v>2</v>
      </c>
      <c r="V389" s="26" t="str">
        <f>IF(OR(TRIM(N389&amp;"")="111444",TRIM(N389&amp;"")="VWPAL"),
    IF(K389&lt;=0,"",
        IF(
            MIN(3,ROUNDUP(MAX(0,K389-(MAX(1,Q389)-1)*IF(TRIM(N389&amp;"")="111444",10,20))/IF(TRIM(N389&amp;"")="111444",10,20),0))=1,
            300,
            IF(
                MIN(3,ROUNDUP(MAX(0,K389-(MAX(1,Q389)-1)*IF(TRIM(N389&amp;"")="111444",10,20))/IF(TRIM(N389&amp;"")="111444",10,20),0))=2,
                450,
                600
            )
        )
    ),
    ""
)</f>
        <v/>
      </c>
    </row>
    <row r="390" spans="1:22" ht="48.2" customHeight="1" x14ac:dyDescent="0.25">
      <c r="A390" s="17">
        <f>VLOOKUP(C390,[1]Werke!$A$1:$C$168,3,0)</f>
        <v>33</v>
      </c>
      <c r="B390" s="17" t="str">
        <f>VLOOKUP(C390,[1]Werke!$A$1:$C$168,2,0)</f>
        <v>KK2</v>
      </c>
      <c r="C390" s="18" t="s">
        <v>185</v>
      </c>
      <c r="D390" s="17" t="str">
        <f>VLOOKUP(C390,[1]Maliteslimalan!$A$1:$B$210,2,0)</f>
        <v>8000012709</v>
      </c>
      <c r="E390" s="19" t="str">
        <f>VLOOKUP(C390,[1]Bestellnr.!$A$1:$B$174,2,0)</f>
        <v>000055</v>
      </c>
      <c r="F390" s="20" t="str">
        <f>VLOOKUP(G390,$U$1:$V$1730,2,0)</f>
        <v>WHT 009 841</v>
      </c>
      <c r="G390" s="21">
        <v>120042100</v>
      </c>
      <c r="H390" s="17" t="str">
        <f>VLOOKUP(G390,Z$2:AA$1905,2,FALSE)</f>
        <v>0,00201</v>
      </c>
      <c r="I390" s="20"/>
      <c r="J390" s="17">
        <f>VLOOKUP(G390,W$2:X$1905,2,FALSE)</f>
        <v>4000</v>
      </c>
      <c r="K390" s="17">
        <f>I390/J390</f>
        <v>0</v>
      </c>
      <c r="L390" s="22">
        <v>10</v>
      </c>
      <c r="M390" s="22">
        <v>10</v>
      </c>
      <c r="N390" s="22">
        <v>111444</v>
      </c>
      <c r="O390" s="22" t="str">
        <f>VLOOKUP(N390,$AL$1285:$AM$1310,2,FALSE)</f>
        <v>001006</v>
      </c>
      <c r="P390" s="22">
        <f>VLOOKUP(N390,AC$2:AD$1905,2,FALSE)</f>
        <v>34</v>
      </c>
      <c r="Q390" s="22"/>
      <c r="R390" s="23" t="s">
        <v>153</v>
      </c>
      <c r="S390" s="22">
        <f>VLOOKUP(R390,AC$2:AD$1905,2,FALSE)</f>
        <v>0.56999999999999995</v>
      </c>
      <c r="T390" s="24">
        <f>(H390*I390)+P390*Q390+S390*K390</f>
        <v>0</v>
      </c>
      <c r="U390" s="25">
        <f>IF(TRIM(N390&amp;"")="111444",
    IF(ROUNDUP(MAX(0,K390-(MAX(1,Q390)-1)*10)/10,0)=1,3,2),
    IF(TRIM(N390&amp;"")="VWPAL",
        IF(TRIM(R390&amp;"")="004147",1,2),
        ""
    )
)</f>
        <v>2</v>
      </c>
      <c r="V390" s="26" t="str">
        <f>IF(OR(TRIM(N390&amp;"")="111444",TRIM(N390&amp;"")="VWPAL"),
    IF(K390&lt;=0,"",
        IF(
            MIN(3,ROUNDUP(MAX(0,K390-(MAX(1,Q390)-1)*IF(TRIM(N390&amp;"")="111444",10,20))/IF(TRIM(N390&amp;"")="111444",10,20),0))=1,
            300,
            IF(
                MIN(3,ROUNDUP(MAX(0,K390-(MAX(1,Q390)-1)*IF(TRIM(N390&amp;"")="111444",10,20))/IF(TRIM(N390&amp;"")="111444",10,20),0))=2,
                450,
                600
            )
        )
    ),
    ""
)</f>
        <v/>
      </c>
    </row>
    <row r="391" spans="1:22" ht="48.2" customHeight="1" x14ac:dyDescent="0.25">
      <c r="A391" s="17"/>
      <c r="B391" s="17"/>
      <c r="C391" s="18"/>
      <c r="D391" s="17"/>
      <c r="E391" s="19"/>
      <c r="F391" s="20"/>
      <c r="G391" s="21"/>
      <c r="H391" s="17"/>
      <c r="I391" s="20"/>
      <c r="J391" s="17"/>
      <c r="K391" s="17"/>
      <c r="L391" s="22"/>
      <c r="M391" s="22"/>
      <c r="N391" s="22"/>
      <c r="O391" s="22"/>
      <c r="P391" s="22"/>
      <c r="Q391" s="22"/>
      <c r="R391" s="23"/>
      <c r="S391" s="22"/>
      <c r="T391" s="24"/>
      <c r="U391" s="25"/>
    </row>
    <row r="392" spans="1:22" ht="48.2" customHeight="1" x14ac:dyDescent="0.25">
      <c r="A392" s="17">
        <f>VLOOKUP(C392,[1]Werke!$A$1:$C$168,3,0)</f>
        <v>34</v>
      </c>
      <c r="B392" s="17" t="str">
        <f>VLOOKUP(C392,[1]Werke!$A$1:$C$168,2,0)</f>
        <v>01</v>
      </c>
      <c r="C392" s="18" t="s">
        <v>280</v>
      </c>
      <c r="D392" s="17" t="str">
        <f>VLOOKUP(C392,[1]Maliteslimalan!$A$1:$B$210,2,0)</f>
        <v>8000012622</v>
      </c>
      <c r="E392" s="19">
        <f>VLOOKUP(C392,[1]Bestellnr.!$A$1:$B$174,2,0)</f>
        <v>0</v>
      </c>
      <c r="F392" s="20" t="str">
        <f>VLOOKUP(G392,$U$1:$V$1730,2,0)</f>
        <v>N   912 032 03</v>
      </c>
      <c r="G392" s="21">
        <v>932803000</v>
      </c>
      <c r="H392" s="17">
        <f>VLOOKUP(G392,Z$2:AA$1905,2,FALSE)</f>
        <v>1.469E-2</v>
      </c>
      <c r="I392" s="20"/>
      <c r="J392" s="17">
        <f>VLOOKUP(G392,W$2:X$1905,2,FALSE)</f>
        <v>800</v>
      </c>
      <c r="K392" s="17">
        <f>I392/J392</f>
        <v>0</v>
      </c>
      <c r="L392" s="22">
        <v>10</v>
      </c>
      <c r="M392" s="22">
        <v>30</v>
      </c>
      <c r="N392" s="22">
        <v>111444</v>
      </c>
      <c r="O392" s="22" t="str">
        <f>VLOOKUP(N392,$AL$1285:$AM$1310,2,FALSE)</f>
        <v>001006</v>
      </c>
      <c r="P392" s="22">
        <f>VLOOKUP(N392,AC$2:AD$1905,2,FALSE)</f>
        <v>34</v>
      </c>
      <c r="Q392" s="22"/>
      <c r="R392" s="23" t="s">
        <v>153</v>
      </c>
      <c r="S392" s="22">
        <f>VLOOKUP(R392,AC$2:AD$1905,2,FALSE)</f>
        <v>0.56999999999999995</v>
      </c>
      <c r="T392" s="24">
        <f>(H392*I392)+P392*Q392+S392*K392</f>
        <v>0</v>
      </c>
      <c r="U392" s="25">
        <f>IF(TRIM(N392&amp;"")="111444",
    IF(ROUNDUP(MAX(0,K392-(MAX(1,Q392)-1)*10)/10,0)=1,3,2),
    IF(TRIM(N392&amp;"")="VWPAL",
        IF(TRIM(R392&amp;"")="004147",1,2),
        ""
    )
)</f>
        <v>2</v>
      </c>
      <c r="V392" s="26" t="str">
        <f>IF(OR(TRIM(N392&amp;"")="111444",TRIM(N392&amp;"")="VWPAL"),
    IF(K392&lt;=0,"",
        IF(
            MIN(3,ROUNDUP(MAX(0,K392-(MAX(1,Q392)-1)*IF(TRIM(N392&amp;"")="111444",10,20))/IF(TRIM(N392&amp;"")="111444",10,20),0))=1,
            300,
            IF(
                MIN(3,ROUNDUP(MAX(0,K392-(MAX(1,Q392)-1)*IF(TRIM(N392&amp;"")="111444",10,20))/IF(TRIM(N392&amp;"")="111444",10,20),0))=2,
                450,
                600
            )
        )
    ),
    ""
)</f>
        <v/>
      </c>
    </row>
    <row r="393" spans="1:22" ht="49.5" customHeight="1" x14ac:dyDescent="0.25">
      <c r="A393" s="17" t="str">
        <f>VLOOKUP(C393,[1]Werke!$A$1:$C$168,3,0)</f>
        <v>26D</v>
      </c>
      <c r="B393" s="17" t="str">
        <f>VLOOKUP(C393,[1]Werke!$A$1:$C$168,2,0)</f>
        <v>G18</v>
      </c>
      <c r="C393" s="18" t="s">
        <v>257</v>
      </c>
      <c r="D393" s="17" t="str">
        <f>VLOOKUP(C393,[1]Maliteslimalan!$A$1:$B$210,2,0)</f>
        <v>8000012600</v>
      </c>
      <c r="E393" s="19">
        <f>VLOOKUP(C393,[1]Bestellnr.!$A$1:$B$174,2,0)</f>
        <v>0</v>
      </c>
      <c r="F393" s="20" t="str">
        <f>VLOOKUP(G393,$U$1:$V$1730,2,0)</f>
        <v>N   912 032 03</v>
      </c>
      <c r="G393" s="21">
        <v>932803000</v>
      </c>
      <c r="H393" s="17">
        <f>VLOOKUP(G393,Z$2:AA$1905,2,FALSE)</f>
        <v>1.469E-2</v>
      </c>
      <c r="I393" s="20"/>
      <c r="J393" s="17">
        <f>VLOOKUP(G393,W$2:X$1905,2,FALSE)</f>
        <v>800</v>
      </c>
      <c r="K393" s="17">
        <f>I393/J393</f>
        <v>0</v>
      </c>
      <c r="L393" s="22">
        <v>10</v>
      </c>
      <c r="M393" s="22">
        <v>10</v>
      </c>
      <c r="N393" s="22">
        <v>111444</v>
      </c>
      <c r="O393" s="22" t="str">
        <f>VLOOKUP(N393,$AL$1285:$AM$1310,2,FALSE)</f>
        <v>001006</v>
      </c>
      <c r="P393" s="22">
        <f>VLOOKUP(N393,AC$2:AD$1905,2,FALSE)</f>
        <v>34</v>
      </c>
      <c r="Q393" s="22"/>
      <c r="R393" s="23" t="s">
        <v>153</v>
      </c>
      <c r="S393" s="22">
        <f>VLOOKUP(R393,AC$2:AD$1905,2,FALSE)</f>
        <v>0.56999999999999995</v>
      </c>
      <c r="T393" s="24">
        <f>(H393*I393)+P393*Q393+S393*K393</f>
        <v>0</v>
      </c>
      <c r="U393" s="25">
        <f>IF(TRIM(N393&amp;"")="111444",
    IF(ROUNDUP(MAX(0,K393-(MAX(1,Q393)-1)*10)/10,0)=1,3,2),
    IF(TRIM(N393&amp;"")="VWPAL",
        IF(TRIM(R393&amp;"")="004147",1,2),
        ""
    )
)</f>
        <v>2</v>
      </c>
      <c r="V393" s="26" t="str">
        <f>IF(OR(TRIM(N393&amp;"")="111444",TRIM(N393&amp;"")="VWPAL"),
    IF(K393&lt;=0,"",
        IF(
            MIN(3,ROUNDUP(MAX(0,K393-(MAX(1,Q393)-1)*IF(TRIM(N393&amp;"")="111444",10,20))/IF(TRIM(N393&amp;"")="111444",10,20),0))=1,
            300,
            IF(
                MIN(3,ROUNDUP(MAX(0,K393-(MAX(1,Q393)-1)*IF(TRIM(N393&amp;"")="111444",10,20))/IF(TRIM(N393&amp;"")="111444",10,20),0))=2,
                450,
                600
            )
        )
    ),
    ""
)</f>
        <v/>
      </c>
    </row>
    <row r="394" spans="1:22" ht="49.5" customHeight="1" x14ac:dyDescent="0.25">
      <c r="A394" s="17"/>
      <c r="B394" s="17"/>
      <c r="C394" s="18" t="s">
        <v>281</v>
      </c>
      <c r="D394" s="17"/>
      <c r="E394" s="19"/>
      <c r="F394" s="20"/>
      <c r="G394" s="21"/>
      <c r="H394" s="17"/>
      <c r="I394" s="20"/>
      <c r="J394" s="17"/>
      <c r="K394" s="17"/>
      <c r="L394" s="22"/>
      <c r="M394" s="22"/>
      <c r="N394" s="22"/>
      <c r="O394" s="22"/>
      <c r="P394" s="22"/>
      <c r="Q394" s="22"/>
      <c r="R394" s="23"/>
      <c r="S394" s="22"/>
      <c r="T394" s="24"/>
      <c r="U394" s="25"/>
    </row>
    <row r="395" spans="1:22" ht="48" customHeight="1" x14ac:dyDescent="0.25">
      <c r="A395" s="17" t="str">
        <f>VLOOKUP(C395,[1]Werke!$A$1:$C$168,3,0)</f>
        <v>LD</v>
      </c>
      <c r="B395" s="17" t="str">
        <f>VLOOKUP(C395,[1]Werke!$A$1:$C$168,2,0)</f>
        <v>SLD</v>
      </c>
      <c r="C395" s="18">
        <v>83630</v>
      </c>
      <c r="D395" s="17" t="str">
        <f>VLOOKUP(C395,[1]Maliteslimalan!$A$1:$B$210,2,0)</f>
        <v>8000012862</v>
      </c>
      <c r="E395" s="19" t="str">
        <f>VLOOKUP(C395,[1]Bestellnr.!$A$1:$B$174,2,0)</f>
        <v>000006</v>
      </c>
      <c r="F395" s="20" t="str">
        <f t="shared" ref="F395:F401" si="198">VLOOKUP(G395,$U$1:$V$1730,2,0)</f>
        <v>N   912 056 02</v>
      </c>
      <c r="G395" s="21">
        <v>930730000</v>
      </c>
      <c r="H395" s="17">
        <f t="shared" ref="H395:H401" si="199">VLOOKUP(G395,Z$2:AA$1905,2,FALSE)</f>
        <v>1.5440000000000001E-2</v>
      </c>
      <c r="I395" s="20"/>
      <c r="J395" s="17" t="str">
        <f>VLOOKUP(G395,W$2:X$1905,2,FALSE)</f>
        <v>700</v>
      </c>
      <c r="K395" s="17">
        <f t="shared" ref="K395:K401" si="200">I395/J395</f>
        <v>0</v>
      </c>
      <c r="L395" s="22">
        <v>10</v>
      </c>
      <c r="M395" s="22">
        <v>30</v>
      </c>
      <c r="N395" s="22">
        <v>111444</v>
      </c>
      <c r="O395" s="22" t="str">
        <f t="shared" ref="O395:O401" si="201">VLOOKUP(N395,$AL$1285:$AM$1310,2,FALSE)</f>
        <v>001006</v>
      </c>
      <c r="P395" s="22">
        <f t="shared" ref="P395:P401" si="202">VLOOKUP(N395,AC$2:AD$1905,2,FALSE)</f>
        <v>34</v>
      </c>
      <c r="Q395" s="22"/>
      <c r="R395" s="23" t="s">
        <v>153</v>
      </c>
      <c r="S395" s="22">
        <f t="shared" ref="S395:S401" si="203">VLOOKUP(R395,AC$2:AD$1905,2,FALSE)</f>
        <v>0.56999999999999995</v>
      </c>
      <c r="T395" s="24">
        <f t="shared" ref="T395:T401" si="204">(H395*I395)+P395*Q395+S395*K395</f>
        <v>0</v>
      </c>
      <c r="U395" s="25">
        <f t="shared" ref="U395:U401" si="205">IF(TRIM(N395&amp;"")="111444",
    IF(ROUNDUP(MAX(0,K395-(MAX(1,Q395)-1)*10)/10,0)=1,3,2),
    IF(TRIM(N395&amp;"")="VWPAL",
        IF(TRIM(R395&amp;"")="004147",1,2),
        ""
    )
)</f>
        <v>2</v>
      </c>
      <c r="V395" s="26" t="str">
        <f t="shared" ref="V395:V401" si="206">IF(OR(TRIM(N395&amp;"")="111444",TRIM(N395&amp;"")="VWPAL"),
    IF(K395&lt;=0,"",
        IF(
            MIN(3,ROUNDUP(MAX(0,K395-(MAX(1,Q395)-1)*IF(TRIM(N395&amp;"")="111444",10,20))/IF(TRIM(N395&amp;"")="111444",10,20),0))=1,
            300,
            IF(
                MIN(3,ROUNDUP(MAX(0,K395-(MAX(1,Q395)-1)*IF(TRIM(N395&amp;"")="111444",10,20))/IF(TRIM(N395&amp;"")="111444",10,20),0))=2,
                450,
                600
            )
        )
    ),
    ""
)</f>
        <v/>
      </c>
    </row>
    <row r="396" spans="1:22" ht="48" customHeight="1" x14ac:dyDescent="0.25">
      <c r="A396" s="17" t="str">
        <f>VLOOKUP(C396,[1]Werke!$A$1:$C$168,3,0)</f>
        <v>16D</v>
      </c>
      <c r="B396" s="17">
        <f>VLOOKUP(C396,[1]Werke!$A$1:$C$168,2,0)</f>
        <v>501</v>
      </c>
      <c r="C396" s="18" t="s">
        <v>262</v>
      </c>
      <c r="D396" s="17" t="str">
        <f>VLOOKUP(C396,[1]Maliteslimalan!$A$1:$B$210,2,0)</f>
        <v>8000012876</v>
      </c>
      <c r="E396" s="19">
        <f>VLOOKUP(C396,[1]Bestellnr.!$A$1:$B$174,2,0)</f>
        <v>0</v>
      </c>
      <c r="F396" s="20" t="str">
        <f t="shared" si="198"/>
        <v>N   912 056 02</v>
      </c>
      <c r="G396" s="21">
        <v>930730000</v>
      </c>
      <c r="H396" s="17">
        <f t="shared" si="199"/>
        <v>1.5440000000000001E-2</v>
      </c>
      <c r="I396" s="20"/>
      <c r="J396" s="17" t="str">
        <f>VLOOKUP(G396,W$2:X$1905,2,FALSE)</f>
        <v>700</v>
      </c>
      <c r="K396" s="17">
        <f t="shared" si="200"/>
        <v>0</v>
      </c>
      <c r="L396" s="22">
        <v>10</v>
      </c>
      <c r="M396" s="22">
        <v>30</v>
      </c>
      <c r="N396" s="22">
        <v>111444</v>
      </c>
      <c r="O396" s="22" t="str">
        <f t="shared" si="201"/>
        <v>001006</v>
      </c>
      <c r="P396" s="22">
        <f t="shared" si="202"/>
        <v>34</v>
      </c>
      <c r="Q396" s="22"/>
      <c r="R396" s="23" t="s">
        <v>153</v>
      </c>
      <c r="S396" s="22">
        <f t="shared" si="203"/>
        <v>0.56999999999999995</v>
      </c>
      <c r="T396" s="24">
        <f t="shared" si="204"/>
        <v>0</v>
      </c>
      <c r="U396" s="25">
        <f t="shared" si="205"/>
        <v>2</v>
      </c>
      <c r="V396" s="26" t="str">
        <f t="shared" si="206"/>
        <v/>
      </c>
    </row>
    <row r="397" spans="1:22" ht="48" customHeight="1" x14ac:dyDescent="0.25">
      <c r="A397" s="17">
        <f>VLOOKUP(C397,[1]Werke!$A$1:$C$168,3,0)</f>
        <v>11</v>
      </c>
      <c r="B397" s="17" t="str">
        <f>VLOOKUP(C397,[1]Werke!$A$1:$C$168,2,0)</f>
        <v>03A</v>
      </c>
      <c r="C397" s="18" t="s">
        <v>277</v>
      </c>
      <c r="D397" s="17" t="str">
        <f>VLOOKUP(C397,[1]Maliteslimalan!$A$1:$B$210,2,0)</f>
        <v>8000012601</v>
      </c>
      <c r="E397" s="19" t="str">
        <f>VLOOKUP(C397,[1]Bestellnr.!$A$1:$B$174,2,0)</f>
        <v>000006</v>
      </c>
      <c r="F397" s="20" t="str">
        <f t="shared" si="198"/>
        <v>N   912 056 02</v>
      </c>
      <c r="G397" s="21">
        <v>930730000</v>
      </c>
      <c r="H397" s="17">
        <f t="shared" si="199"/>
        <v>1.5440000000000001E-2</v>
      </c>
      <c r="I397" s="20"/>
      <c r="J397" s="17" t="str">
        <f>VLOOKUP(G397,W$2:X$1905,2,FALSE)</f>
        <v>700</v>
      </c>
      <c r="K397" s="17">
        <f t="shared" si="200"/>
        <v>0</v>
      </c>
      <c r="L397" s="22">
        <v>20</v>
      </c>
      <c r="M397" s="22">
        <v>60</v>
      </c>
      <c r="N397" s="22" t="s">
        <v>155</v>
      </c>
      <c r="O397" s="22" t="str">
        <f t="shared" si="201"/>
        <v>001210</v>
      </c>
      <c r="P397" s="22">
        <f t="shared" si="202"/>
        <v>55</v>
      </c>
      <c r="Q397" s="22"/>
      <c r="R397" s="23" t="s">
        <v>153</v>
      </c>
      <c r="S397" s="22">
        <f t="shared" si="203"/>
        <v>0.56999999999999995</v>
      </c>
      <c r="T397" s="24">
        <f t="shared" si="204"/>
        <v>0</v>
      </c>
      <c r="U397" s="25">
        <f t="shared" si="205"/>
        <v>2</v>
      </c>
      <c r="V397" s="26" t="str">
        <f t="shared" si="206"/>
        <v/>
      </c>
    </row>
    <row r="398" spans="1:22" ht="48" customHeight="1" x14ac:dyDescent="0.25">
      <c r="A398" s="17">
        <f>VLOOKUP(C398,[1]Werke!$A$1:$C$168,3,0)</f>
        <v>33</v>
      </c>
      <c r="B398" s="17" t="str">
        <f>VLOOKUP(C398,[1]Werke!$A$1:$C$168,2,0)</f>
        <v>HM7</v>
      </c>
      <c r="C398" s="18" t="s">
        <v>282</v>
      </c>
      <c r="D398" s="17" t="str">
        <f>VLOOKUP(C398,[1]Maliteslimalan!$A$1:$B$210,2,0)</f>
        <v>8000012724</v>
      </c>
      <c r="E398" s="19" t="str">
        <f>VLOOKUP(C398,[1]Bestellnr.!$A$1:$B$174,2,0)</f>
        <v>000055</v>
      </c>
      <c r="F398" s="20" t="str">
        <f t="shared" si="198"/>
        <v>N   912 056 02</v>
      </c>
      <c r="G398" s="21">
        <v>930730000</v>
      </c>
      <c r="H398" s="17">
        <f t="shared" si="199"/>
        <v>1.5440000000000001E-2</v>
      </c>
      <c r="I398" s="20"/>
      <c r="J398" s="17" t="str">
        <f>VLOOKUP(G398,W$2:X$1905,2,FALSE)</f>
        <v>700</v>
      </c>
      <c r="K398" s="17">
        <f t="shared" si="200"/>
        <v>0</v>
      </c>
      <c r="L398" s="22">
        <v>10</v>
      </c>
      <c r="M398" s="22">
        <v>30</v>
      </c>
      <c r="N398" s="22">
        <v>111444</v>
      </c>
      <c r="O398" s="22" t="str">
        <f t="shared" si="201"/>
        <v>001006</v>
      </c>
      <c r="P398" s="22">
        <f t="shared" si="202"/>
        <v>34</v>
      </c>
      <c r="Q398" s="22"/>
      <c r="R398" s="23" t="s">
        <v>153</v>
      </c>
      <c r="S398" s="22">
        <f t="shared" si="203"/>
        <v>0.56999999999999995</v>
      </c>
      <c r="T398" s="24">
        <f t="shared" si="204"/>
        <v>0</v>
      </c>
      <c r="U398" s="25">
        <f t="shared" si="205"/>
        <v>2</v>
      </c>
      <c r="V398" s="26" t="str">
        <f t="shared" si="206"/>
        <v/>
      </c>
    </row>
    <row r="399" spans="1:22" ht="48" customHeight="1" x14ac:dyDescent="0.25">
      <c r="A399" s="17">
        <f>VLOOKUP(C399,[1]Werke!$A$1:$C$168,3,0)</f>
        <v>14</v>
      </c>
      <c r="B399" s="17" t="str">
        <f>VLOOKUP(C399,[1]Werke!$A$1:$C$168,2,0)</f>
        <v>D72</v>
      </c>
      <c r="C399" s="18" t="s">
        <v>220</v>
      </c>
      <c r="D399" s="17" t="str">
        <f>VLOOKUP(C399,[1]Maliteslimalan!$A$1:$B$210,2,0)</f>
        <v>8000013493</v>
      </c>
      <c r="E399" s="19">
        <f>VLOOKUP(C399,[1]Bestellnr.!$A$1:$B$174,2,0)</f>
        <v>0</v>
      </c>
      <c r="F399" s="20" t="str">
        <f t="shared" si="198"/>
        <v>N   912 056 02</v>
      </c>
      <c r="G399" s="21">
        <v>930730000</v>
      </c>
      <c r="H399" s="17">
        <f t="shared" si="199"/>
        <v>1.5440000000000001E-2</v>
      </c>
      <c r="I399" s="20"/>
      <c r="J399" s="17">
        <v>600</v>
      </c>
      <c r="K399" s="17">
        <f t="shared" si="200"/>
        <v>0</v>
      </c>
      <c r="L399" s="22">
        <v>20</v>
      </c>
      <c r="M399" s="22">
        <v>60</v>
      </c>
      <c r="N399" s="22" t="s">
        <v>155</v>
      </c>
      <c r="O399" s="22" t="str">
        <f t="shared" si="201"/>
        <v>001210</v>
      </c>
      <c r="P399" s="22">
        <f t="shared" si="202"/>
        <v>55</v>
      </c>
      <c r="Q399" s="22"/>
      <c r="R399" s="23" t="s">
        <v>153</v>
      </c>
      <c r="S399" s="22">
        <f t="shared" si="203"/>
        <v>0.56999999999999995</v>
      </c>
      <c r="T399" s="24">
        <f t="shared" si="204"/>
        <v>0</v>
      </c>
      <c r="U399" s="25">
        <f t="shared" si="205"/>
        <v>2</v>
      </c>
      <c r="V399" s="26" t="str">
        <f t="shared" si="206"/>
        <v/>
      </c>
    </row>
    <row r="400" spans="1:22" ht="48" customHeight="1" x14ac:dyDescent="0.25">
      <c r="A400" s="17">
        <f>VLOOKUP(C400,[1]Werke!$A$1:$C$168,3,0)</f>
        <v>15</v>
      </c>
      <c r="B400" s="17" t="str">
        <f>VLOOKUP(C400,[1]Werke!$A$1:$C$168,2,0)</f>
        <v>H1A</v>
      </c>
      <c r="C400" s="18" t="s">
        <v>283</v>
      </c>
      <c r="D400" s="17" t="str">
        <f>VLOOKUP(C400,[1]Maliteslimalan!$A$1:$B$210,2,0)</f>
        <v>8000012621</v>
      </c>
      <c r="E400" s="19" t="str">
        <f>VLOOKUP(C400,[1]Bestellnr.!$A$1:$B$174,2,0)</f>
        <v>000006</v>
      </c>
      <c r="F400" s="20" t="str">
        <f t="shared" si="198"/>
        <v>N   912 056 02</v>
      </c>
      <c r="G400" s="21">
        <v>930730000</v>
      </c>
      <c r="H400" s="17">
        <f t="shared" si="199"/>
        <v>1.5440000000000001E-2</v>
      </c>
      <c r="I400" s="20"/>
      <c r="J400" s="17" t="str">
        <f>VLOOKUP(G400,W$2:X$1905,2,FALSE)</f>
        <v>700</v>
      </c>
      <c r="K400" s="17">
        <f t="shared" si="200"/>
        <v>0</v>
      </c>
      <c r="L400" s="22">
        <v>10</v>
      </c>
      <c r="M400" s="22">
        <v>30</v>
      </c>
      <c r="N400" s="22">
        <v>111444</v>
      </c>
      <c r="O400" s="22" t="str">
        <f t="shared" si="201"/>
        <v>001006</v>
      </c>
      <c r="P400" s="22">
        <f t="shared" si="202"/>
        <v>34</v>
      </c>
      <c r="Q400" s="22"/>
      <c r="R400" s="23" t="s">
        <v>153</v>
      </c>
      <c r="S400" s="22">
        <f t="shared" si="203"/>
        <v>0.56999999999999995</v>
      </c>
      <c r="T400" s="24">
        <f t="shared" si="204"/>
        <v>0</v>
      </c>
      <c r="U400" s="25">
        <f t="shared" si="205"/>
        <v>2</v>
      </c>
      <c r="V400" s="26" t="str">
        <f t="shared" si="206"/>
        <v/>
      </c>
    </row>
    <row r="401" spans="1:22" ht="48" customHeight="1" x14ac:dyDescent="0.25">
      <c r="A401" s="17" t="str">
        <f>VLOOKUP(C401,[1]Werke!$A$1:$C$168,3,0)</f>
        <v>16D</v>
      </c>
      <c r="B401" s="17">
        <f>VLOOKUP(C401,[1]Werke!$A$1:$C$168,2,0)</f>
        <v>210</v>
      </c>
      <c r="C401" s="18" t="s">
        <v>284</v>
      </c>
      <c r="D401" s="17" t="str">
        <f>VLOOKUP(C401,[1]Maliteslimalan!$A$1:$B$210,2,0)</f>
        <v>8000012598</v>
      </c>
      <c r="E401" s="19">
        <f>VLOOKUP(C401,[1]Bestellnr.!$A$1:$B$174,2,0)</f>
        <v>0</v>
      </c>
      <c r="F401" s="20" t="str">
        <f t="shared" si="198"/>
        <v>N   912 056 02</v>
      </c>
      <c r="G401" s="21">
        <v>930730000</v>
      </c>
      <c r="H401" s="17">
        <f t="shared" si="199"/>
        <v>1.5440000000000001E-2</v>
      </c>
      <c r="I401" s="20"/>
      <c r="J401" s="17" t="str">
        <f>VLOOKUP(G401,W$2:X$1905,2,FALSE)</f>
        <v>700</v>
      </c>
      <c r="K401" s="17">
        <f t="shared" si="200"/>
        <v>0</v>
      </c>
      <c r="L401" s="22">
        <v>10</v>
      </c>
      <c r="M401" s="22">
        <v>30</v>
      </c>
      <c r="N401" s="22">
        <v>111444</v>
      </c>
      <c r="O401" s="22" t="str">
        <f t="shared" si="201"/>
        <v>001006</v>
      </c>
      <c r="P401" s="22">
        <f t="shared" si="202"/>
        <v>34</v>
      </c>
      <c r="Q401" s="22"/>
      <c r="R401" s="23" t="s">
        <v>153</v>
      </c>
      <c r="S401" s="22">
        <f t="shared" si="203"/>
        <v>0.56999999999999995</v>
      </c>
      <c r="T401" s="24">
        <f t="shared" si="204"/>
        <v>0</v>
      </c>
      <c r="U401" s="25">
        <f t="shared" si="205"/>
        <v>2</v>
      </c>
      <c r="V401" s="26" t="str">
        <f t="shared" si="206"/>
        <v/>
      </c>
    </row>
    <row r="402" spans="1:22" ht="48" customHeight="1" x14ac:dyDescent="0.25">
      <c r="A402" s="17"/>
      <c r="B402" s="17"/>
      <c r="C402" s="18"/>
      <c r="D402" s="17"/>
      <c r="E402" s="19"/>
      <c r="F402" s="20"/>
      <c r="G402" s="21"/>
      <c r="H402" s="17"/>
      <c r="I402" s="20"/>
      <c r="J402" s="17"/>
      <c r="K402" s="17"/>
      <c r="L402" s="22"/>
      <c r="M402" s="22"/>
      <c r="N402" s="22"/>
      <c r="O402" s="22"/>
      <c r="P402" s="22"/>
      <c r="Q402" s="22"/>
      <c r="R402" s="23"/>
      <c r="S402" s="22"/>
      <c r="T402" s="24"/>
      <c r="U402" s="25"/>
    </row>
    <row r="403" spans="1:22" ht="48.2" customHeight="1" x14ac:dyDescent="0.25">
      <c r="A403" s="17">
        <f>VLOOKUP(C403,[1]Werke!$A$1:$C$168,3,0)</f>
        <v>21</v>
      </c>
      <c r="B403" s="17" t="str">
        <f>VLOOKUP(C403,[1]Werke!$A$1:$C$168,2,0)</f>
        <v>GZD</v>
      </c>
      <c r="C403" s="18" t="s">
        <v>154</v>
      </c>
      <c r="D403" s="17" t="str">
        <f>VLOOKUP(C403,[1]Maliteslimalan!$A$1:$B$210,2,0)</f>
        <v>8000012572</v>
      </c>
      <c r="E403" s="19" t="str">
        <f>VLOOKUP(C403,[1]Bestellnr.!$A$1:$B$174,2,0)</f>
        <v>000006</v>
      </c>
      <c r="F403" s="20" t="str">
        <f t="shared" ref="F403:F413" si="207">VLOOKUP(G403,$U$1:$V$1730,2,0)</f>
        <v>N   912 177 01</v>
      </c>
      <c r="G403" s="21">
        <v>930789003</v>
      </c>
      <c r="H403" s="17">
        <f t="shared" ref="H403:H413" si="208">VLOOKUP(G403,Z$2:AA$1905,2,FALSE)</f>
        <v>0.10407</v>
      </c>
      <c r="I403" s="20"/>
      <c r="J403" s="17">
        <f t="shared" ref="J403:J413" si="209">VLOOKUP(G403,W$2:X$1905,2,FALSE)</f>
        <v>120</v>
      </c>
      <c r="K403" s="17">
        <f t="shared" ref="K403:K413" si="210">I403/J403</f>
        <v>0</v>
      </c>
      <c r="L403" s="22">
        <v>20</v>
      </c>
      <c r="M403" s="22">
        <v>60</v>
      </c>
      <c r="N403" s="22" t="s">
        <v>155</v>
      </c>
      <c r="O403" s="22" t="str">
        <f t="shared" ref="O403:O413" si="211">VLOOKUP(N403,$AL$1285:$AM$1310,2,FALSE)</f>
        <v>001210</v>
      </c>
      <c r="P403" s="22">
        <f t="shared" ref="P403:P413" si="212">VLOOKUP(N403,AC$2:AD$1905,2,FALSE)</f>
        <v>55</v>
      </c>
      <c r="Q403" s="22"/>
      <c r="R403" s="23" t="s">
        <v>153</v>
      </c>
      <c r="S403" s="22">
        <f t="shared" ref="S403:S413" si="213">VLOOKUP(R403,AC$2:AD$1905,2,FALSE)</f>
        <v>0.56999999999999995</v>
      </c>
      <c r="T403" s="24">
        <f t="shared" ref="T403:T413" si="214">(H403*I403)+P403*Q403+S403*K403</f>
        <v>0</v>
      </c>
      <c r="U403" s="25">
        <f t="shared" ref="U403:U413" si="215">IF(TRIM(N403&amp;"")="111444",
    IF(ROUNDUP(MAX(0,K403-(MAX(1,Q403)-1)*10)/10,0)=1,3,2),
    IF(TRIM(N403&amp;"")="VWPAL",
        IF(TRIM(R403&amp;"")="004147",1,2),
        ""
    )
)</f>
        <v>2</v>
      </c>
      <c r="V403" s="26" t="str">
        <f t="shared" ref="V403:V413" si="216">IF(OR(TRIM(N403&amp;"")="111444",TRIM(N403&amp;"")="VWPAL"),
    IF(K403&lt;=0,"",
        IF(
            MIN(3,ROUNDUP(MAX(0,K403-(MAX(1,Q403)-1)*IF(TRIM(N403&amp;"")="111444",10,20))/IF(TRIM(N403&amp;"")="111444",10,20),0))=1,
            300,
            IF(
                MIN(3,ROUNDUP(MAX(0,K403-(MAX(1,Q403)-1)*IF(TRIM(N403&amp;"")="111444",10,20))/IF(TRIM(N403&amp;"")="111444",10,20),0))=2,
                450,
                600
            )
        )
    ),
    ""
)</f>
        <v/>
      </c>
    </row>
    <row r="404" spans="1:22" ht="48.2" customHeight="1" x14ac:dyDescent="0.25">
      <c r="A404" s="17" t="str">
        <f>VLOOKUP(C404,[1]Werke!$A$1:$C$168,3,0)</f>
        <v>IN</v>
      </c>
      <c r="B404" s="17" t="str">
        <f>VLOOKUP(C404,[1]Werke!$A$1:$C$168,2,0)</f>
        <v>ISB</v>
      </c>
      <c r="C404" s="18" t="s">
        <v>285</v>
      </c>
      <c r="D404" s="17" t="str">
        <f>VLOOKUP(C404,[1]Maliteslimalan!$A$1:$B$210,2,0)</f>
        <v>8000012672</v>
      </c>
      <c r="E404" s="19" t="str">
        <f>VLOOKUP(C404,[1]Bestellnr.!$A$1:$B$174,2,0)</f>
        <v>000006</v>
      </c>
      <c r="F404" s="20" t="str">
        <f t="shared" si="207"/>
        <v>N   912 177 01</v>
      </c>
      <c r="G404" s="21">
        <v>930789003</v>
      </c>
      <c r="H404" s="17">
        <f t="shared" si="208"/>
        <v>0.10407</v>
      </c>
      <c r="I404" s="20"/>
      <c r="J404" s="17">
        <f t="shared" si="209"/>
        <v>120</v>
      </c>
      <c r="K404" s="17">
        <f t="shared" si="210"/>
        <v>0</v>
      </c>
      <c r="L404" s="22">
        <v>20</v>
      </c>
      <c r="M404" s="22">
        <v>60</v>
      </c>
      <c r="N404" s="22" t="s">
        <v>155</v>
      </c>
      <c r="O404" s="22" t="str">
        <f t="shared" si="211"/>
        <v>001210</v>
      </c>
      <c r="P404" s="22">
        <f t="shared" si="212"/>
        <v>55</v>
      </c>
      <c r="Q404" s="22"/>
      <c r="R404" s="23" t="s">
        <v>153</v>
      </c>
      <c r="S404" s="22">
        <f t="shared" si="213"/>
        <v>0.56999999999999995</v>
      </c>
      <c r="T404" s="24">
        <f t="shared" si="214"/>
        <v>0</v>
      </c>
      <c r="U404" s="25">
        <f t="shared" si="215"/>
        <v>2</v>
      </c>
      <c r="V404" s="26" t="str">
        <f t="shared" si="216"/>
        <v/>
      </c>
    </row>
    <row r="405" spans="1:22" ht="48.2" customHeight="1" x14ac:dyDescent="0.25">
      <c r="A405" s="17">
        <f>VLOOKUP(C405,[1]Werke!$A$1:$C$168,3,0)</f>
        <v>31</v>
      </c>
      <c r="B405" s="17" t="str">
        <f>VLOOKUP(C405,[1]Werke!$A$1:$C$168,2,0)</f>
        <v>BH7</v>
      </c>
      <c r="C405" s="18" t="s">
        <v>250</v>
      </c>
      <c r="D405" s="17">
        <f>VLOOKUP(C405,[1]Maliteslimalan!$A$1:$B$210,2,0)</f>
        <v>8000015577</v>
      </c>
      <c r="E405" s="19">
        <v>6</v>
      </c>
      <c r="F405" s="20" t="str">
        <f t="shared" si="207"/>
        <v>N   912 177 01</v>
      </c>
      <c r="G405" s="21">
        <v>930789003</v>
      </c>
      <c r="H405" s="17">
        <f t="shared" si="208"/>
        <v>0.10407</v>
      </c>
      <c r="I405" s="20"/>
      <c r="J405" s="17">
        <f t="shared" si="209"/>
        <v>120</v>
      </c>
      <c r="K405" s="17">
        <f t="shared" si="210"/>
        <v>0</v>
      </c>
      <c r="L405" s="22">
        <v>20</v>
      </c>
      <c r="M405" s="22">
        <v>60</v>
      </c>
      <c r="N405" s="22" t="s">
        <v>155</v>
      </c>
      <c r="O405" s="22" t="str">
        <f t="shared" si="211"/>
        <v>001210</v>
      </c>
      <c r="P405" s="22">
        <f t="shared" si="212"/>
        <v>55</v>
      </c>
      <c r="Q405" s="22"/>
      <c r="R405" s="23" t="s">
        <v>153</v>
      </c>
      <c r="S405" s="22">
        <f t="shared" si="213"/>
        <v>0.56999999999999995</v>
      </c>
      <c r="T405" s="24">
        <f t="shared" si="214"/>
        <v>0</v>
      </c>
      <c r="U405" s="25">
        <f t="shared" si="215"/>
        <v>2</v>
      </c>
      <c r="V405" s="26" t="str">
        <f t="shared" si="216"/>
        <v/>
      </c>
    </row>
    <row r="406" spans="1:22" ht="48.2" customHeight="1" x14ac:dyDescent="0.25">
      <c r="A406" s="17" t="str">
        <f>VLOOKUP(C406,[1]Werke!$A$1:$C$168,3,0)</f>
        <v>3P</v>
      </c>
      <c r="B406" s="17" t="str">
        <f>VLOOKUP(C406,[1]Werke!$A$1:$C$168,2,0)</f>
        <v>BP4</v>
      </c>
      <c r="C406" s="18" t="s">
        <v>234</v>
      </c>
      <c r="D406" s="17" t="str">
        <f>VLOOKUP(C406,[1]Maliteslimalan!$A$1:$B$210,2,0)</f>
        <v>8000012617</v>
      </c>
      <c r="E406" s="19" t="str">
        <f>VLOOKUP(C406,[1]Bestellnr.!$A$1:$B$174,2,0)</f>
        <v>000055</v>
      </c>
      <c r="F406" s="20" t="str">
        <f t="shared" si="207"/>
        <v>N   912 177 01</v>
      </c>
      <c r="G406" s="21">
        <v>930789003</v>
      </c>
      <c r="H406" s="17">
        <f t="shared" si="208"/>
        <v>0.10407</v>
      </c>
      <c r="I406" s="20"/>
      <c r="J406" s="17">
        <f t="shared" si="209"/>
        <v>120</v>
      </c>
      <c r="K406" s="17">
        <f t="shared" si="210"/>
        <v>0</v>
      </c>
      <c r="L406" s="22">
        <v>10</v>
      </c>
      <c r="M406" s="22">
        <v>30</v>
      </c>
      <c r="N406" s="22">
        <v>111444</v>
      </c>
      <c r="O406" s="22" t="str">
        <f t="shared" si="211"/>
        <v>001006</v>
      </c>
      <c r="P406" s="22">
        <f t="shared" si="212"/>
        <v>34</v>
      </c>
      <c r="Q406" s="22"/>
      <c r="R406" s="23" t="s">
        <v>153</v>
      </c>
      <c r="S406" s="22">
        <f t="shared" si="213"/>
        <v>0.56999999999999995</v>
      </c>
      <c r="T406" s="24">
        <f t="shared" si="214"/>
        <v>0</v>
      </c>
      <c r="U406" s="25">
        <f t="shared" si="215"/>
        <v>2</v>
      </c>
      <c r="V406" s="26" t="str">
        <f t="shared" si="216"/>
        <v/>
      </c>
    </row>
    <row r="407" spans="1:22" ht="48.2" customHeight="1" x14ac:dyDescent="0.25">
      <c r="A407" s="17">
        <f>VLOOKUP(C407,[1]Werke!$A$1:$C$168,3,0)</f>
        <v>14</v>
      </c>
      <c r="B407" s="17" t="str">
        <f>VLOOKUP(C407,[1]Werke!$A$1:$C$168,2,0)</f>
        <v>D72</v>
      </c>
      <c r="C407" s="18" t="s">
        <v>220</v>
      </c>
      <c r="D407" s="17" t="str">
        <f>VLOOKUP(C407,[1]Maliteslimalan!$A$1:$B$210,2,0)</f>
        <v>8000013493</v>
      </c>
      <c r="E407" s="19">
        <f>VLOOKUP(C407,[1]Bestellnr.!$A$1:$B$174,2,0)</f>
        <v>0</v>
      </c>
      <c r="F407" s="20" t="str">
        <f t="shared" si="207"/>
        <v>N   912 177 01</v>
      </c>
      <c r="G407" s="21">
        <v>930789003</v>
      </c>
      <c r="H407" s="17">
        <f t="shared" si="208"/>
        <v>0.10407</v>
      </c>
      <c r="I407" s="20"/>
      <c r="J407" s="17">
        <f t="shared" si="209"/>
        <v>120</v>
      </c>
      <c r="K407" s="17">
        <f t="shared" si="210"/>
        <v>0</v>
      </c>
      <c r="L407" s="22">
        <v>10</v>
      </c>
      <c r="M407" s="22">
        <v>30</v>
      </c>
      <c r="N407" s="22">
        <v>111444</v>
      </c>
      <c r="O407" s="22" t="str">
        <f t="shared" si="211"/>
        <v>001006</v>
      </c>
      <c r="P407" s="22">
        <f t="shared" si="212"/>
        <v>34</v>
      </c>
      <c r="Q407" s="22"/>
      <c r="R407" s="23" t="s">
        <v>153</v>
      </c>
      <c r="S407" s="22">
        <f t="shared" si="213"/>
        <v>0.56999999999999995</v>
      </c>
      <c r="T407" s="24">
        <f t="shared" si="214"/>
        <v>0</v>
      </c>
      <c r="U407" s="25">
        <f t="shared" si="215"/>
        <v>2</v>
      </c>
      <c r="V407" s="26" t="str">
        <f t="shared" si="216"/>
        <v/>
      </c>
    </row>
    <row r="408" spans="1:22" ht="48.2" customHeight="1" x14ac:dyDescent="0.25">
      <c r="A408" s="17">
        <f>VLOOKUP(C408,[1]Werke!$A$1:$C$168,3,0)</f>
        <v>49</v>
      </c>
      <c r="B408" s="17" t="str">
        <f>VLOOKUP(C408,[1]Werke!$A$1:$C$168,2,0)</f>
        <v>CT</v>
      </c>
      <c r="C408" s="18" t="s">
        <v>217</v>
      </c>
      <c r="D408" s="17" t="str">
        <f>VLOOKUP(C408,[1]Maliteslimalan!$A$1:$B$210,2,0)</f>
        <v>8000012574</v>
      </c>
      <c r="E408" s="19" t="str">
        <f>VLOOKUP(C408,[1]Bestellnr.!$A$1:$B$174,2,0)</f>
        <v>000001</v>
      </c>
      <c r="F408" s="20" t="str">
        <f t="shared" si="207"/>
        <v>N   912 177 01</v>
      </c>
      <c r="G408" s="21">
        <v>930789003</v>
      </c>
      <c r="H408" s="17">
        <f t="shared" si="208"/>
        <v>0.10407</v>
      </c>
      <c r="I408" s="20"/>
      <c r="J408" s="17">
        <f t="shared" si="209"/>
        <v>120</v>
      </c>
      <c r="K408" s="17">
        <f t="shared" si="210"/>
        <v>0</v>
      </c>
      <c r="L408" s="22">
        <v>10</v>
      </c>
      <c r="M408" s="22">
        <v>30</v>
      </c>
      <c r="N408" s="22">
        <v>111444</v>
      </c>
      <c r="O408" s="22" t="str">
        <f t="shared" si="211"/>
        <v>001006</v>
      </c>
      <c r="P408" s="22">
        <f t="shared" si="212"/>
        <v>34</v>
      </c>
      <c r="Q408" s="22"/>
      <c r="R408" s="23" t="s">
        <v>153</v>
      </c>
      <c r="S408" s="22">
        <f t="shared" si="213"/>
        <v>0.56999999999999995</v>
      </c>
      <c r="T408" s="24">
        <f t="shared" si="214"/>
        <v>0</v>
      </c>
      <c r="U408" s="25">
        <f t="shared" si="215"/>
        <v>2</v>
      </c>
      <c r="V408" s="26" t="str">
        <f t="shared" si="216"/>
        <v/>
      </c>
    </row>
    <row r="409" spans="1:22" ht="48.2" customHeight="1" x14ac:dyDescent="0.25">
      <c r="A409" s="17" t="str">
        <f>VLOOKUP(C409,[1]Werke!$A$1:$C$168,3,0)</f>
        <v>16D</v>
      </c>
      <c r="B409" s="17">
        <f>VLOOKUP(C409,[1]Werke!$A$1:$C$168,2,0)</f>
        <v>210</v>
      </c>
      <c r="C409" s="18" t="s">
        <v>226</v>
      </c>
      <c r="D409" s="17" t="str">
        <f>VLOOKUP(C409,[1]Maliteslimalan!$A$1:$B$210,2,0)</f>
        <v>8000012565</v>
      </c>
      <c r="E409" s="19">
        <f>VLOOKUP(C409,[1]Bestellnr.!$A$1:$B$174,2,0)</f>
        <v>0</v>
      </c>
      <c r="F409" s="20" t="str">
        <f t="shared" si="207"/>
        <v>N   912 177 01</v>
      </c>
      <c r="G409" s="21">
        <v>930789003</v>
      </c>
      <c r="H409" s="17">
        <f t="shared" si="208"/>
        <v>0.10407</v>
      </c>
      <c r="I409" s="20"/>
      <c r="J409" s="17">
        <f t="shared" si="209"/>
        <v>120</v>
      </c>
      <c r="K409" s="17">
        <f t="shared" si="210"/>
        <v>0</v>
      </c>
      <c r="L409" s="22">
        <v>10</v>
      </c>
      <c r="M409" s="22">
        <v>30</v>
      </c>
      <c r="N409" s="22">
        <v>111444</v>
      </c>
      <c r="O409" s="22" t="str">
        <f t="shared" si="211"/>
        <v>001006</v>
      </c>
      <c r="P409" s="22">
        <f t="shared" si="212"/>
        <v>34</v>
      </c>
      <c r="Q409" s="22"/>
      <c r="R409" s="23" t="s">
        <v>153</v>
      </c>
      <c r="S409" s="22">
        <f t="shared" si="213"/>
        <v>0.56999999999999995</v>
      </c>
      <c r="T409" s="24">
        <f t="shared" si="214"/>
        <v>0</v>
      </c>
      <c r="U409" s="25">
        <f t="shared" si="215"/>
        <v>2</v>
      </c>
      <c r="V409" s="26" t="str">
        <f t="shared" si="216"/>
        <v/>
      </c>
    </row>
    <row r="410" spans="1:22" ht="48.2" customHeight="1" x14ac:dyDescent="0.25">
      <c r="A410" s="17" t="str">
        <f>VLOOKUP(C410,[1]Werke!$A$1:$C$168,3,0)</f>
        <v>K3</v>
      </c>
      <c r="B410" s="17">
        <f>VLOOKUP(C410,[1]Werke!$A$1:$C$168,2,0)</f>
        <v>501</v>
      </c>
      <c r="C410" s="18">
        <v>15501</v>
      </c>
      <c r="D410" s="17">
        <f>VLOOKUP(C410,[1]Maliteslimalan!$A$1:$B$210,2,0)</f>
        <v>8000012800</v>
      </c>
      <c r="E410" s="19">
        <v>6</v>
      </c>
      <c r="F410" s="20" t="str">
        <f t="shared" si="207"/>
        <v>N   912 177 01</v>
      </c>
      <c r="G410" s="21">
        <v>930789003</v>
      </c>
      <c r="H410" s="17">
        <f t="shared" si="208"/>
        <v>0.10407</v>
      </c>
      <c r="I410" s="20"/>
      <c r="J410" s="17">
        <f t="shared" si="209"/>
        <v>120</v>
      </c>
      <c r="K410" s="17">
        <f t="shared" si="210"/>
        <v>0</v>
      </c>
      <c r="L410" s="22">
        <v>10</v>
      </c>
      <c r="M410" s="22">
        <v>30</v>
      </c>
      <c r="N410" s="22">
        <v>111444</v>
      </c>
      <c r="O410" s="22" t="str">
        <f t="shared" si="211"/>
        <v>001006</v>
      </c>
      <c r="P410" s="22">
        <f t="shared" si="212"/>
        <v>34</v>
      </c>
      <c r="Q410" s="22"/>
      <c r="R410" s="23" t="s">
        <v>153</v>
      </c>
      <c r="S410" s="22">
        <f t="shared" si="213"/>
        <v>0.56999999999999995</v>
      </c>
      <c r="T410" s="24">
        <f t="shared" si="214"/>
        <v>0</v>
      </c>
      <c r="U410" s="25">
        <f t="shared" si="215"/>
        <v>2</v>
      </c>
      <c r="V410" s="26" t="str">
        <f t="shared" si="216"/>
        <v/>
      </c>
    </row>
    <row r="411" spans="1:22" ht="48" customHeight="1" x14ac:dyDescent="0.25">
      <c r="A411" s="17">
        <f>VLOOKUP(C411,[1]Werke!$A$1:$C$168,3,0)</f>
        <v>11</v>
      </c>
      <c r="B411" s="17" t="str">
        <f>VLOOKUP(C411,[1]Werke!$A$1:$C$168,2,0)</f>
        <v>AKL</v>
      </c>
      <c r="C411" s="18" t="s">
        <v>253</v>
      </c>
      <c r="D411" s="17" t="str">
        <f>VLOOKUP(C411,[1]Maliteslimalan!$A$1:$B$210,2,0)</f>
        <v>8000012831</v>
      </c>
      <c r="E411" s="19" t="str">
        <f>VLOOKUP(C411,[1]Bestellnr.!$A$1:$B$174,2,0)</f>
        <v>000006</v>
      </c>
      <c r="F411" s="20" t="str">
        <f t="shared" si="207"/>
        <v>N   912 177 01</v>
      </c>
      <c r="G411" s="21">
        <v>930789003</v>
      </c>
      <c r="H411" s="17">
        <f t="shared" si="208"/>
        <v>0.10407</v>
      </c>
      <c r="I411" s="20"/>
      <c r="J411" s="17">
        <f t="shared" si="209"/>
        <v>120</v>
      </c>
      <c r="K411" s="17">
        <f t="shared" si="210"/>
        <v>0</v>
      </c>
      <c r="L411" s="22">
        <v>20</v>
      </c>
      <c r="M411" s="22">
        <v>60</v>
      </c>
      <c r="N411" s="22" t="s">
        <v>155</v>
      </c>
      <c r="O411" s="22" t="str">
        <f t="shared" si="211"/>
        <v>001210</v>
      </c>
      <c r="P411" s="22">
        <f t="shared" si="212"/>
        <v>55</v>
      </c>
      <c r="Q411" s="22"/>
      <c r="R411" s="23" t="s">
        <v>153</v>
      </c>
      <c r="S411" s="22">
        <f t="shared" si="213"/>
        <v>0.56999999999999995</v>
      </c>
      <c r="T411" s="24">
        <f t="shared" si="214"/>
        <v>0</v>
      </c>
      <c r="U411" s="25">
        <f t="shared" si="215"/>
        <v>2</v>
      </c>
      <c r="V411" s="26" t="str">
        <f t="shared" si="216"/>
        <v/>
      </c>
    </row>
    <row r="412" spans="1:22" ht="48.2" customHeight="1" x14ac:dyDescent="0.25">
      <c r="A412" s="17" t="str">
        <f>VLOOKUP(C412,[1]Werke!$A$1:$C$168,3,0)</f>
        <v>OS</v>
      </c>
      <c r="B412" s="17" t="str">
        <f>VLOOKUP(C412,[1]Werke!$A$1:$C$168,2,0)</f>
        <v>OSN</v>
      </c>
      <c r="C412" s="18" t="s">
        <v>286</v>
      </c>
      <c r="D412" s="17">
        <f>VLOOKUP(C412,[1]Maliteslimalan!$A$1:$B$210,2,0)</f>
        <v>8000012597</v>
      </c>
      <c r="E412" s="19" t="str">
        <f>VLOOKUP(C412,[1]Bestellnr.!$A$1:$B$174,2,0)</f>
        <v>000006</v>
      </c>
      <c r="F412" s="20" t="str">
        <f t="shared" si="207"/>
        <v>N   912 177 01</v>
      </c>
      <c r="G412" s="21">
        <v>930789003</v>
      </c>
      <c r="H412" s="17">
        <f t="shared" si="208"/>
        <v>0.10407</v>
      </c>
      <c r="I412" s="20"/>
      <c r="J412" s="17">
        <f t="shared" si="209"/>
        <v>120</v>
      </c>
      <c r="K412" s="17">
        <f t="shared" si="210"/>
        <v>0</v>
      </c>
      <c r="L412" s="22">
        <v>10</v>
      </c>
      <c r="M412" s="22">
        <v>30</v>
      </c>
      <c r="N412" s="22">
        <v>111444</v>
      </c>
      <c r="O412" s="22" t="str">
        <f t="shared" si="211"/>
        <v>001006</v>
      </c>
      <c r="P412" s="22">
        <f t="shared" si="212"/>
        <v>34</v>
      </c>
      <c r="Q412" s="22"/>
      <c r="R412" s="23" t="s">
        <v>153</v>
      </c>
      <c r="S412" s="22">
        <f t="shared" si="213"/>
        <v>0.56999999999999995</v>
      </c>
      <c r="T412" s="24">
        <f t="shared" si="214"/>
        <v>0</v>
      </c>
      <c r="U412" s="25">
        <f t="shared" si="215"/>
        <v>2</v>
      </c>
      <c r="V412" s="26" t="str">
        <f t="shared" si="216"/>
        <v/>
      </c>
    </row>
    <row r="413" spans="1:22" ht="48.2" customHeight="1" x14ac:dyDescent="0.25">
      <c r="A413" s="17" t="str">
        <f>VLOOKUP(C413,[1]Werke!$A$1:$C$168,3,0)</f>
        <v>3R</v>
      </c>
      <c r="B413" s="17" t="str">
        <f>VLOOKUP(C413,[1]Werke!$A$1:$C$168,2,0)</f>
        <v>BC9</v>
      </c>
      <c r="C413" s="18" t="s">
        <v>244</v>
      </c>
      <c r="D413" s="17">
        <f>VLOOKUP(C413,[1]Maliteslimalan!$A$1:$B$210,2,0)</f>
        <v>8000017021</v>
      </c>
      <c r="E413" s="19">
        <v>6</v>
      </c>
      <c r="F413" s="20" t="str">
        <f t="shared" si="207"/>
        <v>N   912 177 01</v>
      </c>
      <c r="G413" s="21">
        <v>930789003</v>
      </c>
      <c r="H413" s="17">
        <f t="shared" si="208"/>
        <v>0.10407</v>
      </c>
      <c r="I413" s="20"/>
      <c r="J413" s="17">
        <f t="shared" si="209"/>
        <v>120</v>
      </c>
      <c r="K413" s="17">
        <f t="shared" si="210"/>
        <v>0</v>
      </c>
      <c r="L413" s="22">
        <v>10</v>
      </c>
      <c r="M413" s="22">
        <v>30</v>
      </c>
      <c r="N413" s="22">
        <v>111444</v>
      </c>
      <c r="O413" s="22" t="str">
        <f t="shared" si="211"/>
        <v>001006</v>
      </c>
      <c r="P413" s="22">
        <f t="shared" si="212"/>
        <v>34</v>
      </c>
      <c r="Q413" s="22"/>
      <c r="R413" s="23" t="s">
        <v>153</v>
      </c>
      <c r="S413" s="22">
        <f t="shared" si="213"/>
        <v>0.56999999999999995</v>
      </c>
      <c r="T413" s="24">
        <f t="shared" si="214"/>
        <v>0</v>
      </c>
      <c r="U413" s="25">
        <f t="shared" si="215"/>
        <v>2</v>
      </c>
      <c r="V413" s="26" t="str">
        <f t="shared" si="216"/>
        <v/>
      </c>
    </row>
    <row r="414" spans="1:22" ht="48.2" customHeight="1" x14ac:dyDescent="0.25">
      <c r="A414" s="17"/>
      <c r="B414" s="17"/>
      <c r="C414" s="18"/>
      <c r="D414" s="17"/>
      <c r="E414" s="19"/>
      <c r="F414" s="20"/>
      <c r="G414" s="21"/>
      <c r="H414" s="17"/>
      <c r="I414" s="20"/>
      <c r="J414" s="17"/>
      <c r="K414" s="17"/>
      <c r="L414" s="22"/>
      <c r="M414" s="22"/>
      <c r="N414" s="22"/>
      <c r="O414" s="22"/>
      <c r="P414" s="22"/>
      <c r="Q414" s="22"/>
      <c r="R414" s="23"/>
      <c r="S414" s="22"/>
      <c r="T414" s="24"/>
      <c r="U414" s="25"/>
    </row>
    <row r="415" spans="1:22" ht="48.2" customHeight="1" x14ac:dyDescent="0.25">
      <c r="A415" s="17">
        <f>VLOOKUP(C415,[1]Werke!$A$1:$C$168,3,0)</f>
        <v>14</v>
      </c>
      <c r="B415" s="17" t="str">
        <f>VLOOKUP(C415,[1]Werke!$A$1:$C$168,2,0)</f>
        <v>D85</v>
      </c>
      <c r="C415" s="18" t="s">
        <v>239</v>
      </c>
      <c r="D415" s="17" t="str">
        <f>VLOOKUP(C415,[1]Maliteslimalan!$A$1:$B$210,2,0)</f>
        <v>8000012682</v>
      </c>
      <c r="E415" s="19">
        <f>VLOOKUP(C415,[1]Bestellnr.!$A$1:$B$174,2,0)</f>
        <v>0</v>
      </c>
      <c r="F415" s="20" t="str">
        <f>VLOOKUP(G415,$U$1:$V$1730,2,0)</f>
        <v>N   912 261 01</v>
      </c>
      <c r="G415" s="21">
        <v>931781000</v>
      </c>
      <c r="H415" s="17">
        <f>VLOOKUP(G415,Z$2:AA$1905,2,FALSE)</f>
        <v>3.6630000000000003E-2</v>
      </c>
      <c r="I415" s="20"/>
      <c r="J415" s="17">
        <v>300</v>
      </c>
      <c r="K415" s="17">
        <f>I415/J415</f>
        <v>0</v>
      </c>
      <c r="L415" s="22">
        <v>20</v>
      </c>
      <c r="M415" s="22">
        <v>20</v>
      </c>
      <c r="N415" s="22" t="s">
        <v>155</v>
      </c>
      <c r="O415" s="22" t="str">
        <f>VLOOKUP(N415,$AL$1285:$AM$1310,2,FALSE)</f>
        <v>001210</v>
      </c>
      <c r="P415" s="22">
        <f>VLOOKUP(N415,AC$2:AD$1905,2,FALSE)</f>
        <v>55</v>
      </c>
      <c r="Q415" s="22"/>
      <c r="R415" s="23" t="s">
        <v>153</v>
      </c>
      <c r="S415" s="22">
        <f>VLOOKUP(R415,AC$2:AD$1905,2,FALSE)</f>
        <v>0.56999999999999995</v>
      </c>
      <c r="T415" s="24">
        <f>(H415*I415)+P415*Q415+S415*K415</f>
        <v>0</v>
      </c>
      <c r="U415" s="25">
        <f>IF(TRIM(N415&amp;"")="111444",
    IF(ROUNDUP(MAX(0,K415-(MAX(1,Q415)-1)*10)/10,0)=1,3,2),
    IF(TRIM(N415&amp;"")="VWPAL",
        IF(TRIM(R415&amp;"")="004147",1,2),
        ""
    )
)</f>
        <v>2</v>
      </c>
      <c r="V415" s="26" t="str">
        <f>IF(OR(TRIM(N415&amp;"")="111444",TRIM(N415&amp;"")="VWPAL"),
    IF(K415&lt;=0,"",
        IF(
            MIN(3,ROUNDUP(MAX(0,K415-(MAX(1,Q415)-1)*IF(TRIM(N415&amp;"")="111444",10,20))/IF(TRIM(N415&amp;"")="111444",10,20),0))=1,
            300,
            IF(
                MIN(3,ROUNDUP(MAX(0,K415-(MAX(1,Q415)-1)*IF(TRIM(N415&amp;"")="111444",10,20))/IF(TRIM(N415&amp;"")="111444",10,20),0))=2,
                450,
                600
            )
        )
    ),
    ""
)</f>
        <v/>
      </c>
    </row>
    <row r="416" spans="1:22" ht="48.2" customHeight="1" x14ac:dyDescent="0.25">
      <c r="A416" s="17" t="str">
        <f>VLOOKUP(C416,[1]Werke!$A$1:$C$168,3,0)</f>
        <v>LD</v>
      </c>
      <c r="B416" s="17" t="str">
        <f>VLOOKUP(C416,[1]Werke!$A$1:$C$168,2,0)</f>
        <v>SLD</v>
      </c>
      <c r="C416" s="18">
        <v>83630</v>
      </c>
      <c r="D416" s="17" t="str">
        <f>VLOOKUP(C416,[1]Maliteslimalan!$A$1:$B$210,2,0)</f>
        <v>8000012862</v>
      </c>
      <c r="E416" s="19" t="str">
        <f>VLOOKUP(C416,[1]Bestellnr.!$A$1:$B$174,2,0)</f>
        <v>000006</v>
      </c>
      <c r="F416" s="20" t="str">
        <f>VLOOKUP(G416,$U$1:$V$1730,2,0)</f>
        <v>N   912 261 01</v>
      </c>
      <c r="G416" s="21">
        <v>931781000</v>
      </c>
      <c r="H416" s="17">
        <f>VLOOKUP(G416,Z$2:AA$1905,2,FALSE)</f>
        <v>3.6630000000000003E-2</v>
      </c>
      <c r="I416" s="20"/>
      <c r="J416" s="17">
        <f>VLOOKUP(G416,W$2:X$1905,2,FALSE)</f>
        <v>300</v>
      </c>
      <c r="K416" s="17">
        <f>I416/J416</f>
        <v>0</v>
      </c>
      <c r="L416" s="22">
        <v>10</v>
      </c>
      <c r="M416" s="22">
        <v>30</v>
      </c>
      <c r="N416" s="22">
        <v>111444</v>
      </c>
      <c r="O416" s="22" t="str">
        <f>VLOOKUP(N416,$AL$1285:$AM$1310,2,FALSE)</f>
        <v>001006</v>
      </c>
      <c r="P416" s="22">
        <f>VLOOKUP(N416,AC$2:AD$1905,2,FALSE)</f>
        <v>34</v>
      </c>
      <c r="Q416" s="22"/>
      <c r="R416" s="23" t="s">
        <v>153</v>
      </c>
      <c r="S416" s="22">
        <f>VLOOKUP(R416,AC$2:AD$1905,2,FALSE)</f>
        <v>0.56999999999999995</v>
      </c>
      <c r="T416" s="24">
        <f>(H416*I416)+P416*Q416+S416*K416</f>
        <v>0</v>
      </c>
      <c r="U416" s="25">
        <f>IF(TRIM(N416&amp;"")="111444",
    IF(ROUNDUP(MAX(0,K416-(MAX(1,Q416)-1)*10)/10,0)=1,3,2),
    IF(TRIM(N416&amp;"")="VWPAL",
        IF(TRIM(R416&amp;"")="004147",1,2),
        ""
    )
)</f>
        <v>2</v>
      </c>
      <c r="V416" s="26" t="str">
        <f>IF(OR(TRIM(N416&amp;"")="111444",TRIM(N416&amp;"")="VWPAL"),
    IF(K416&lt;=0,"",
        IF(
            MIN(3,ROUNDUP(MAX(0,K416-(MAX(1,Q416)-1)*IF(TRIM(N416&amp;"")="111444",10,20))/IF(TRIM(N416&amp;"")="111444",10,20),0))=1,
            300,
            IF(
                MIN(3,ROUNDUP(MAX(0,K416-(MAX(1,Q416)-1)*IF(TRIM(N416&amp;"")="111444",10,20))/IF(TRIM(N416&amp;"")="111444",10,20),0))=2,
                450,
                600
            )
        )
    ),
    ""
)</f>
        <v/>
      </c>
    </row>
    <row r="417" spans="1:22" ht="48.2" customHeight="1" x14ac:dyDescent="0.25">
      <c r="A417" s="17" t="str">
        <f>VLOOKUP(C417,[1]Werke!$A$1:$C$168,3,0)</f>
        <v>3P</v>
      </c>
      <c r="B417" s="17" t="str">
        <f>VLOOKUP(C417,[1]Werke!$A$1:$C$168,2,0)</f>
        <v>BP4</v>
      </c>
      <c r="C417" s="18" t="s">
        <v>234</v>
      </c>
      <c r="D417" s="17" t="str">
        <f>VLOOKUP(C417,[1]Maliteslimalan!$A$1:$B$210,2,0)</f>
        <v>8000012617</v>
      </c>
      <c r="E417" s="19" t="str">
        <f>VLOOKUP(C417,[1]Bestellnr.!$A$1:$B$174,2,0)</f>
        <v>000055</v>
      </c>
      <c r="F417" s="20" t="str">
        <f>VLOOKUP(G417,$U$1:$V$1730,2,0)</f>
        <v>N   912 261 01</v>
      </c>
      <c r="G417" s="21">
        <v>931781000</v>
      </c>
      <c r="H417" s="17">
        <f>VLOOKUP(G417,Z$2:AA$1905,2,FALSE)</f>
        <v>3.6630000000000003E-2</v>
      </c>
      <c r="I417" s="20"/>
      <c r="J417" s="17">
        <f>VLOOKUP(G417,W$2:X$1905,2,FALSE)</f>
        <v>300</v>
      </c>
      <c r="K417" s="17">
        <f>I417/J417</f>
        <v>0</v>
      </c>
      <c r="L417" s="22">
        <v>10</v>
      </c>
      <c r="M417" s="22">
        <v>30</v>
      </c>
      <c r="N417" s="22">
        <v>111444</v>
      </c>
      <c r="O417" s="22" t="str">
        <f>VLOOKUP(N417,$AL$1285:$AM$1310,2,FALSE)</f>
        <v>001006</v>
      </c>
      <c r="P417" s="22">
        <f>VLOOKUP(N417,AC$2:AD$1905,2,FALSE)</f>
        <v>34</v>
      </c>
      <c r="Q417" s="22"/>
      <c r="R417" s="23" t="s">
        <v>153</v>
      </c>
      <c r="S417" s="22">
        <f>VLOOKUP(R417,AC$2:AD$1905,2,FALSE)</f>
        <v>0.56999999999999995</v>
      </c>
      <c r="T417" s="24">
        <f>(H417*I417)+P417*Q417+S417*K417</f>
        <v>0</v>
      </c>
      <c r="U417" s="25">
        <f>IF(TRIM(N417&amp;"")="111444",
    IF(ROUNDUP(MAX(0,K417-(MAX(1,Q417)-1)*10)/10,0)=1,3,2),
    IF(TRIM(N417&amp;"")="VWPAL",
        IF(TRIM(R417&amp;"")="004147",1,2),
        ""
    )
)</f>
        <v>2</v>
      </c>
      <c r="V417" s="26" t="str">
        <f>IF(OR(TRIM(N417&amp;"")="111444",TRIM(N417&amp;"")="VWPAL"),
    IF(K417&lt;=0,"",
        IF(
            MIN(3,ROUNDUP(MAX(0,K417-(MAX(1,Q417)-1)*IF(TRIM(N417&amp;"")="111444",10,20))/IF(TRIM(N417&amp;"")="111444",10,20),0))=1,
            300,
            IF(
                MIN(3,ROUNDUP(MAX(0,K417-(MAX(1,Q417)-1)*IF(TRIM(N417&amp;"")="111444",10,20))/IF(TRIM(N417&amp;"")="111444",10,20),0))=2,
                450,
                600
            )
        )
    ),
    ""
)</f>
        <v/>
      </c>
    </row>
    <row r="418" spans="1:22" ht="48.2" customHeight="1" x14ac:dyDescent="0.25">
      <c r="A418" s="17" t="str">
        <f>VLOOKUP(C418,[1]Werke!$A$1:$C$168,3,0)</f>
        <v>3T</v>
      </c>
      <c r="B418" s="17" t="str">
        <f>VLOOKUP(C418,[1]Werke!$A$1:$C$168,2,0)</f>
        <v>BZ5</v>
      </c>
      <c r="C418" s="18" t="s">
        <v>242</v>
      </c>
      <c r="D418" s="17">
        <f>VLOOKUP(C418,[1]Maliteslimalan!$A$1:$B$210,2,0)</f>
        <v>8000012711</v>
      </c>
      <c r="E418" s="19">
        <v>6</v>
      </c>
      <c r="F418" s="20" t="str">
        <f>VLOOKUP(G418,$U$1:$V$1730,2,0)</f>
        <v>N   912 261 01</v>
      </c>
      <c r="G418" s="21">
        <v>931781000</v>
      </c>
      <c r="H418" s="17">
        <f>VLOOKUP(G418,Z$2:AA$1905,2,FALSE)</f>
        <v>3.6630000000000003E-2</v>
      </c>
      <c r="I418" s="20"/>
      <c r="J418" s="17">
        <f>VLOOKUP(G418,W$2:X$1905,2,FALSE)</f>
        <v>300</v>
      </c>
      <c r="K418" s="17">
        <f>I418/J418</f>
        <v>0</v>
      </c>
      <c r="L418" s="22">
        <v>10</v>
      </c>
      <c r="M418" s="22">
        <v>30</v>
      </c>
      <c r="N418" s="22">
        <v>111444</v>
      </c>
      <c r="O418" s="22" t="str">
        <f>VLOOKUP(N418,$AL$1285:$AM$1310,2,FALSE)</f>
        <v>001006</v>
      </c>
      <c r="P418" s="22">
        <f>VLOOKUP(N418,AC$2:AD$1905,2,FALSE)</f>
        <v>34</v>
      </c>
      <c r="Q418" s="22"/>
      <c r="R418" s="23" t="s">
        <v>153</v>
      </c>
      <c r="S418" s="22">
        <f>VLOOKUP(R418,AC$2:AD$1905,2,FALSE)</f>
        <v>0.56999999999999995</v>
      </c>
      <c r="T418" s="24">
        <f>(H418*I418)+P418*Q418+S418*K418</f>
        <v>0</v>
      </c>
      <c r="U418" s="25">
        <f>IF(TRIM(N418&amp;"")="111444",
    IF(ROUNDUP(MAX(0,K418-(MAX(1,Q418)-1)*10)/10,0)=1,3,2),
    IF(TRIM(N418&amp;"")="VWPAL",
        IF(TRIM(R418&amp;"")="004147",1,2),
        ""
    )
)</f>
        <v>2</v>
      </c>
      <c r="V418" s="26" t="str">
        <f>IF(OR(TRIM(N418&amp;"")="111444",TRIM(N418&amp;"")="VWPAL"),
    IF(K418&lt;=0,"",
        IF(
            MIN(3,ROUNDUP(MAX(0,K418-(MAX(1,Q418)-1)*IF(TRIM(N418&amp;"")="111444",10,20))/IF(TRIM(N418&amp;"")="111444",10,20),0))=1,
            300,
            IF(
                MIN(3,ROUNDUP(MAX(0,K418-(MAX(1,Q418)-1)*IF(TRIM(N418&amp;"")="111444",10,20))/IF(TRIM(N418&amp;"")="111444",10,20),0))=2,
                450,
                600
            )
        )
    ),
    ""
)</f>
        <v/>
      </c>
    </row>
    <row r="419" spans="1:22" ht="48.2" customHeight="1" x14ac:dyDescent="0.25">
      <c r="A419" s="17"/>
      <c r="B419" s="17"/>
      <c r="C419" s="18"/>
      <c r="D419" s="17"/>
      <c r="E419" s="19"/>
      <c r="F419" s="20"/>
      <c r="G419" s="21"/>
      <c r="H419" s="17"/>
      <c r="I419" s="20"/>
      <c r="J419" s="17"/>
      <c r="K419" s="17"/>
      <c r="L419" s="22"/>
      <c r="M419" s="22"/>
      <c r="N419" s="22"/>
      <c r="O419" s="22"/>
      <c r="P419" s="22"/>
      <c r="Q419" s="22"/>
      <c r="R419" s="23"/>
      <c r="S419" s="22"/>
      <c r="T419" s="24"/>
      <c r="U419" s="25"/>
    </row>
    <row r="420" spans="1:22" ht="48.2" customHeight="1" x14ac:dyDescent="0.25">
      <c r="A420" s="17">
        <f>VLOOKUP(C420,[1]Werke!$A$1:$C$168,3,0)</f>
        <v>21</v>
      </c>
      <c r="B420" s="17" t="str">
        <f>VLOOKUP(C420,[1]Werke!$A$1:$C$168,2,0)</f>
        <v>GZD</v>
      </c>
      <c r="C420" s="18" t="s">
        <v>223</v>
      </c>
      <c r="D420" s="17" t="str">
        <f>VLOOKUP(C420,[1]Maliteslimalan!$A$1:$B$210,2,0)</f>
        <v>8000012572</v>
      </c>
      <c r="E420" s="19" t="str">
        <f>VLOOKUP(C420,[1]Bestellnr.!$A$1:$B$174,2,0)</f>
        <v>000006</v>
      </c>
      <c r="F420" s="20" t="str">
        <f>VLOOKUP(G420,$U$1:$V$1730,2,0)</f>
        <v>N   912 280 01</v>
      </c>
      <c r="G420" s="21">
        <v>936769000</v>
      </c>
      <c r="H420" s="17">
        <f>VLOOKUP(G420,Z$2:AA$1905,2,FALSE)</f>
        <v>0.22858000000000001</v>
      </c>
      <c r="I420" s="20"/>
      <c r="J420" s="17">
        <v>60</v>
      </c>
      <c r="K420" s="17">
        <f>I420/J420</f>
        <v>0</v>
      </c>
      <c r="L420" s="22">
        <v>10</v>
      </c>
      <c r="M420" s="22">
        <v>60</v>
      </c>
      <c r="N420" s="22" t="s">
        <v>155</v>
      </c>
      <c r="O420" s="22" t="str">
        <f>VLOOKUP(N420,$AL$1285:$AM$1310,2,FALSE)</f>
        <v>001210</v>
      </c>
      <c r="P420" s="22">
        <f>VLOOKUP(N420,AC$2:AD$1905,2,FALSE)</f>
        <v>55</v>
      </c>
      <c r="Q420" s="22"/>
      <c r="R420" s="23" t="s">
        <v>175</v>
      </c>
      <c r="S420" s="22">
        <f>VLOOKUP(R420,AC$2:AD$1905,2,FALSE)</f>
        <v>1.08</v>
      </c>
      <c r="T420" s="24">
        <f>(H420*I420)+P420*Q420+S420*K420</f>
        <v>0</v>
      </c>
      <c r="U420" s="25">
        <f>IF(TRIM(N420&amp;"")="111444",
    IF(ROUNDUP(MAX(0,K420-(MAX(1,Q420)-1)*10)/10,0)=1,3,2),
    IF(TRIM(N420&amp;"")="VWPAL",
        IF(TRIM(R420&amp;"")="004147",1,2),
        ""
    )
)</f>
        <v>1</v>
      </c>
      <c r="V420" s="26" t="str">
        <f>IF(OR(TRIM(N420&amp;"")="111444",TRIM(N420&amp;"")="VWPAL"),
    IF(K420&lt;=0,"",
        IF(
            MIN(3,ROUNDUP(MAX(0,K420-(MAX(1,Q420)-1)*IF(TRIM(N420&amp;"")="111444",10,20))/IF(TRIM(N420&amp;"")="111444",10,20),0))=1,
            300,
            IF(
                MIN(3,ROUNDUP(MAX(0,K420-(MAX(1,Q420)-1)*IF(TRIM(N420&amp;"")="111444",10,20))/IF(TRIM(N420&amp;"")="111444",10,20),0))=2,
                450,
                600
            )
        )
    ),
    ""
)</f>
        <v/>
      </c>
    </row>
    <row r="421" spans="1:22" ht="48.2" customHeight="1" x14ac:dyDescent="0.25">
      <c r="A421" s="17">
        <f>VLOOKUP(C421,[1]Werke!$A$1:$C$168,3,0)</f>
        <v>22</v>
      </c>
      <c r="B421" s="17" t="str">
        <f>VLOOKUP(C421,[1]Werke!$A$1:$C$168,2,0)</f>
        <v>13P</v>
      </c>
      <c r="C421" s="18" t="s">
        <v>230</v>
      </c>
      <c r="D421" s="17" t="str">
        <f>VLOOKUP(C421,[1]Maliteslimalan!$A$1:$B$210,2,0)</f>
        <v>8000013344</v>
      </c>
      <c r="E421" s="19" t="str">
        <f>VLOOKUP(C421,[1]Bestellnr.!$A$1:$B$174,2,0)</f>
        <v>000006</v>
      </c>
      <c r="F421" s="20" t="str">
        <f>VLOOKUP(G421,$U$1:$V$1730,2,0)</f>
        <v>N   912 280 01</v>
      </c>
      <c r="G421" s="21">
        <v>936769000</v>
      </c>
      <c r="H421" s="17">
        <f>VLOOKUP(G421,Z$2:AA$1905,2,FALSE)</f>
        <v>0.22858000000000001</v>
      </c>
      <c r="I421" s="20"/>
      <c r="J421" s="17">
        <v>60</v>
      </c>
      <c r="K421" s="17">
        <f>I421/J421</f>
        <v>0</v>
      </c>
      <c r="L421" s="22">
        <v>10</v>
      </c>
      <c r="M421" s="22">
        <v>60</v>
      </c>
      <c r="N421" s="22" t="s">
        <v>155</v>
      </c>
      <c r="O421" s="22" t="str">
        <f>VLOOKUP(N421,$AL$1285:$AM$1310,2,FALSE)</f>
        <v>001210</v>
      </c>
      <c r="P421" s="22">
        <f>VLOOKUP(N421,AC$2:AD$1905,2,FALSE)</f>
        <v>55</v>
      </c>
      <c r="Q421" s="22"/>
      <c r="R421" s="23" t="s">
        <v>175</v>
      </c>
      <c r="S421" s="22">
        <f>VLOOKUP(R421,AC$2:AD$1905,2,FALSE)</f>
        <v>1.08</v>
      </c>
      <c r="T421" s="24">
        <f>(H421*I421)+P421*Q421+S421*K421</f>
        <v>0</v>
      </c>
      <c r="U421" s="25">
        <f>IF(TRIM(N421&amp;"")="111444",
    IF(ROUNDUP(MAX(0,K421-(MAX(1,Q421)-1)*10)/10,0)=1,3,2),
    IF(TRIM(N421&amp;"")="VWPAL",
        IF(TRIM(R421&amp;"")="004147",1,2),
        ""
    )
)</f>
        <v>1</v>
      </c>
      <c r="V421" s="26" t="str">
        <f>IF(OR(TRIM(N421&amp;"")="111444",TRIM(N421&amp;"")="VWPAL"),
    IF(K421&lt;=0,"",
        IF(
            MIN(3,ROUNDUP(MAX(0,K421-(MAX(1,Q421)-1)*IF(TRIM(N421&amp;"")="111444",10,20))/IF(TRIM(N421&amp;"")="111444",10,20),0))=1,
            300,
            IF(
                MIN(3,ROUNDUP(MAX(0,K421-(MAX(1,Q421)-1)*IF(TRIM(N421&amp;"")="111444",10,20))/IF(TRIM(N421&amp;"")="111444",10,20),0))=2,
                450,
                600
            )
        )
    ),
    ""
)</f>
        <v/>
      </c>
    </row>
    <row r="422" spans="1:22" ht="48.2" customHeight="1" x14ac:dyDescent="0.25">
      <c r="A422" s="17">
        <f>VLOOKUP(C422,[1]Werke!$A$1:$C$168,3,0)</f>
        <v>14</v>
      </c>
      <c r="B422" s="17" t="str">
        <f>VLOOKUP(C422,[1]Werke!$A$1:$C$168,2,0)</f>
        <v>D86</v>
      </c>
      <c r="C422" s="18" t="s">
        <v>251</v>
      </c>
      <c r="D422" s="17" t="str">
        <f>VLOOKUP(C422,[1]Maliteslimalan!$A$1:$B$210,2,0)</f>
        <v>8000012642</v>
      </c>
      <c r="E422" s="19">
        <f>VLOOKUP(C422,[1]Bestellnr.!$A$1:$B$174,2,0)</f>
        <v>0</v>
      </c>
      <c r="F422" s="20" t="str">
        <f>VLOOKUP(G422,$U$1:$V$1730,2,0)</f>
        <v>N   912 280 01</v>
      </c>
      <c r="G422" s="21">
        <v>936769000</v>
      </c>
      <c r="H422" s="17">
        <f>VLOOKUP(G422,Z$2:AA$1905,2,FALSE)</f>
        <v>0.22858000000000001</v>
      </c>
      <c r="I422" s="20"/>
      <c r="J422" s="17">
        <v>40</v>
      </c>
      <c r="K422" s="17">
        <f>I422/J422</f>
        <v>0</v>
      </c>
      <c r="L422" s="22">
        <v>10</v>
      </c>
      <c r="M422" s="22">
        <v>30</v>
      </c>
      <c r="N422" s="22">
        <v>111444</v>
      </c>
      <c r="O422" s="22" t="str">
        <f>VLOOKUP(N422,$AL$1285:$AM$1310,2,FALSE)</f>
        <v>001006</v>
      </c>
      <c r="P422" s="22">
        <f>VLOOKUP(N422,AC$2:AD$1905,2,FALSE)</f>
        <v>34</v>
      </c>
      <c r="Q422" s="22"/>
      <c r="R422" s="23" t="s">
        <v>153</v>
      </c>
      <c r="S422" s="22">
        <f>VLOOKUP(R422,AC$2:AD$1905,2,FALSE)</f>
        <v>0.56999999999999995</v>
      </c>
      <c r="T422" s="24">
        <f>(H422*I422)+P422*Q422+S422*K422</f>
        <v>0</v>
      </c>
      <c r="U422" s="25">
        <f>IF(TRIM(N422&amp;"")="111444",
    IF(ROUNDUP(MAX(0,K422-(MAX(1,Q422)-1)*10)/10,0)=1,3,2),
    IF(TRIM(N422&amp;"")="VWPAL",
        IF(TRIM(R422&amp;"")="004147",1,2),
        ""
    )
)</f>
        <v>2</v>
      </c>
      <c r="V422" s="26" t="str">
        <f>IF(OR(TRIM(N422&amp;"")="111444",TRIM(N422&amp;"")="VWPAL"),
    IF(K422&lt;=0,"",
        IF(
            MIN(3,ROUNDUP(MAX(0,K422-(MAX(1,Q422)-1)*IF(TRIM(N422&amp;"")="111444",10,20))/IF(TRIM(N422&amp;"")="111444",10,20),0))=1,
            300,
            IF(
                MIN(3,ROUNDUP(MAX(0,K422-(MAX(1,Q422)-1)*IF(TRIM(N422&amp;"")="111444",10,20))/IF(TRIM(N422&amp;"")="111444",10,20),0))=2,
                450,
                600
            )
        )
    ),
    ""
)</f>
        <v/>
      </c>
    </row>
    <row r="423" spans="1:22" ht="48.2" customHeight="1" x14ac:dyDescent="0.25">
      <c r="A423" s="17">
        <f>VLOOKUP(C423,[1]Werke!$A$1:$C$168,3,0)</f>
        <v>24</v>
      </c>
      <c r="B423" s="17" t="str">
        <f>VLOOKUP(C423,[1]Werke!$A$1:$C$168,2,0)</f>
        <v>CKS</v>
      </c>
      <c r="C423" s="18" t="s">
        <v>245</v>
      </c>
      <c r="D423" s="17" t="str">
        <f>VLOOKUP(C423,[1]Maliteslimalan!$A$1:$B$210,2,0)</f>
        <v>8000012647</v>
      </c>
      <c r="E423" s="19" t="str">
        <f>VLOOKUP(C423,[1]Bestellnr.!$A$1:$B$174,2,0)</f>
        <v>000006</v>
      </c>
      <c r="F423" s="20" t="str">
        <f>VLOOKUP(G423,$U$1:$V$1730,2,0)</f>
        <v>N   912 280 01</v>
      </c>
      <c r="G423" s="21">
        <v>936769000</v>
      </c>
      <c r="H423" s="17">
        <f>VLOOKUP(G423,Z$2:AA$1905,2,FALSE)</f>
        <v>0.22858000000000001</v>
      </c>
      <c r="I423" s="20"/>
      <c r="J423" s="17">
        <v>60</v>
      </c>
      <c r="K423" s="17">
        <f>I423/J423</f>
        <v>0</v>
      </c>
      <c r="L423" s="22">
        <v>10</v>
      </c>
      <c r="M423" s="22">
        <v>30</v>
      </c>
      <c r="N423" s="22" t="s">
        <v>155</v>
      </c>
      <c r="O423" s="22" t="str">
        <f>VLOOKUP(N423,$AL$1285:$AM$1310,2,FALSE)</f>
        <v>001210</v>
      </c>
      <c r="P423" s="22">
        <f>VLOOKUP(N423,AC$2:AD$1905,2,FALSE)</f>
        <v>55</v>
      </c>
      <c r="Q423" s="22"/>
      <c r="R423" s="23" t="s">
        <v>175</v>
      </c>
      <c r="S423" s="22">
        <f>VLOOKUP(R423,AC$2:AD$1905,2,FALSE)</f>
        <v>1.08</v>
      </c>
      <c r="T423" s="24">
        <f>(H423*I423)+P423*Q423+S423*K423</f>
        <v>0</v>
      </c>
      <c r="U423" s="25">
        <f>IF(TRIM(N423&amp;"")="111444",
    IF(ROUNDUP(MAX(0,K423-(MAX(1,Q423)-1)*10)/10,0)=1,3,2),
    IF(TRIM(N423&amp;"")="VWPAL",
        IF(TRIM(R423&amp;"")="004147",1,2),
        ""
    )
)</f>
        <v>1</v>
      </c>
      <c r="V423" s="26" t="str">
        <f>IF(OR(TRIM(N423&amp;"")="111444",TRIM(N423&amp;"")="VWPAL"),
    IF(K423&lt;=0,"",
        IF(
            MIN(3,ROUNDUP(MAX(0,K423-(MAX(1,Q423)-1)*IF(TRIM(N423&amp;"")="111444",10,20))/IF(TRIM(N423&amp;"")="111444",10,20),0))=1,
            300,
            IF(
                MIN(3,ROUNDUP(MAX(0,K423-(MAX(1,Q423)-1)*IF(TRIM(N423&amp;"")="111444",10,20))/IF(TRIM(N423&amp;"")="111444",10,20),0))=2,
                450,
                600
            )
        )
    ),
    ""
)</f>
        <v/>
      </c>
    </row>
    <row r="424" spans="1:22" ht="48.2" customHeight="1" x14ac:dyDescent="0.25">
      <c r="A424" s="17"/>
      <c r="B424" s="17"/>
      <c r="C424" s="18"/>
      <c r="D424" s="17"/>
      <c r="E424" s="19"/>
      <c r="F424" s="20"/>
      <c r="G424" s="21"/>
      <c r="H424" s="17"/>
      <c r="I424" s="20"/>
      <c r="J424" s="17"/>
      <c r="K424" s="17"/>
      <c r="L424" s="22"/>
      <c r="M424" s="22"/>
      <c r="N424" s="22"/>
      <c r="O424" s="22"/>
      <c r="P424" s="22"/>
      <c r="Q424" s="22"/>
      <c r="R424" s="23"/>
      <c r="S424" s="22"/>
      <c r="T424" s="24"/>
      <c r="U424" s="25"/>
    </row>
    <row r="425" spans="1:22" ht="48.2" customHeight="1" x14ac:dyDescent="0.25">
      <c r="A425" s="17">
        <f>VLOOKUP(C425,[1]Werke!$A$1:$C$168,3,0)</f>
        <v>21</v>
      </c>
      <c r="B425" s="17" t="str">
        <f>VLOOKUP(C425,[1]Werke!$A$1:$C$168,2,0)</f>
        <v>GZD</v>
      </c>
      <c r="C425" s="18" t="s">
        <v>223</v>
      </c>
      <c r="D425" s="17" t="str">
        <f>VLOOKUP(C425,[1]Maliteslimalan!$A$1:$B$210,2,0)</f>
        <v>8000012572</v>
      </c>
      <c r="E425" s="19" t="str">
        <f>VLOOKUP(C425,[1]Bestellnr.!$A$1:$B$174,2,0)</f>
        <v>000006</v>
      </c>
      <c r="F425" s="20" t="str">
        <f>VLOOKUP(G425,$U$1:$V$1730,2,0)</f>
        <v>N   912 291 01</v>
      </c>
      <c r="G425" s="21">
        <v>968160000</v>
      </c>
      <c r="H425" s="17">
        <f>VLOOKUP(G425,Z$2:AA$1905,2,FALSE)</f>
        <v>1.677E-2</v>
      </c>
      <c r="I425" s="20"/>
      <c r="J425" s="17">
        <f>VLOOKUP(G425,W$2:X$1905,2,FALSE)</f>
        <v>800</v>
      </c>
      <c r="K425" s="17">
        <f>I425/J425</f>
        <v>0</v>
      </c>
      <c r="L425" s="22">
        <v>20</v>
      </c>
      <c r="M425" s="22">
        <v>40</v>
      </c>
      <c r="N425" s="22" t="s">
        <v>155</v>
      </c>
      <c r="O425" s="22" t="str">
        <f>VLOOKUP(N425,$AL$1285:$AM$1310,2,FALSE)</f>
        <v>001210</v>
      </c>
      <c r="P425" s="22">
        <f>VLOOKUP(N425,AC$2:AD$1905,2,FALSE)</f>
        <v>55</v>
      </c>
      <c r="Q425" s="22"/>
      <c r="R425" s="23" t="s">
        <v>153</v>
      </c>
      <c r="S425" s="22">
        <f>VLOOKUP(R425,AC$2:AD$1905,2,FALSE)</f>
        <v>0.56999999999999995</v>
      </c>
      <c r="T425" s="24">
        <f>(H425*I425)+P425*Q425+S425*K425</f>
        <v>0</v>
      </c>
      <c r="U425" s="25">
        <f>IF(TRIM(N425&amp;"")="111444",
    IF(ROUNDUP(MAX(0,K425-(MAX(1,Q425)-1)*10)/10,0)=1,3,2),
    IF(TRIM(N425&amp;"")="VWPAL",
        IF(TRIM(R425&amp;"")="004147",1,2),
        ""
    )
)</f>
        <v>2</v>
      </c>
      <c r="V425" s="26" t="str">
        <f>IF(OR(TRIM(N425&amp;"")="111444",TRIM(N425&amp;"")="VWPAL"),
    IF(K425&lt;=0,"",
        IF(
            MIN(3,ROUNDUP(MAX(0,K425-(MAX(1,Q425)-1)*IF(TRIM(N425&amp;"")="111444",10,20))/IF(TRIM(N425&amp;"")="111444",10,20),0))=1,
            300,
            IF(
                MIN(3,ROUNDUP(MAX(0,K425-(MAX(1,Q425)-1)*IF(TRIM(N425&amp;"")="111444",10,20))/IF(TRIM(N425&amp;"")="111444",10,20),0))=2,
                450,
                600
            )
        )
    ),
    ""
)</f>
        <v/>
      </c>
    </row>
    <row r="426" spans="1:22" ht="48.2" customHeight="1" x14ac:dyDescent="0.25">
      <c r="A426" s="17" t="str">
        <f>VLOOKUP(C426,[1]Werke!$A$1:$C$168,3,0)</f>
        <v>14S</v>
      </c>
      <c r="B426" s="17" t="str">
        <f>VLOOKUP(C426,[1]Werke!$A$1:$C$168,2,0)</f>
        <v>EX6</v>
      </c>
      <c r="C426" s="18" t="s">
        <v>287</v>
      </c>
      <c r="D426" s="17" t="str">
        <f>VLOOKUP(C426,[1]Maliteslimalan!$A$1:$B$210,2,0)</f>
        <v>8000014142</v>
      </c>
      <c r="E426" s="19" t="str">
        <f>VLOOKUP(C426,[1]Bestellnr.!$A$1:$B$174,2,0)</f>
        <v>000006</v>
      </c>
      <c r="F426" s="20" t="str">
        <f>VLOOKUP(G426,$U$1:$V$1730,2,0)</f>
        <v>N   912 291 01</v>
      </c>
      <c r="G426" s="21">
        <v>968160000</v>
      </c>
      <c r="H426" s="17">
        <f>VLOOKUP(G426,Z$2:AA$1905,2,FALSE)</f>
        <v>1.677E-2</v>
      </c>
      <c r="I426" s="20"/>
      <c r="J426" s="17">
        <f>VLOOKUP(G426,W$2:X$1905,2,FALSE)</f>
        <v>800</v>
      </c>
      <c r="K426" s="17">
        <f>I426/J426</f>
        <v>0</v>
      </c>
      <c r="L426" s="22">
        <v>20</v>
      </c>
      <c r="M426" s="22">
        <v>40</v>
      </c>
      <c r="N426" s="22" t="s">
        <v>155</v>
      </c>
      <c r="O426" s="22" t="str">
        <f>VLOOKUP(N426,$AL$1285:$AM$1310,2,FALSE)</f>
        <v>001210</v>
      </c>
      <c r="P426" s="22">
        <f>VLOOKUP(N426,AC$2:AD$1905,2,FALSE)</f>
        <v>55</v>
      </c>
      <c r="Q426" s="22"/>
      <c r="R426" s="23" t="s">
        <v>153</v>
      </c>
      <c r="S426" s="22">
        <f>VLOOKUP(R426,AC$2:AD$1905,2,FALSE)</f>
        <v>0.56999999999999995</v>
      </c>
      <c r="T426" s="24">
        <f>(H426*I426)+P426*Q426+S426*K426</f>
        <v>0</v>
      </c>
      <c r="U426" s="25">
        <f>IF(TRIM(N426&amp;"")="111444",
    IF(ROUNDUP(MAX(0,K426-(MAX(1,Q426)-1)*10)/10,0)=1,3,2),
    IF(TRIM(N426&amp;"")="VWPAL",
        IF(TRIM(R426&amp;"")="004147",1,2),
        ""
    )
)</f>
        <v>2</v>
      </c>
      <c r="V426" s="26" t="str">
        <f>IF(OR(TRIM(N426&amp;"")="111444",TRIM(N426&amp;"")="VWPAL"),
    IF(K426&lt;=0,"",
        IF(
            MIN(3,ROUNDUP(MAX(0,K426-(MAX(1,Q426)-1)*IF(TRIM(N426&amp;"")="111444",10,20))/IF(TRIM(N426&amp;"")="111444",10,20),0))=1,
            300,
            IF(
                MIN(3,ROUNDUP(MAX(0,K426-(MAX(1,Q426)-1)*IF(TRIM(N426&amp;"")="111444",10,20))/IF(TRIM(N426&amp;"")="111444",10,20),0))=2,
                450,
                600
            )
        )
    ),
    ""
)</f>
        <v/>
      </c>
    </row>
    <row r="427" spans="1:22" ht="48.2" customHeight="1" x14ac:dyDescent="0.25">
      <c r="A427" s="17">
        <f>VLOOKUP(C427,[1]Werke!$A$1:$C$168,3,0)</f>
        <v>11</v>
      </c>
      <c r="B427" s="17" t="str">
        <f>VLOOKUP(C427,[1]Werke!$A$1:$C$168,2,0)</f>
        <v>03A</v>
      </c>
      <c r="C427" s="18" t="s">
        <v>277</v>
      </c>
      <c r="D427" s="17" t="str">
        <f>VLOOKUP(C427,[1]Maliteslimalan!$A$1:$B$210,2,0)</f>
        <v>8000012601</v>
      </c>
      <c r="E427" s="19" t="str">
        <f>VLOOKUP(C427,[1]Bestellnr.!$A$1:$B$174,2,0)</f>
        <v>000006</v>
      </c>
      <c r="F427" s="20" t="str">
        <f>VLOOKUP(G427,$U$1:$V$1730,2,0)</f>
        <v>N   912 291 01</v>
      </c>
      <c r="G427" s="21">
        <v>968160000</v>
      </c>
      <c r="H427" s="17">
        <f>VLOOKUP(G427,Z$2:AA$1905,2,FALSE)</f>
        <v>1.677E-2</v>
      </c>
      <c r="I427" s="20"/>
      <c r="J427" s="17">
        <f>VLOOKUP(G427,W$2:X$1905,2,FALSE)</f>
        <v>800</v>
      </c>
      <c r="K427" s="17">
        <f>I427/J427</f>
        <v>0</v>
      </c>
      <c r="L427" s="22">
        <v>20</v>
      </c>
      <c r="M427" s="22">
        <v>60</v>
      </c>
      <c r="N427" s="22" t="s">
        <v>155</v>
      </c>
      <c r="O427" s="22" t="str">
        <f>VLOOKUP(N427,$AL$1285:$AM$1310,2,FALSE)</f>
        <v>001210</v>
      </c>
      <c r="P427" s="22">
        <f>VLOOKUP(N427,AC$2:AD$1905,2,FALSE)</f>
        <v>55</v>
      </c>
      <c r="Q427" s="22"/>
      <c r="R427" s="23" t="s">
        <v>153</v>
      </c>
      <c r="S427" s="22">
        <f>VLOOKUP(R427,AC$2:AD$1905,2,FALSE)</f>
        <v>0.56999999999999995</v>
      </c>
      <c r="T427" s="24">
        <f>(H427*I427)+P427*Q427+S427*K427</f>
        <v>0</v>
      </c>
      <c r="U427" s="25">
        <f>IF(TRIM(N427&amp;"")="111444",
    IF(ROUNDUP(MAX(0,K427-(MAX(1,Q427)-1)*10)/10,0)=1,3,2),
    IF(TRIM(N427&amp;"")="VWPAL",
        IF(TRIM(R427&amp;"")="004147",1,2),
        ""
    )
)</f>
        <v>2</v>
      </c>
      <c r="V427" s="26" t="str">
        <f>IF(OR(TRIM(N427&amp;"")="111444",TRIM(N427&amp;"")="VWPAL"),
    IF(K427&lt;=0,"",
        IF(
            MIN(3,ROUNDUP(MAX(0,K427-(MAX(1,Q427)-1)*IF(TRIM(N427&amp;"")="111444",10,20))/IF(TRIM(N427&amp;"")="111444",10,20),0))=1,
            300,
            IF(
                MIN(3,ROUNDUP(MAX(0,K427-(MAX(1,Q427)-1)*IF(TRIM(N427&amp;"")="111444",10,20))/IF(TRIM(N427&amp;"")="111444",10,20),0))=2,
                450,
                600
            )
        )
    ),
    ""
)</f>
        <v/>
      </c>
    </row>
    <row r="428" spans="1:22" ht="48.2" customHeight="1" x14ac:dyDescent="0.25">
      <c r="A428" s="17">
        <f>VLOOKUP(C428,[1]Werke!$A$1:$C$168,3,0)</f>
        <v>24</v>
      </c>
      <c r="B428" s="17" t="str">
        <f>VLOOKUP(C428,[1]Werke!$A$1:$C$168,2,0)</f>
        <v>CKH</v>
      </c>
      <c r="C428" s="18" t="s">
        <v>224</v>
      </c>
      <c r="D428" s="17">
        <f>VLOOKUP(C428,[1]Maliteslimalan!$A$1:$B$210,2,0)</f>
        <v>8000013551</v>
      </c>
      <c r="E428" s="19">
        <v>6</v>
      </c>
      <c r="F428" s="20" t="str">
        <f>VLOOKUP(G428,$U$1:$V$1730,2,0)</f>
        <v>N   912 291 01</v>
      </c>
      <c r="G428" s="21">
        <v>968160000</v>
      </c>
      <c r="H428" s="17">
        <f>VLOOKUP(G428,Z$2:AA$1905,2,FALSE)</f>
        <v>1.677E-2</v>
      </c>
      <c r="I428" s="20"/>
      <c r="J428" s="17">
        <f>VLOOKUP(G428,W$2:X$1905,2,FALSE)</f>
        <v>800</v>
      </c>
      <c r="K428" s="17">
        <f>I428/J428</f>
        <v>0</v>
      </c>
      <c r="L428" s="22">
        <v>10</v>
      </c>
      <c r="M428" s="22">
        <v>30</v>
      </c>
      <c r="N428" s="22">
        <v>111444</v>
      </c>
      <c r="O428" s="22" t="str">
        <f>VLOOKUP(N428,$AL$1285:$AM$1310,2,FALSE)</f>
        <v>001006</v>
      </c>
      <c r="P428" s="22">
        <f>VLOOKUP(N428,AC$2:AD$1905,2,FALSE)</f>
        <v>34</v>
      </c>
      <c r="Q428" s="22"/>
      <c r="R428" s="23" t="s">
        <v>153</v>
      </c>
      <c r="S428" s="22">
        <f>VLOOKUP(R428,AC$2:AD$1905,2,FALSE)</f>
        <v>0.56999999999999995</v>
      </c>
      <c r="T428" s="24">
        <f>(H428*I428)+P428*Q428+S428*K428</f>
        <v>0</v>
      </c>
      <c r="U428" s="25">
        <f>IF(TRIM(N428&amp;"")="111444",
    IF(ROUNDUP(MAX(0,K428-(MAX(1,Q428)-1)*10)/10,0)=1,3,2),
    IF(TRIM(N428&amp;"")="VWPAL",
        IF(TRIM(R428&amp;"")="004147",1,2),
        ""
    )
)</f>
        <v>2</v>
      </c>
      <c r="V428" s="26" t="str">
        <f>IF(OR(TRIM(N428&amp;"")="111444",TRIM(N428&amp;"")="VWPAL"),
    IF(K428&lt;=0,"",
        IF(
            MIN(3,ROUNDUP(MAX(0,K428-(MAX(1,Q428)-1)*IF(TRIM(N428&amp;"")="111444",10,20))/IF(TRIM(N428&amp;"")="111444",10,20),0))=1,
            300,
            IF(
                MIN(3,ROUNDUP(MAX(0,K428-(MAX(1,Q428)-1)*IF(TRIM(N428&amp;"")="111444",10,20))/IF(TRIM(N428&amp;"")="111444",10,20),0))=2,
                450,
                600
            )
        )
    ),
    ""
)</f>
        <v/>
      </c>
    </row>
    <row r="429" spans="1:22" ht="48.2" customHeight="1" x14ac:dyDescent="0.25">
      <c r="A429" s="17" t="str">
        <f>VLOOKUP(C429,[1]Werke!$A$1:$C$168,3,0)</f>
        <v>RC</v>
      </c>
      <c r="B429" s="17" t="str">
        <f>VLOOKUP(C429,[1]Werke!$A$1:$C$168,2,0)</f>
        <v>CKD</v>
      </c>
      <c r="C429" s="18" t="s">
        <v>256</v>
      </c>
      <c r="D429" s="17" t="str">
        <f>VLOOKUP(C429,[1]Maliteslimalan!$A$1:$B$210,2,0)</f>
        <v>8000012593</v>
      </c>
      <c r="E429" s="19" t="str">
        <f>VLOOKUP(C429,[1]Bestellnr.!$A$1:$B$174,2,0)</f>
        <v>000006</v>
      </c>
      <c r="F429" s="20" t="str">
        <f>VLOOKUP(G429,$U$1:$V$1730,2,0)</f>
        <v>N   912 291 01</v>
      </c>
      <c r="G429" s="21">
        <v>968160000</v>
      </c>
      <c r="H429" s="17">
        <f>VLOOKUP(G429,Z$2:AA$1905,2,FALSE)</f>
        <v>1.677E-2</v>
      </c>
      <c r="I429" s="20"/>
      <c r="J429" s="17">
        <f>VLOOKUP(G429,W$2:X$1905,2,FALSE)</f>
        <v>800</v>
      </c>
      <c r="K429" s="17">
        <f>I429/J429</f>
        <v>0</v>
      </c>
      <c r="L429" s="22">
        <v>10</v>
      </c>
      <c r="M429" s="22">
        <v>30</v>
      </c>
      <c r="N429" s="22">
        <v>111444</v>
      </c>
      <c r="O429" s="22" t="str">
        <f>VLOOKUP(N429,$AL$1285:$AM$1310,2,FALSE)</f>
        <v>001006</v>
      </c>
      <c r="P429" s="22">
        <f>VLOOKUP(N429,AC$2:AD$1905,2,FALSE)</f>
        <v>34</v>
      </c>
      <c r="Q429" s="22"/>
      <c r="R429" s="23" t="s">
        <v>153</v>
      </c>
      <c r="S429" s="22">
        <f>VLOOKUP(R429,AC$2:AD$1905,2,FALSE)</f>
        <v>0.56999999999999995</v>
      </c>
      <c r="T429" s="24">
        <f>(H429*I429)+P429*Q429+S429*K429</f>
        <v>0</v>
      </c>
      <c r="U429" s="25">
        <f>IF(TRIM(N429&amp;"")="111444",
    IF(ROUNDUP(MAX(0,K429-(MAX(1,Q429)-1)*10)/10,0)=1,3,2),
    IF(TRIM(N429&amp;"")="VWPAL",
        IF(TRIM(R429&amp;"")="004147",1,2),
        ""
    )
)</f>
        <v>2</v>
      </c>
      <c r="V429" s="26" t="str">
        <f>IF(OR(TRIM(N429&amp;"")="111444",TRIM(N429&amp;"")="VWPAL"),
    IF(K429&lt;=0,"",
        IF(
            MIN(3,ROUNDUP(MAX(0,K429-(MAX(1,Q429)-1)*IF(TRIM(N429&amp;"")="111444",10,20))/IF(TRIM(N429&amp;"")="111444",10,20),0))=1,
            300,
            IF(
                MIN(3,ROUNDUP(MAX(0,K429-(MAX(1,Q429)-1)*IF(TRIM(N429&amp;"")="111444",10,20))/IF(TRIM(N429&amp;"")="111444",10,20),0))=2,
                450,
                600
            )
        )
    ),
    ""
)</f>
        <v/>
      </c>
    </row>
    <row r="430" spans="1:22" ht="48.2" customHeight="1" x14ac:dyDescent="0.25">
      <c r="A430" s="17"/>
      <c r="B430" s="17"/>
      <c r="C430" s="18"/>
      <c r="D430" s="17"/>
      <c r="E430" s="19"/>
      <c r="F430" s="20"/>
      <c r="G430" s="21"/>
      <c r="H430" s="17"/>
      <c r="I430" s="20"/>
      <c r="J430" s="17"/>
      <c r="K430" s="17"/>
      <c r="L430" s="22"/>
      <c r="M430" s="22"/>
      <c r="N430" s="22"/>
      <c r="O430" s="22"/>
      <c r="P430" s="22"/>
      <c r="Q430" s="22"/>
      <c r="R430" s="23"/>
      <c r="S430" s="22"/>
      <c r="T430" s="24"/>
      <c r="U430" s="25"/>
    </row>
    <row r="431" spans="1:22" ht="48.2" customHeight="1" x14ac:dyDescent="0.25">
      <c r="A431" s="17" t="str">
        <f>VLOOKUP(C431,[1]Werke!$A$1:$C$168,3,0)</f>
        <v>14S</v>
      </c>
      <c r="B431" s="17" t="str">
        <f>VLOOKUP(C431,[1]Werke!$A$1:$C$168,2,0)</f>
        <v>H26</v>
      </c>
      <c r="C431" s="18" t="s">
        <v>288</v>
      </c>
      <c r="D431" s="17">
        <f>VLOOKUP(C431,[1]Maliteslimalan!$A$1:$B$210,2,0)</f>
        <v>8000012915</v>
      </c>
      <c r="E431" s="19">
        <v>6</v>
      </c>
      <c r="F431" s="20" t="str">
        <f t="shared" ref="F431:F439" si="217">VLOOKUP(G431,$U$1:$V$1730,2,0)</f>
        <v>N   912 311 01</v>
      </c>
      <c r="G431" s="21">
        <v>932595000</v>
      </c>
      <c r="H431" s="17">
        <f t="shared" ref="H431:H439" si="218">VLOOKUP(G431,Z$2:AA$1905,2,FALSE)</f>
        <v>2.069E-2</v>
      </c>
      <c r="I431" s="20"/>
      <c r="J431" s="17">
        <f t="shared" ref="J431:J436" si="219">VLOOKUP(G431,W$2:X$1905,2,FALSE)</f>
        <v>400</v>
      </c>
      <c r="K431" s="17">
        <f t="shared" ref="K431:K439" si="220">I431/J431</f>
        <v>0</v>
      </c>
      <c r="L431" s="22">
        <v>10</v>
      </c>
      <c r="M431" s="22">
        <v>30</v>
      </c>
      <c r="N431" s="22">
        <v>111444</v>
      </c>
      <c r="O431" s="22" t="str">
        <f t="shared" ref="O431:O439" si="221">VLOOKUP(N431,$AL$1285:$AM$1310,2,FALSE)</f>
        <v>001006</v>
      </c>
      <c r="P431" s="22">
        <f t="shared" ref="P431:P439" si="222">VLOOKUP(N431,AC$2:AD$1905,2,FALSE)</f>
        <v>34</v>
      </c>
      <c r="Q431" s="22"/>
      <c r="R431" s="23" t="s">
        <v>153</v>
      </c>
      <c r="S431" s="22">
        <f t="shared" ref="S431:S439" si="223">VLOOKUP(R431,AC$2:AD$1905,2,FALSE)</f>
        <v>0.56999999999999995</v>
      </c>
      <c r="T431" s="24">
        <f t="shared" ref="T431:T439" si="224">(H431*I431)+P431*Q431+S431*K431</f>
        <v>0</v>
      </c>
      <c r="U431" s="25">
        <f t="shared" ref="U431:U439" si="225">IF(TRIM(N431&amp;"")="111444",
    IF(ROUNDUP(MAX(0,K431-(MAX(1,Q431)-1)*10)/10,0)=1,3,2),
    IF(TRIM(N431&amp;"")="VWPAL",
        IF(TRIM(R431&amp;"")="004147",1,2),
        ""
    )
)</f>
        <v>2</v>
      </c>
      <c r="V431" s="26" t="str">
        <f t="shared" ref="V431:V439" si="226">IF(OR(TRIM(N431&amp;"")="111444",TRIM(N431&amp;"")="VWPAL"),
    IF(K431&lt;=0,"",
        IF(
            MIN(3,ROUNDUP(MAX(0,K431-(MAX(1,Q431)-1)*IF(TRIM(N431&amp;"")="111444",10,20))/IF(TRIM(N431&amp;"")="111444",10,20),0))=1,
            300,
            IF(
                MIN(3,ROUNDUP(MAX(0,K431-(MAX(1,Q431)-1)*IF(TRIM(N431&amp;"")="111444",10,20))/IF(TRIM(N431&amp;"")="111444",10,20),0))=2,
                450,
                600
            )
        )
    ),
    ""
)</f>
        <v/>
      </c>
    </row>
    <row r="432" spans="1:22" ht="48.2" customHeight="1" x14ac:dyDescent="0.25">
      <c r="A432" s="17">
        <f>VLOOKUP(C432,[1]Werke!$A$1:$C$168,3,0)</f>
        <v>17</v>
      </c>
      <c r="B432" s="17" t="str">
        <f>VLOOKUP(C432,[1]Werke!$A$1:$C$168,2,0)</f>
        <v>H2B</v>
      </c>
      <c r="C432" s="20" t="s">
        <v>289</v>
      </c>
      <c r="D432" s="17" t="str">
        <f>VLOOKUP(C432,[1]Maliteslimalan!$A$1:$B$210,2,0)</f>
        <v>8000012624</v>
      </c>
      <c r="E432" s="19" t="str">
        <f>VLOOKUP(C432,[1]Bestellnr.!$A$1:$B$174,2,0)</f>
        <v>000006</v>
      </c>
      <c r="F432" s="20" t="str">
        <f t="shared" si="217"/>
        <v>N   912 311 01</v>
      </c>
      <c r="G432" s="21">
        <v>932595000</v>
      </c>
      <c r="H432" s="17">
        <f t="shared" si="218"/>
        <v>2.069E-2</v>
      </c>
      <c r="I432" s="20"/>
      <c r="J432" s="17">
        <f t="shared" si="219"/>
        <v>400</v>
      </c>
      <c r="K432" s="17">
        <f t="shared" si="220"/>
        <v>0</v>
      </c>
      <c r="L432" s="22">
        <v>10</v>
      </c>
      <c r="M432" s="22">
        <v>30</v>
      </c>
      <c r="N432" s="22">
        <v>111444</v>
      </c>
      <c r="O432" s="22" t="str">
        <f t="shared" si="221"/>
        <v>001006</v>
      </c>
      <c r="P432" s="22">
        <f t="shared" si="222"/>
        <v>34</v>
      </c>
      <c r="Q432" s="22"/>
      <c r="R432" s="23" t="s">
        <v>153</v>
      </c>
      <c r="S432" s="22">
        <f t="shared" si="223"/>
        <v>0.56999999999999995</v>
      </c>
      <c r="T432" s="24">
        <f t="shared" si="224"/>
        <v>0</v>
      </c>
      <c r="U432" s="25">
        <f t="shared" si="225"/>
        <v>2</v>
      </c>
      <c r="V432" s="26" t="str">
        <f t="shared" si="226"/>
        <v/>
      </c>
    </row>
    <row r="433" spans="1:22" ht="48.2" customHeight="1" x14ac:dyDescent="0.25">
      <c r="A433" s="17" t="str">
        <f>VLOOKUP(C433,[1]Werke!$A$1:$C$168,3,0)</f>
        <v>26D</v>
      </c>
      <c r="B433" s="17" t="str">
        <f>VLOOKUP(C433,[1]Werke!$A$1:$C$168,2,0)</f>
        <v>G18</v>
      </c>
      <c r="C433" s="18" t="s">
        <v>257</v>
      </c>
      <c r="D433" s="17" t="str">
        <f>VLOOKUP(C433,[1]Maliteslimalan!$A$1:$B$210,2,0)</f>
        <v>8000012600</v>
      </c>
      <c r="E433" s="19">
        <f>VLOOKUP(C433,[1]Bestellnr.!$A$1:$B$174,2,0)</f>
        <v>0</v>
      </c>
      <c r="F433" s="20" t="str">
        <f t="shared" si="217"/>
        <v>N   912 311 01</v>
      </c>
      <c r="G433" s="21">
        <v>932595000</v>
      </c>
      <c r="H433" s="17">
        <f t="shared" si="218"/>
        <v>2.069E-2</v>
      </c>
      <c r="I433" s="20"/>
      <c r="J433" s="17">
        <f t="shared" si="219"/>
        <v>400</v>
      </c>
      <c r="K433" s="17">
        <f t="shared" si="220"/>
        <v>0</v>
      </c>
      <c r="L433" s="22">
        <v>10</v>
      </c>
      <c r="M433" s="22">
        <v>10</v>
      </c>
      <c r="N433" s="22">
        <v>111444</v>
      </c>
      <c r="O433" s="22" t="str">
        <f t="shared" si="221"/>
        <v>001006</v>
      </c>
      <c r="P433" s="22">
        <f t="shared" si="222"/>
        <v>34</v>
      </c>
      <c r="Q433" s="22"/>
      <c r="R433" s="23" t="s">
        <v>153</v>
      </c>
      <c r="S433" s="22">
        <f t="shared" si="223"/>
        <v>0.56999999999999995</v>
      </c>
      <c r="T433" s="24">
        <f t="shared" si="224"/>
        <v>0</v>
      </c>
      <c r="U433" s="25">
        <f t="shared" si="225"/>
        <v>2</v>
      </c>
      <c r="V433" s="26" t="str">
        <f t="shared" si="226"/>
        <v/>
      </c>
    </row>
    <row r="434" spans="1:22" ht="48.2" customHeight="1" x14ac:dyDescent="0.25">
      <c r="A434" s="17">
        <f>VLOOKUP(C434,[1]Werke!$A$1:$C$168,3,0)</f>
        <v>27</v>
      </c>
      <c r="B434" s="17" t="str">
        <f>VLOOKUP(C434,[1]Werke!$A$1:$C$168,2,0)</f>
        <v>EFL</v>
      </c>
      <c r="C434" s="18" t="s">
        <v>290</v>
      </c>
      <c r="D434" s="17" t="str">
        <f>VLOOKUP(C434,[1]Maliteslimalan!$A$1:$B$210,2,0)</f>
        <v>8000012573</v>
      </c>
      <c r="E434" s="19" t="str">
        <f>VLOOKUP(C434,[1]Bestellnr.!$A$1:$B$174,2,0)</f>
        <v>000006</v>
      </c>
      <c r="F434" s="20" t="str">
        <f t="shared" si="217"/>
        <v>N   912 311 01</v>
      </c>
      <c r="G434" s="21">
        <v>932595000</v>
      </c>
      <c r="H434" s="17">
        <f t="shared" si="218"/>
        <v>2.069E-2</v>
      </c>
      <c r="I434" s="20"/>
      <c r="J434" s="17">
        <f t="shared" si="219"/>
        <v>400</v>
      </c>
      <c r="K434" s="17">
        <f t="shared" si="220"/>
        <v>0</v>
      </c>
      <c r="L434" s="22">
        <v>10</v>
      </c>
      <c r="M434" s="22">
        <v>30</v>
      </c>
      <c r="N434" s="22">
        <v>111444</v>
      </c>
      <c r="O434" s="22" t="str">
        <f t="shared" si="221"/>
        <v>001006</v>
      </c>
      <c r="P434" s="22">
        <f t="shared" si="222"/>
        <v>34</v>
      </c>
      <c r="Q434" s="22"/>
      <c r="R434" s="23" t="s">
        <v>153</v>
      </c>
      <c r="S434" s="22">
        <f t="shared" si="223"/>
        <v>0.56999999999999995</v>
      </c>
      <c r="T434" s="24">
        <f t="shared" si="224"/>
        <v>0</v>
      </c>
      <c r="U434" s="25">
        <f t="shared" si="225"/>
        <v>2</v>
      </c>
      <c r="V434" s="26" t="str">
        <f t="shared" si="226"/>
        <v/>
      </c>
    </row>
    <row r="435" spans="1:22" ht="48.2" customHeight="1" x14ac:dyDescent="0.25">
      <c r="A435" s="17" t="str">
        <f>VLOOKUP(C435,[1]Werke!$A$1:$C$168,3,0)</f>
        <v>LD</v>
      </c>
      <c r="B435" s="17" t="str">
        <f>VLOOKUP(C435,[1]Werke!$A$1:$C$168,2,0)</f>
        <v>SLD</v>
      </c>
      <c r="C435" s="18">
        <v>83630</v>
      </c>
      <c r="D435" s="17" t="str">
        <f>VLOOKUP(C435,[1]Maliteslimalan!$A$1:$B$210,2,0)</f>
        <v>8000012862</v>
      </c>
      <c r="E435" s="19" t="str">
        <f>VLOOKUP(C435,[1]Bestellnr.!$A$1:$B$174,2,0)</f>
        <v>000006</v>
      </c>
      <c r="F435" s="20" t="str">
        <f t="shared" si="217"/>
        <v>N   912 311 01</v>
      </c>
      <c r="G435" s="21">
        <v>932595000</v>
      </c>
      <c r="H435" s="17">
        <f t="shared" si="218"/>
        <v>2.069E-2</v>
      </c>
      <c r="I435" s="20"/>
      <c r="J435" s="17">
        <f t="shared" si="219"/>
        <v>400</v>
      </c>
      <c r="K435" s="17">
        <f t="shared" si="220"/>
        <v>0</v>
      </c>
      <c r="L435" s="22">
        <v>20</v>
      </c>
      <c r="M435" s="22">
        <v>60</v>
      </c>
      <c r="N435" s="22" t="s">
        <v>155</v>
      </c>
      <c r="O435" s="22" t="str">
        <f t="shared" si="221"/>
        <v>001210</v>
      </c>
      <c r="P435" s="22">
        <f t="shared" si="222"/>
        <v>55</v>
      </c>
      <c r="Q435" s="22"/>
      <c r="R435" s="23" t="s">
        <v>153</v>
      </c>
      <c r="S435" s="22">
        <f t="shared" si="223"/>
        <v>0.56999999999999995</v>
      </c>
      <c r="T435" s="24">
        <f t="shared" si="224"/>
        <v>0</v>
      </c>
      <c r="U435" s="25">
        <f t="shared" si="225"/>
        <v>2</v>
      </c>
      <c r="V435" s="26" t="str">
        <f t="shared" si="226"/>
        <v/>
      </c>
    </row>
    <row r="436" spans="1:22" ht="48.2" customHeight="1" x14ac:dyDescent="0.25">
      <c r="A436" s="17" t="str">
        <f>VLOOKUP(C436,[1]Werke!$A$1:$C$168,3,0)</f>
        <v>26C</v>
      </c>
      <c r="B436" s="17" t="str">
        <f>VLOOKUP(C436,[1]Werke!$A$1:$C$168,2,0)</f>
        <v>CKD</v>
      </c>
      <c r="C436" s="18" t="s">
        <v>258</v>
      </c>
      <c r="D436" s="17" t="str">
        <f>VLOOKUP(C436,[1]Maliteslimalan!$A$1:$B$210,2,0)</f>
        <v>8000012767</v>
      </c>
      <c r="E436" s="19">
        <f>VLOOKUP(C436,[1]Bestellnr.!$A$1:$B$174,2,0)</f>
        <v>0</v>
      </c>
      <c r="F436" s="20" t="str">
        <f t="shared" si="217"/>
        <v>N   912 311 01</v>
      </c>
      <c r="G436" s="21">
        <v>932595000</v>
      </c>
      <c r="H436" s="17">
        <f t="shared" si="218"/>
        <v>2.069E-2</v>
      </c>
      <c r="I436" s="20"/>
      <c r="J436" s="17">
        <f t="shared" si="219"/>
        <v>400</v>
      </c>
      <c r="K436" s="17">
        <f t="shared" si="220"/>
        <v>0</v>
      </c>
      <c r="L436" s="22">
        <v>10</v>
      </c>
      <c r="M436" s="22">
        <v>30</v>
      </c>
      <c r="N436" s="22">
        <v>111444</v>
      </c>
      <c r="O436" s="22" t="str">
        <f t="shared" si="221"/>
        <v>001006</v>
      </c>
      <c r="P436" s="22">
        <f t="shared" si="222"/>
        <v>34</v>
      </c>
      <c r="Q436" s="22"/>
      <c r="R436" s="23" t="s">
        <v>153</v>
      </c>
      <c r="S436" s="22">
        <f t="shared" si="223"/>
        <v>0.56999999999999995</v>
      </c>
      <c r="T436" s="24">
        <f t="shared" si="224"/>
        <v>0</v>
      </c>
      <c r="U436" s="25">
        <f t="shared" si="225"/>
        <v>2</v>
      </c>
      <c r="V436" s="26" t="str">
        <f t="shared" si="226"/>
        <v/>
      </c>
    </row>
    <row r="437" spans="1:22" ht="48.2" customHeight="1" x14ac:dyDescent="0.25">
      <c r="A437" s="17">
        <f>VLOOKUP(C437,[1]Werke!$A$1:$C$168,3,0)</f>
        <v>33</v>
      </c>
      <c r="B437" s="17" t="str">
        <f>VLOOKUP(C437,[1]Werke!$A$1:$C$168,2,0)</f>
        <v>HM7</v>
      </c>
      <c r="C437" s="18" t="s">
        <v>266</v>
      </c>
      <c r="D437" s="17" t="str">
        <f>VLOOKUP(C437,[1]Maliteslimalan!$A$1:$B$210,2,0)</f>
        <v>8000012724</v>
      </c>
      <c r="E437" s="19" t="str">
        <f>VLOOKUP(C437,[1]Bestellnr.!$A$1:$B$174,2,0)</f>
        <v>000055</v>
      </c>
      <c r="F437" s="20" t="str">
        <f t="shared" si="217"/>
        <v>N   912 311 01</v>
      </c>
      <c r="G437" s="21">
        <v>932595000</v>
      </c>
      <c r="H437" s="17">
        <f t="shared" si="218"/>
        <v>2.069E-2</v>
      </c>
      <c r="I437" s="20"/>
      <c r="J437" s="17">
        <v>400</v>
      </c>
      <c r="K437" s="17">
        <f t="shared" si="220"/>
        <v>0</v>
      </c>
      <c r="L437" s="22">
        <v>10</v>
      </c>
      <c r="M437" s="22">
        <v>10</v>
      </c>
      <c r="N437" s="22">
        <v>111444</v>
      </c>
      <c r="O437" s="22" t="str">
        <f t="shared" si="221"/>
        <v>001006</v>
      </c>
      <c r="P437" s="22">
        <f t="shared" si="222"/>
        <v>34</v>
      </c>
      <c r="Q437" s="22"/>
      <c r="R437" s="23" t="s">
        <v>153</v>
      </c>
      <c r="S437" s="22">
        <f t="shared" si="223"/>
        <v>0.56999999999999995</v>
      </c>
      <c r="T437" s="24">
        <f t="shared" si="224"/>
        <v>0</v>
      </c>
      <c r="U437" s="25">
        <f t="shared" si="225"/>
        <v>2</v>
      </c>
      <c r="V437" s="26" t="str">
        <f t="shared" si="226"/>
        <v/>
      </c>
    </row>
    <row r="438" spans="1:22" ht="48.2" customHeight="1" x14ac:dyDescent="0.25">
      <c r="A438" s="17">
        <f>VLOOKUP(C438,[1]Werke!$A$1:$C$168,3,0)</f>
        <v>31</v>
      </c>
      <c r="B438" s="17" t="str">
        <f>VLOOKUP(C438,[1]Werke!$A$1:$C$168,2,0)</f>
        <v>BH7</v>
      </c>
      <c r="C438" s="18" t="s">
        <v>250</v>
      </c>
      <c r="D438" s="17">
        <f>VLOOKUP(C438,[1]Maliteslimalan!$A$1:$B$210,2,0)</f>
        <v>8000015577</v>
      </c>
      <c r="E438" s="19">
        <v>6</v>
      </c>
      <c r="F438" s="20" t="str">
        <f t="shared" si="217"/>
        <v>N   912 311 01</v>
      </c>
      <c r="G438" s="21">
        <v>932595000</v>
      </c>
      <c r="H438" s="17">
        <f t="shared" si="218"/>
        <v>2.069E-2</v>
      </c>
      <c r="I438" s="20"/>
      <c r="J438" s="17">
        <f>VLOOKUP(G438,W$2:X$1905,2,FALSE)</f>
        <v>400</v>
      </c>
      <c r="K438" s="17">
        <f t="shared" si="220"/>
        <v>0</v>
      </c>
      <c r="L438" s="22">
        <v>20</v>
      </c>
      <c r="M438" s="22">
        <v>20</v>
      </c>
      <c r="N438" s="22" t="s">
        <v>155</v>
      </c>
      <c r="O438" s="22" t="str">
        <f t="shared" si="221"/>
        <v>001210</v>
      </c>
      <c r="P438" s="22">
        <f t="shared" si="222"/>
        <v>55</v>
      </c>
      <c r="Q438" s="22"/>
      <c r="R438" s="23" t="s">
        <v>153</v>
      </c>
      <c r="S438" s="22">
        <f t="shared" si="223"/>
        <v>0.56999999999999995</v>
      </c>
      <c r="T438" s="24">
        <f t="shared" si="224"/>
        <v>0</v>
      </c>
      <c r="U438" s="25">
        <f t="shared" si="225"/>
        <v>2</v>
      </c>
      <c r="V438" s="26" t="str">
        <f t="shared" si="226"/>
        <v/>
      </c>
    </row>
    <row r="439" spans="1:22" ht="48.2" customHeight="1" x14ac:dyDescent="0.25">
      <c r="A439" s="17">
        <f>VLOOKUP(C439,[1]Werke!$A$1:$C$168,3,0)</f>
        <v>14</v>
      </c>
      <c r="B439" s="17" t="str">
        <f>VLOOKUP(C439,[1]Werke!$A$1:$C$168,2,0)</f>
        <v>D85</v>
      </c>
      <c r="C439" s="18" t="s">
        <v>239</v>
      </c>
      <c r="D439" s="17" t="str">
        <f>VLOOKUP(C439,[1]Maliteslimalan!$A$1:$B$210,2,0)</f>
        <v>8000012682</v>
      </c>
      <c r="E439" s="19">
        <f>VLOOKUP(C439,[1]Bestellnr.!$A$1:$B$174,2,0)</f>
        <v>0</v>
      </c>
      <c r="F439" s="20" t="str">
        <f t="shared" si="217"/>
        <v>N   912 311 01</v>
      </c>
      <c r="G439" s="21">
        <v>932595000</v>
      </c>
      <c r="H439" s="17">
        <f t="shared" si="218"/>
        <v>2.069E-2</v>
      </c>
      <c r="I439" s="20"/>
      <c r="J439" s="17">
        <f>VLOOKUP(G439,W$2:X$1905,2,FALSE)</f>
        <v>400</v>
      </c>
      <c r="K439" s="17">
        <f t="shared" si="220"/>
        <v>0</v>
      </c>
      <c r="L439" s="22">
        <v>10</v>
      </c>
      <c r="M439" s="22">
        <v>30</v>
      </c>
      <c r="N439" s="22">
        <v>111444</v>
      </c>
      <c r="O439" s="22" t="str">
        <f t="shared" si="221"/>
        <v>001006</v>
      </c>
      <c r="P439" s="22">
        <f t="shared" si="222"/>
        <v>34</v>
      </c>
      <c r="Q439" s="22"/>
      <c r="R439" s="23" t="s">
        <v>153</v>
      </c>
      <c r="S439" s="22">
        <f t="shared" si="223"/>
        <v>0.56999999999999995</v>
      </c>
      <c r="T439" s="24">
        <f t="shared" si="224"/>
        <v>0</v>
      </c>
      <c r="U439" s="25">
        <f t="shared" si="225"/>
        <v>2</v>
      </c>
      <c r="V439" s="26" t="str">
        <f t="shared" si="226"/>
        <v/>
      </c>
    </row>
    <row r="440" spans="1:22" ht="48.2" customHeight="1" x14ac:dyDescent="0.25">
      <c r="A440" s="17"/>
      <c r="B440" s="17"/>
      <c r="C440" s="18"/>
      <c r="D440" s="17"/>
      <c r="E440" s="19"/>
      <c r="F440" s="20"/>
      <c r="G440" s="21"/>
      <c r="H440" s="17"/>
      <c r="I440" s="20"/>
      <c r="J440" s="17"/>
      <c r="K440" s="17"/>
      <c r="L440" s="22"/>
      <c r="M440" s="22"/>
      <c r="N440" s="22"/>
      <c r="O440" s="22"/>
      <c r="P440" s="22"/>
      <c r="Q440" s="22"/>
      <c r="R440" s="23"/>
      <c r="S440" s="22"/>
      <c r="T440" s="24"/>
      <c r="U440" s="25"/>
    </row>
    <row r="441" spans="1:22" ht="46.5" customHeight="1" x14ac:dyDescent="0.25">
      <c r="A441" s="17">
        <f>VLOOKUP(C441,[1]Werke!$A$1:$C$168,3,0)</f>
        <v>31</v>
      </c>
      <c r="B441" s="17" t="str">
        <f>VLOOKUP(C441,[1]Werke!$A$1:$C$168,2,0)</f>
        <v>B63</v>
      </c>
      <c r="C441" s="18">
        <v>10363</v>
      </c>
      <c r="D441" s="17">
        <f>VLOOKUP(C441,[1]Maliteslimalan!$A$1:$B$210,2,0)</f>
        <v>8000017024</v>
      </c>
      <c r="E441" s="19">
        <v>6</v>
      </c>
      <c r="F441" s="20" t="str">
        <f t="shared" ref="F441:F449" si="227">VLOOKUP(G441,$U$1:$V$1730,2,0)</f>
        <v>N   912 312 01</v>
      </c>
      <c r="G441" s="21">
        <v>932764000</v>
      </c>
      <c r="H441" s="17">
        <f t="shared" ref="H441:H449" si="228">VLOOKUP(G441,Z$2:AA$1905,2,FALSE)</f>
        <v>3.6850000000000001E-2</v>
      </c>
      <c r="I441" s="20"/>
      <c r="J441" s="17">
        <f>VLOOKUP(G441,W$2:X$1905,2,FALSE)</f>
        <v>385</v>
      </c>
      <c r="K441" s="17">
        <f t="shared" ref="K441:K449" si="229">I441/J441</f>
        <v>0</v>
      </c>
      <c r="L441" s="22">
        <v>20</v>
      </c>
      <c r="M441" s="22">
        <v>20</v>
      </c>
      <c r="N441" s="22" t="s">
        <v>155</v>
      </c>
      <c r="O441" s="22" t="str">
        <f t="shared" ref="O441:O449" si="230">VLOOKUP(N441,$AL$1285:$AM$1310,2,FALSE)</f>
        <v>001210</v>
      </c>
      <c r="P441" s="22">
        <f t="shared" ref="P441:P449" si="231">VLOOKUP(N441,AC$2:AD$1905,2,FALSE)</f>
        <v>55</v>
      </c>
      <c r="Q441" s="22"/>
      <c r="R441" s="23" t="s">
        <v>153</v>
      </c>
      <c r="S441" s="22">
        <f t="shared" ref="S441:S449" si="232">VLOOKUP(R441,AC$2:AD$1905,2,FALSE)</f>
        <v>0.56999999999999995</v>
      </c>
      <c r="T441" s="24">
        <f t="shared" ref="T441:T449" si="233">(H441*I441)+P441*Q441+S441*K441</f>
        <v>0</v>
      </c>
      <c r="U441" s="25">
        <f t="shared" ref="U441:U449" si="234">IF(TRIM(N441&amp;"")="111444",
    IF(ROUNDUP(MAX(0,K441-(MAX(1,Q441)-1)*10)/10,0)=1,3,2),
    IF(TRIM(N441&amp;"")="VWPAL",
        IF(TRIM(R441&amp;"")="004147",1,2),
        ""
    )
)</f>
        <v>2</v>
      </c>
      <c r="V441" s="26" t="str">
        <f t="shared" ref="V441:V449" si="235">IF(OR(TRIM(N441&amp;"")="111444",TRIM(N441&amp;"")="VWPAL"),
    IF(K441&lt;=0,"",
        IF(
            MIN(3,ROUNDUP(MAX(0,K441-(MAX(1,Q441)-1)*IF(TRIM(N441&amp;"")="111444",10,20))/IF(TRIM(N441&amp;"")="111444",10,20),0))=1,
            300,
            IF(
                MIN(3,ROUNDUP(MAX(0,K441-(MAX(1,Q441)-1)*IF(TRIM(N441&amp;"")="111444",10,20))/IF(TRIM(N441&amp;"")="111444",10,20),0))=2,
                450,
                600
            )
        )
    ),
    ""
)</f>
        <v/>
      </c>
    </row>
    <row r="442" spans="1:22" ht="46.5" customHeight="1" x14ac:dyDescent="0.25">
      <c r="A442" s="17">
        <f>VLOOKUP(C442,[1]Werke!$A$1:$C$168,3,0)</f>
        <v>21</v>
      </c>
      <c r="B442" s="17" t="str">
        <f>VLOOKUP(C442,[1]Werke!$A$1:$C$168,2,0)</f>
        <v>GZD</v>
      </c>
      <c r="C442" s="18" t="s">
        <v>223</v>
      </c>
      <c r="D442" s="17" t="str">
        <f>VLOOKUP(C442,[1]Maliteslimalan!$A$1:$B$210,2,0)</f>
        <v>8000012572</v>
      </c>
      <c r="E442" s="19" t="str">
        <f>VLOOKUP(C442,[1]Bestellnr.!$A$1:$B$174,2,0)</f>
        <v>000006</v>
      </c>
      <c r="F442" s="20" t="str">
        <f t="shared" si="227"/>
        <v>N   912 312 01</v>
      </c>
      <c r="G442" s="21">
        <v>932764000</v>
      </c>
      <c r="H442" s="17">
        <f t="shared" si="228"/>
        <v>3.6850000000000001E-2</v>
      </c>
      <c r="I442" s="20"/>
      <c r="J442" s="17">
        <f>VLOOKUP(G442,W$2:X$1905,2,FALSE)</f>
        <v>385</v>
      </c>
      <c r="K442" s="17">
        <f t="shared" si="229"/>
        <v>0</v>
      </c>
      <c r="L442" s="22">
        <v>20</v>
      </c>
      <c r="M442" s="22">
        <v>60</v>
      </c>
      <c r="N442" s="22" t="s">
        <v>155</v>
      </c>
      <c r="O442" s="22" t="str">
        <f t="shared" si="230"/>
        <v>001210</v>
      </c>
      <c r="P442" s="22">
        <f t="shared" si="231"/>
        <v>55</v>
      </c>
      <c r="Q442" s="22"/>
      <c r="R442" s="23" t="s">
        <v>153</v>
      </c>
      <c r="S442" s="22">
        <f t="shared" si="232"/>
        <v>0.56999999999999995</v>
      </c>
      <c r="T442" s="24">
        <f t="shared" si="233"/>
        <v>0</v>
      </c>
      <c r="U442" s="25">
        <f t="shared" si="234"/>
        <v>2</v>
      </c>
      <c r="V442" s="26" t="str">
        <f t="shared" si="235"/>
        <v/>
      </c>
    </row>
    <row r="443" spans="1:22" ht="46.5" customHeight="1" x14ac:dyDescent="0.25">
      <c r="A443" s="17" t="str">
        <f>VLOOKUP(C443,[1]Werke!$A$1:$C$168,3,0)</f>
        <v>16D</v>
      </c>
      <c r="B443" s="17">
        <f>VLOOKUP(C443,[1]Werke!$A$1:$C$168,2,0)</f>
        <v>210</v>
      </c>
      <c r="C443" s="18" t="s">
        <v>226</v>
      </c>
      <c r="D443" s="17" t="str">
        <f>VLOOKUP(C443,[1]Maliteslimalan!$A$1:$B$210,2,0)</f>
        <v>8000012565</v>
      </c>
      <c r="E443" s="19">
        <f>VLOOKUP(C443,[1]Bestellnr.!$A$1:$B$174,2,0)</f>
        <v>0</v>
      </c>
      <c r="F443" s="20" t="str">
        <f t="shared" si="227"/>
        <v>N   912 312 01</v>
      </c>
      <c r="G443" s="21">
        <v>932764000</v>
      </c>
      <c r="H443" s="17">
        <f t="shared" si="228"/>
        <v>3.6850000000000001E-2</v>
      </c>
      <c r="I443" s="20"/>
      <c r="J443" s="17">
        <f>VLOOKUP(G443,W$2:X$1905,2,FALSE)</f>
        <v>385</v>
      </c>
      <c r="K443" s="17">
        <f t="shared" si="229"/>
        <v>0</v>
      </c>
      <c r="L443" s="22">
        <v>10</v>
      </c>
      <c r="M443" s="22">
        <v>30</v>
      </c>
      <c r="N443" s="22">
        <v>111444</v>
      </c>
      <c r="O443" s="22" t="str">
        <f t="shared" si="230"/>
        <v>001006</v>
      </c>
      <c r="P443" s="22">
        <f t="shared" si="231"/>
        <v>34</v>
      </c>
      <c r="Q443" s="22"/>
      <c r="R443" s="23" t="s">
        <v>153</v>
      </c>
      <c r="S443" s="22">
        <f t="shared" si="232"/>
        <v>0.56999999999999995</v>
      </c>
      <c r="T443" s="24">
        <f t="shared" si="233"/>
        <v>0</v>
      </c>
      <c r="U443" s="25">
        <f t="shared" si="234"/>
        <v>2</v>
      </c>
      <c r="V443" s="26" t="str">
        <f t="shared" si="235"/>
        <v/>
      </c>
    </row>
    <row r="444" spans="1:22" ht="46.5" customHeight="1" x14ac:dyDescent="0.25">
      <c r="A444" s="17">
        <f>VLOOKUP(C444,[1]Werke!$A$1:$C$168,3,0)</f>
        <v>11</v>
      </c>
      <c r="B444" s="17" t="str">
        <f>VLOOKUP(C444,[1]Werke!$A$1:$C$168,2,0)</f>
        <v>AKL</v>
      </c>
      <c r="C444" s="18" t="s">
        <v>253</v>
      </c>
      <c r="D444" s="17" t="str">
        <f>VLOOKUP(C444,[1]Maliteslimalan!$A$1:$B$210,2,0)</f>
        <v>8000012831</v>
      </c>
      <c r="E444" s="19" t="str">
        <f>VLOOKUP(C444,[1]Bestellnr.!$A$1:$B$174,2,0)</f>
        <v>000006</v>
      </c>
      <c r="F444" s="20" t="str">
        <f t="shared" si="227"/>
        <v>N   912 312 01</v>
      </c>
      <c r="G444" s="21">
        <v>932764000</v>
      </c>
      <c r="H444" s="17">
        <f t="shared" si="228"/>
        <v>3.6850000000000001E-2</v>
      </c>
      <c r="I444" s="20"/>
      <c r="J444" s="17">
        <f>VLOOKUP(G444,W$2:X$1905,2,FALSE)</f>
        <v>385</v>
      </c>
      <c r="K444" s="17">
        <f t="shared" si="229"/>
        <v>0</v>
      </c>
      <c r="L444" s="22">
        <v>20</v>
      </c>
      <c r="M444" s="22">
        <v>60</v>
      </c>
      <c r="N444" s="22" t="s">
        <v>155</v>
      </c>
      <c r="O444" s="22" t="str">
        <f t="shared" si="230"/>
        <v>001210</v>
      </c>
      <c r="P444" s="22">
        <f t="shared" si="231"/>
        <v>55</v>
      </c>
      <c r="Q444" s="22"/>
      <c r="R444" s="23" t="s">
        <v>153</v>
      </c>
      <c r="S444" s="22">
        <f t="shared" si="232"/>
        <v>0.56999999999999995</v>
      </c>
      <c r="T444" s="24">
        <f t="shared" si="233"/>
        <v>0</v>
      </c>
      <c r="U444" s="25">
        <f t="shared" si="234"/>
        <v>2</v>
      </c>
      <c r="V444" s="26" t="str">
        <f t="shared" si="235"/>
        <v/>
      </c>
    </row>
    <row r="445" spans="1:22" ht="46.5" customHeight="1" x14ac:dyDescent="0.25">
      <c r="A445" s="17">
        <f>VLOOKUP(C445,[1]Werke!$A$1:$C$168,3,0)</f>
        <v>33</v>
      </c>
      <c r="B445" s="17" t="str">
        <f>VLOOKUP(C445,[1]Werke!$A$1:$C$168,2,0)</f>
        <v>KK3</v>
      </c>
      <c r="C445" s="18" t="s">
        <v>291</v>
      </c>
      <c r="D445" s="17" t="str">
        <f>VLOOKUP(C445,[1]Maliteslimalan!$A$1:$B$210,2,0)</f>
        <v>8000012794</v>
      </c>
      <c r="E445" s="19" t="str">
        <f>VLOOKUP(C445,[1]Bestellnr.!$A$1:$B$174,2,0)</f>
        <v>000055</v>
      </c>
      <c r="F445" s="20" t="str">
        <f t="shared" si="227"/>
        <v>N   912 312 01</v>
      </c>
      <c r="G445" s="21">
        <v>932764000</v>
      </c>
      <c r="H445" s="17">
        <f t="shared" si="228"/>
        <v>3.6850000000000001E-2</v>
      </c>
      <c r="I445" s="20"/>
      <c r="J445" s="17">
        <v>385</v>
      </c>
      <c r="K445" s="17">
        <f t="shared" si="229"/>
        <v>0</v>
      </c>
      <c r="L445" s="22">
        <v>10</v>
      </c>
      <c r="M445" s="22">
        <v>10</v>
      </c>
      <c r="N445" s="22">
        <v>111444</v>
      </c>
      <c r="O445" s="22" t="str">
        <f t="shared" si="230"/>
        <v>001006</v>
      </c>
      <c r="P445" s="22">
        <f t="shared" si="231"/>
        <v>34</v>
      </c>
      <c r="Q445" s="22"/>
      <c r="R445" s="23" t="s">
        <v>153</v>
      </c>
      <c r="S445" s="22">
        <f t="shared" si="232"/>
        <v>0.56999999999999995</v>
      </c>
      <c r="T445" s="24">
        <f t="shared" si="233"/>
        <v>0</v>
      </c>
      <c r="U445" s="25">
        <f t="shared" si="234"/>
        <v>2</v>
      </c>
      <c r="V445" s="26" t="str">
        <f t="shared" si="235"/>
        <v/>
      </c>
    </row>
    <row r="446" spans="1:22" ht="46.5" customHeight="1" x14ac:dyDescent="0.25">
      <c r="A446" s="17">
        <f>VLOOKUP(C446,[1]Werke!$A$1:$C$168,3,0)</f>
        <v>43</v>
      </c>
      <c r="B446" s="17" t="str">
        <f>VLOOKUP(C446,[1]Werke!$A$1:$C$168,2,0)</f>
        <v>FGK</v>
      </c>
      <c r="C446" s="18" t="s">
        <v>292</v>
      </c>
      <c r="D446" s="17" t="str">
        <f>VLOOKUP(C446,[1]Maliteslimalan!$A$1:$B$210,2,0)</f>
        <v>8000012785</v>
      </c>
      <c r="E446" s="19" t="str">
        <f>VLOOKUP(C446,[1]Bestellnr.!$A$1:$B$174,2,0)</f>
        <v>000006</v>
      </c>
      <c r="F446" s="20" t="str">
        <f t="shared" si="227"/>
        <v>N   912 312 01</v>
      </c>
      <c r="G446" s="21">
        <v>932764000</v>
      </c>
      <c r="H446" s="17">
        <f t="shared" si="228"/>
        <v>3.6850000000000001E-2</v>
      </c>
      <c r="I446" s="20"/>
      <c r="J446" s="17">
        <f>VLOOKUP(G446,W$2:X$1905,2,FALSE)</f>
        <v>385</v>
      </c>
      <c r="K446" s="17">
        <f t="shared" si="229"/>
        <v>0</v>
      </c>
      <c r="L446" s="22">
        <v>10</v>
      </c>
      <c r="M446" s="22">
        <v>30</v>
      </c>
      <c r="N446" s="22">
        <v>111444</v>
      </c>
      <c r="O446" s="22" t="str">
        <f t="shared" si="230"/>
        <v>001006</v>
      </c>
      <c r="P446" s="22">
        <f t="shared" si="231"/>
        <v>34</v>
      </c>
      <c r="Q446" s="22"/>
      <c r="R446" s="23" t="s">
        <v>153</v>
      </c>
      <c r="S446" s="22">
        <f t="shared" si="232"/>
        <v>0.56999999999999995</v>
      </c>
      <c r="T446" s="24">
        <f t="shared" si="233"/>
        <v>0</v>
      </c>
      <c r="U446" s="25">
        <f t="shared" si="234"/>
        <v>2</v>
      </c>
      <c r="V446" s="26" t="str">
        <f t="shared" si="235"/>
        <v/>
      </c>
    </row>
    <row r="447" spans="1:22" ht="46.5" customHeight="1" x14ac:dyDescent="0.25">
      <c r="A447" s="17">
        <f>VLOOKUP(C447,[1]Werke!$A$1:$C$168,3,0)</f>
        <v>14</v>
      </c>
      <c r="B447" s="17" t="str">
        <f>VLOOKUP(C447,[1]Werke!$A$1:$C$168,2,0)</f>
        <v>D72</v>
      </c>
      <c r="C447" s="18" t="s">
        <v>220</v>
      </c>
      <c r="D447" s="17" t="str">
        <f>VLOOKUP(C447,[1]Maliteslimalan!$A$1:$B$210,2,0)</f>
        <v>8000013493</v>
      </c>
      <c r="E447" s="19">
        <f>VLOOKUP(C447,[1]Bestellnr.!$A$1:$B$174,2,0)</f>
        <v>0</v>
      </c>
      <c r="F447" s="20" t="str">
        <f t="shared" si="227"/>
        <v>N   912 312 01</v>
      </c>
      <c r="G447" s="21">
        <v>932764000</v>
      </c>
      <c r="H447" s="17">
        <f t="shared" si="228"/>
        <v>3.6850000000000001E-2</v>
      </c>
      <c r="I447" s="20"/>
      <c r="J447" s="17">
        <f>VLOOKUP(G447,W$2:X$1905,2,FALSE)</f>
        <v>385</v>
      </c>
      <c r="K447" s="17">
        <f t="shared" si="229"/>
        <v>0</v>
      </c>
      <c r="L447" s="22">
        <v>10</v>
      </c>
      <c r="M447" s="22">
        <v>30</v>
      </c>
      <c r="N447" s="22">
        <v>111444</v>
      </c>
      <c r="O447" s="22" t="str">
        <f t="shared" si="230"/>
        <v>001006</v>
      </c>
      <c r="P447" s="22">
        <f t="shared" si="231"/>
        <v>34</v>
      </c>
      <c r="Q447" s="22"/>
      <c r="R447" s="23" t="s">
        <v>153</v>
      </c>
      <c r="S447" s="22">
        <f t="shared" si="232"/>
        <v>0.56999999999999995</v>
      </c>
      <c r="T447" s="24">
        <f t="shared" si="233"/>
        <v>0</v>
      </c>
      <c r="U447" s="25">
        <f t="shared" si="234"/>
        <v>2</v>
      </c>
      <c r="V447" s="26" t="str">
        <f t="shared" si="235"/>
        <v/>
      </c>
    </row>
    <row r="448" spans="1:22" ht="46.5" customHeight="1" x14ac:dyDescent="0.25">
      <c r="A448" s="17" t="str">
        <f>VLOOKUP(C448,[1]Werke!$A$1:$C$168,3,0)</f>
        <v>K3</v>
      </c>
      <c r="B448" s="17">
        <f>VLOOKUP(C448,[1]Werke!$A$1:$C$168,2,0)</f>
        <v>501</v>
      </c>
      <c r="C448" s="18">
        <v>15501</v>
      </c>
      <c r="D448" s="17">
        <f>VLOOKUP(C448,[1]Maliteslimalan!$A$1:$B$210,2,0)</f>
        <v>8000012800</v>
      </c>
      <c r="E448" s="19">
        <v>6</v>
      </c>
      <c r="F448" s="20" t="str">
        <f t="shared" si="227"/>
        <v>N   912 312 01</v>
      </c>
      <c r="G448" s="21">
        <v>932764000</v>
      </c>
      <c r="H448" s="17">
        <f t="shared" si="228"/>
        <v>3.6850000000000001E-2</v>
      </c>
      <c r="I448" s="20"/>
      <c r="J448" s="17">
        <f>VLOOKUP(G448,W$2:X$1905,2,FALSE)</f>
        <v>385</v>
      </c>
      <c r="K448" s="17">
        <f t="shared" si="229"/>
        <v>0</v>
      </c>
      <c r="L448" s="22">
        <v>10</v>
      </c>
      <c r="M448" s="22">
        <v>30</v>
      </c>
      <c r="N448" s="22">
        <v>111444</v>
      </c>
      <c r="O448" s="22" t="str">
        <f t="shared" si="230"/>
        <v>001006</v>
      </c>
      <c r="P448" s="22">
        <f t="shared" si="231"/>
        <v>34</v>
      </c>
      <c r="Q448" s="22"/>
      <c r="R448" s="23" t="s">
        <v>153</v>
      </c>
      <c r="S448" s="22">
        <f t="shared" si="232"/>
        <v>0.56999999999999995</v>
      </c>
      <c r="T448" s="24">
        <f t="shared" si="233"/>
        <v>0</v>
      </c>
      <c r="U448" s="25">
        <f t="shared" si="234"/>
        <v>2</v>
      </c>
      <c r="V448" s="26" t="str">
        <f t="shared" si="235"/>
        <v/>
      </c>
    </row>
    <row r="449" spans="1:22" ht="46.5" customHeight="1" x14ac:dyDescent="0.25">
      <c r="A449" s="17" t="str">
        <f>VLOOKUP(C449,[1]Werke!$A$1:$C$168,3,0)</f>
        <v>3T</v>
      </c>
      <c r="B449" s="17" t="str">
        <f>VLOOKUP(C449,[1]Werke!$A$1:$C$168,2,0)</f>
        <v>BZ5</v>
      </c>
      <c r="C449" s="18" t="s">
        <v>242</v>
      </c>
      <c r="D449" s="17">
        <f>VLOOKUP(C449,[1]Maliteslimalan!$A$1:$B$210,2,0)</f>
        <v>8000012711</v>
      </c>
      <c r="E449" s="19">
        <v>6</v>
      </c>
      <c r="F449" s="20" t="str">
        <f t="shared" si="227"/>
        <v>N   912 312 01</v>
      </c>
      <c r="G449" s="21">
        <v>932764000</v>
      </c>
      <c r="H449" s="17">
        <f t="shared" si="228"/>
        <v>3.6850000000000001E-2</v>
      </c>
      <c r="I449" s="20"/>
      <c r="J449" s="17">
        <f>VLOOKUP(G449,W$2:X$1905,2,FALSE)</f>
        <v>385</v>
      </c>
      <c r="K449" s="17">
        <f t="shared" si="229"/>
        <v>0</v>
      </c>
      <c r="L449" s="22">
        <v>10</v>
      </c>
      <c r="M449" s="22">
        <v>30</v>
      </c>
      <c r="N449" s="22">
        <v>111444</v>
      </c>
      <c r="O449" s="22" t="str">
        <f t="shared" si="230"/>
        <v>001006</v>
      </c>
      <c r="P449" s="22">
        <f t="shared" si="231"/>
        <v>34</v>
      </c>
      <c r="Q449" s="22"/>
      <c r="R449" s="23" t="s">
        <v>153</v>
      </c>
      <c r="S449" s="22">
        <f t="shared" si="232"/>
        <v>0.56999999999999995</v>
      </c>
      <c r="T449" s="24">
        <f t="shared" si="233"/>
        <v>0</v>
      </c>
      <c r="U449" s="25">
        <f t="shared" si="234"/>
        <v>2</v>
      </c>
      <c r="V449" s="26" t="str">
        <f t="shared" si="235"/>
        <v/>
      </c>
    </row>
    <row r="450" spans="1:22" ht="46.5" customHeight="1" x14ac:dyDescent="0.25">
      <c r="A450" s="17"/>
      <c r="B450" s="17"/>
      <c r="C450" s="18"/>
      <c r="D450" s="17"/>
      <c r="E450" s="19"/>
      <c r="F450" s="20"/>
      <c r="G450" s="21"/>
      <c r="H450" s="17"/>
      <c r="I450" s="20"/>
      <c r="J450" s="17"/>
      <c r="K450" s="17"/>
      <c r="L450" s="22"/>
      <c r="M450" s="22"/>
      <c r="N450" s="22"/>
      <c r="O450" s="22"/>
      <c r="P450" s="22"/>
      <c r="Q450" s="22"/>
      <c r="R450" s="23"/>
      <c r="S450" s="22"/>
      <c r="T450" s="24"/>
      <c r="U450" s="25"/>
    </row>
    <row r="451" spans="1:22" ht="48.2" customHeight="1" x14ac:dyDescent="0.25">
      <c r="A451" s="17">
        <f>VLOOKUP(C451,[1]Werke!$A$1:$C$168,3,0)</f>
        <v>24</v>
      </c>
      <c r="B451" s="17" t="str">
        <f>VLOOKUP(C451,[1]Werke!$A$1:$C$168,2,0)</f>
        <v>CKH</v>
      </c>
      <c r="C451" s="18" t="s">
        <v>224</v>
      </c>
      <c r="D451" s="17">
        <f>VLOOKUP(C451,[1]Maliteslimalan!$A$1:$B$210,2,0)</f>
        <v>8000013551</v>
      </c>
      <c r="E451" s="19">
        <v>6</v>
      </c>
      <c r="F451" s="20" t="str">
        <f>VLOOKUP(G451,$U$1:$V$1730,2,0)</f>
        <v>N   912 331 01</v>
      </c>
      <c r="G451" s="21">
        <v>932885000</v>
      </c>
      <c r="H451" s="17">
        <f>VLOOKUP(G451,Z$2:AA$1905,2,FALSE)</f>
        <v>2.819E-2</v>
      </c>
      <c r="I451" s="20"/>
      <c r="J451" s="17">
        <f>VLOOKUP(G451,W$2:X$1905,2,FALSE)</f>
        <v>400</v>
      </c>
      <c r="K451" s="17">
        <f>I451/J451</f>
        <v>0</v>
      </c>
      <c r="L451" s="22">
        <v>10</v>
      </c>
      <c r="M451" s="22">
        <v>10</v>
      </c>
      <c r="N451" s="22">
        <v>111444</v>
      </c>
      <c r="O451" s="22" t="str">
        <f>VLOOKUP(N451,$AL$1285:$AM$1310,2,FALSE)</f>
        <v>001006</v>
      </c>
      <c r="P451" s="22">
        <f>VLOOKUP(N451,AC$2:AD$1905,2,FALSE)</f>
        <v>34</v>
      </c>
      <c r="Q451" s="22"/>
      <c r="R451" s="23" t="s">
        <v>153</v>
      </c>
      <c r="S451" s="22">
        <f>VLOOKUP(R451,AC$2:AD$1905,2,FALSE)</f>
        <v>0.56999999999999995</v>
      </c>
      <c r="T451" s="24">
        <f>(H451*I451)+P451*Q451+S451*K451</f>
        <v>0</v>
      </c>
      <c r="U451" s="25">
        <f>IF(TRIM(N451&amp;"")="111444",
    IF(ROUNDUP(MAX(0,K451-(MAX(1,Q451)-1)*10)/10,0)=1,3,2),
    IF(TRIM(N451&amp;"")="VWPAL",
        IF(TRIM(R451&amp;"")="004147",1,2),
        ""
    )
)</f>
        <v>2</v>
      </c>
      <c r="V451" s="26" t="str">
        <f>IF(OR(TRIM(N451&amp;"")="111444",TRIM(N451&amp;"")="VWPAL"),
    IF(K451&lt;=0,"",
        IF(
            MIN(3,ROUNDUP(MAX(0,K451-(MAX(1,Q451)-1)*IF(TRIM(N451&amp;"")="111444",10,20))/IF(TRIM(N451&amp;"")="111444",10,20),0))=1,
            300,
            IF(
                MIN(3,ROUNDUP(MAX(0,K451-(MAX(1,Q451)-1)*IF(TRIM(N451&amp;"")="111444",10,20))/IF(TRIM(N451&amp;"")="111444",10,20),0))=2,
                450,
                600
            )
        )
    ),
    ""
)</f>
        <v/>
      </c>
    </row>
    <row r="452" spans="1:22" ht="48.2" customHeight="1" x14ac:dyDescent="0.25">
      <c r="A452" s="17">
        <f>VLOOKUP(C452,[1]Werke!$A$1:$C$168,3,0)</f>
        <v>22</v>
      </c>
      <c r="B452" s="17" t="str">
        <f>VLOOKUP(C452,[1]Werke!$A$1:$C$168,2,0)</f>
        <v>13P</v>
      </c>
      <c r="C452" s="18" t="s">
        <v>230</v>
      </c>
      <c r="D452" s="17" t="str">
        <f>VLOOKUP(C452,[1]Maliteslimalan!$A$1:$B$210,2,0)</f>
        <v>8000013344</v>
      </c>
      <c r="E452" s="19" t="str">
        <f>VLOOKUP(C452,[1]Bestellnr.!$A$1:$B$174,2,0)</f>
        <v>000006</v>
      </c>
      <c r="F452" s="20" t="str">
        <f>VLOOKUP(G452,$U$1:$V$1730,2,0)</f>
        <v>N   912 331 01</v>
      </c>
      <c r="G452" s="21">
        <v>932885000</v>
      </c>
      <c r="H452" s="17">
        <f>VLOOKUP(G452,Z$2:AA$1905,2,FALSE)</f>
        <v>2.819E-2</v>
      </c>
      <c r="I452" s="20"/>
      <c r="J452" s="17">
        <f>VLOOKUP(G452,W$2:X$1905,2,FALSE)</f>
        <v>400</v>
      </c>
      <c r="K452" s="17">
        <f>I452/J452</f>
        <v>0</v>
      </c>
      <c r="L452" s="22">
        <v>10</v>
      </c>
      <c r="M452" s="22">
        <v>30</v>
      </c>
      <c r="N452" s="22">
        <v>111444</v>
      </c>
      <c r="O452" s="22" t="str">
        <f>VLOOKUP(N452,$AL$1285:$AM$1310,2,FALSE)</f>
        <v>001006</v>
      </c>
      <c r="P452" s="22">
        <f>VLOOKUP(N452,AC$2:AD$1905,2,FALSE)</f>
        <v>34</v>
      </c>
      <c r="Q452" s="22"/>
      <c r="R452" s="23" t="s">
        <v>153</v>
      </c>
      <c r="S452" s="22">
        <f>VLOOKUP(R452,AC$2:AD$1905,2,FALSE)</f>
        <v>0.56999999999999995</v>
      </c>
      <c r="T452" s="24">
        <f>(H452*I452)+P452*Q452+S452*K452</f>
        <v>0</v>
      </c>
      <c r="U452" s="25">
        <f>IF(TRIM(N452&amp;"")="111444",
    IF(ROUNDUP(MAX(0,K452-(MAX(1,Q452)-1)*10)/10,0)=1,3,2),
    IF(TRIM(N452&amp;"")="VWPAL",
        IF(TRIM(R452&amp;"")="004147",1,2),
        ""
    )
)</f>
        <v>2</v>
      </c>
      <c r="V452" s="26" t="str">
        <f>IF(OR(TRIM(N452&amp;"")="111444",TRIM(N452&amp;"")="VWPAL"),
    IF(K452&lt;=0,"",
        IF(
            MIN(3,ROUNDUP(MAX(0,K452-(MAX(1,Q452)-1)*IF(TRIM(N452&amp;"")="111444",10,20))/IF(TRIM(N452&amp;"")="111444",10,20),0))=1,
            300,
            IF(
                MIN(3,ROUNDUP(MAX(0,K452-(MAX(1,Q452)-1)*IF(TRIM(N452&amp;"")="111444",10,20))/IF(TRIM(N452&amp;"")="111444",10,20),0))=2,
                450,
                600
            )
        )
    ),
    ""
)</f>
        <v/>
      </c>
    </row>
    <row r="453" spans="1:22" ht="48.2" customHeight="1" x14ac:dyDescent="0.25">
      <c r="A453" s="17">
        <f>VLOOKUP(C453,[1]Werke!$A$1:$C$168,3,0)</f>
        <v>37</v>
      </c>
      <c r="B453" s="17" t="str">
        <f>VLOOKUP(C453,[1]Werke!$A$1:$C$168,2,0)</f>
        <v>AKL</v>
      </c>
      <c r="C453" s="18" t="s">
        <v>232</v>
      </c>
      <c r="D453" s="17" t="str">
        <f>VLOOKUP(C453,[1]Maliteslimalan!$A$1:$B$210,2,0)</f>
        <v>8000012562</v>
      </c>
      <c r="E453" s="19" t="str">
        <f>VLOOKUP(C453,[1]Bestellnr.!$A$1:$B$174,2,0)</f>
        <v>000006</v>
      </c>
      <c r="F453" s="20" t="str">
        <f>VLOOKUP(G453,$U$1:$V$1730,2,0)</f>
        <v>N   912 331 01</v>
      </c>
      <c r="G453" s="21">
        <v>932885000</v>
      </c>
      <c r="H453" s="17">
        <f>VLOOKUP(G453,Z$2:AA$1905,2,FALSE)</f>
        <v>2.819E-2</v>
      </c>
      <c r="I453" s="20"/>
      <c r="J453" s="17">
        <f>VLOOKUP(G453,W$2:X$1905,2,FALSE)</f>
        <v>400</v>
      </c>
      <c r="K453" s="17">
        <f>I453/J453</f>
        <v>0</v>
      </c>
      <c r="L453" s="22">
        <v>10</v>
      </c>
      <c r="M453" s="22">
        <v>30</v>
      </c>
      <c r="N453" s="22">
        <v>111444</v>
      </c>
      <c r="O453" s="22" t="str">
        <f>VLOOKUP(N453,$AL$1285:$AM$1310,2,FALSE)</f>
        <v>001006</v>
      </c>
      <c r="P453" s="22">
        <f>VLOOKUP(N453,AC$2:AD$1905,2,FALSE)</f>
        <v>34</v>
      </c>
      <c r="Q453" s="22"/>
      <c r="R453" s="23" t="s">
        <v>153</v>
      </c>
      <c r="S453" s="22">
        <f>VLOOKUP(R453,AC$2:AD$1905,2,FALSE)</f>
        <v>0.56999999999999995</v>
      </c>
      <c r="T453" s="24">
        <f>(H453*I453)+P453*Q453+S453*K453</f>
        <v>0</v>
      </c>
      <c r="U453" s="25">
        <f>IF(TRIM(N453&amp;"")="111444",
    IF(ROUNDUP(MAX(0,K453-(MAX(1,Q453)-1)*10)/10,0)=1,3,2),
    IF(TRIM(N453&amp;"")="VWPAL",
        IF(TRIM(R453&amp;"")="004147",1,2),
        ""
    )
)</f>
        <v>2</v>
      </c>
      <c r="V453" s="26" t="str">
        <f>IF(OR(TRIM(N453&amp;"")="111444",TRIM(N453&amp;"")="VWPAL"),
    IF(K453&lt;=0,"",
        IF(
            MIN(3,ROUNDUP(MAX(0,K453-(MAX(1,Q453)-1)*IF(TRIM(N453&amp;"")="111444",10,20))/IF(TRIM(N453&amp;"")="111444",10,20),0))=1,
            300,
            IF(
                MIN(3,ROUNDUP(MAX(0,K453-(MAX(1,Q453)-1)*IF(TRIM(N453&amp;"")="111444",10,20))/IF(TRIM(N453&amp;"")="111444",10,20),0))=2,
                450,
                600
            )
        )
    ),
    ""
)</f>
        <v/>
      </c>
    </row>
    <row r="454" spans="1:22" ht="48.2" customHeight="1" x14ac:dyDescent="0.25">
      <c r="A454" s="17">
        <f>VLOOKUP(C454,[1]Werke!$A$1:$C$168,3,0)</f>
        <v>14</v>
      </c>
      <c r="B454" s="17" t="str">
        <f>VLOOKUP(C454,[1]Werke!$A$1:$C$168,2,0)</f>
        <v>D85</v>
      </c>
      <c r="C454" s="18" t="s">
        <v>239</v>
      </c>
      <c r="D454" s="17" t="str">
        <f>VLOOKUP(C454,[1]Maliteslimalan!$A$1:$B$210,2,0)</f>
        <v>8000012682</v>
      </c>
      <c r="E454" s="19">
        <f>VLOOKUP(C454,[1]Bestellnr.!$A$1:$B$174,2,0)</f>
        <v>0</v>
      </c>
      <c r="F454" s="20" t="str">
        <f>VLOOKUP(G454,$U$1:$V$1730,2,0)</f>
        <v>N   912 331 01</v>
      </c>
      <c r="G454" s="21">
        <v>932885000</v>
      </c>
      <c r="H454" s="17">
        <f>VLOOKUP(G454,Z$2:AA$1905,2,FALSE)</f>
        <v>2.819E-2</v>
      </c>
      <c r="I454" s="20"/>
      <c r="J454" s="17">
        <f>VLOOKUP(G454,W$2:X$1905,2,FALSE)</f>
        <v>400</v>
      </c>
      <c r="K454" s="17">
        <f>I454/J454</f>
        <v>0</v>
      </c>
      <c r="L454" s="22">
        <v>10</v>
      </c>
      <c r="M454" s="22">
        <v>30</v>
      </c>
      <c r="N454" s="22">
        <v>111444</v>
      </c>
      <c r="O454" s="22" t="str">
        <f>VLOOKUP(N454,$AL$1285:$AM$1310,2,FALSE)</f>
        <v>001006</v>
      </c>
      <c r="P454" s="22">
        <f>VLOOKUP(N454,AC$2:AD$1905,2,FALSE)</f>
        <v>34</v>
      </c>
      <c r="Q454" s="22"/>
      <c r="R454" s="23" t="s">
        <v>153</v>
      </c>
      <c r="S454" s="22">
        <f>VLOOKUP(R454,AC$2:AD$1905,2,FALSE)</f>
        <v>0.56999999999999995</v>
      </c>
      <c r="T454" s="24">
        <f>(H454*I454)+P454*Q454+S454*K454</f>
        <v>0</v>
      </c>
      <c r="U454" s="25">
        <f>IF(TRIM(N454&amp;"")="111444",
    IF(ROUNDUP(MAX(0,K454-(MAX(1,Q454)-1)*10)/10,0)=1,3,2),
    IF(TRIM(N454&amp;"")="VWPAL",
        IF(TRIM(R454&amp;"")="004147",1,2),
        ""
    )
)</f>
        <v>2</v>
      </c>
      <c r="V454" s="26" t="str">
        <f>IF(OR(TRIM(N454&amp;"")="111444",TRIM(N454&amp;"")="VWPAL"),
    IF(K454&lt;=0,"",
        IF(
            MIN(3,ROUNDUP(MAX(0,K454-(MAX(1,Q454)-1)*IF(TRIM(N454&amp;"")="111444",10,20))/IF(TRIM(N454&amp;"")="111444",10,20),0))=1,
            300,
            IF(
                MIN(3,ROUNDUP(MAX(0,K454-(MAX(1,Q454)-1)*IF(TRIM(N454&amp;"")="111444",10,20))/IF(TRIM(N454&amp;"")="111444",10,20),0))=2,
                450,
                600
            )
        )
    ),
    ""
)</f>
        <v/>
      </c>
    </row>
    <row r="455" spans="1:22" ht="48.2" customHeight="1" x14ac:dyDescent="0.25">
      <c r="A455" s="17">
        <f>VLOOKUP(C455,[1]Werke!$A$1:$C$168,3,0)</f>
        <v>24</v>
      </c>
      <c r="B455" s="17" t="str">
        <f>VLOOKUP(C455,[1]Werke!$A$1:$C$168,2,0)</f>
        <v>CKS</v>
      </c>
      <c r="C455" s="18" t="s">
        <v>245</v>
      </c>
      <c r="D455" s="17" t="str">
        <f>VLOOKUP(C455,[1]Maliteslimalan!$A$1:$B$210,2,0)</f>
        <v>8000012647</v>
      </c>
      <c r="E455" s="19" t="str">
        <f>VLOOKUP(C455,[1]Bestellnr.!$A$1:$B$174,2,0)</f>
        <v>000006</v>
      </c>
      <c r="F455" s="20" t="str">
        <f>VLOOKUP(G455,$U$1:$V$1730,2,0)</f>
        <v>N   912 331 01</v>
      </c>
      <c r="G455" s="21">
        <v>932885000</v>
      </c>
      <c r="H455" s="17">
        <f>VLOOKUP(G455,Z$2:AA$1905,2,FALSE)</f>
        <v>2.819E-2</v>
      </c>
      <c r="I455" s="20"/>
      <c r="J455" s="17">
        <f>VLOOKUP(G455,W$2:X$1905,2,FALSE)</f>
        <v>400</v>
      </c>
      <c r="K455" s="17">
        <f>I455/J455</f>
        <v>0</v>
      </c>
      <c r="L455" s="22">
        <v>10</v>
      </c>
      <c r="M455" s="22">
        <v>10</v>
      </c>
      <c r="N455" s="22">
        <v>111444</v>
      </c>
      <c r="O455" s="22" t="str">
        <f>VLOOKUP(N455,$AL$1285:$AM$1310,2,FALSE)</f>
        <v>001006</v>
      </c>
      <c r="P455" s="22">
        <f>VLOOKUP(N455,AC$2:AD$1905,2,FALSE)</f>
        <v>34</v>
      </c>
      <c r="Q455" s="22"/>
      <c r="R455" s="23" t="s">
        <v>153</v>
      </c>
      <c r="S455" s="22">
        <f>VLOOKUP(R455,AC$2:AD$1905,2,FALSE)</f>
        <v>0.56999999999999995</v>
      </c>
      <c r="T455" s="24">
        <f>(H455*I455)+P455*Q455+S455*K455</f>
        <v>0</v>
      </c>
      <c r="U455" s="25">
        <f>IF(TRIM(N455&amp;"")="111444",
    IF(ROUNDUP(MAX(0,K455-(MAX(1,Q455)-1)*10)/10,0)=1,3,2),
    IF(TRIM(N455&amp;"")="VWPAL",
        IF(TRIM(R455&amp;"")="004147",1,2),
        ""
    )
)</f>
        <v>2</v>
      </c>
      <c r="V455" s="26" t="str">
        <f>IF(OR(TRIM(N455&amp;"")="111444",TRIM(N455&amp;"")="VWPAL"),
    IF(K455&lt;=0,"",
        IF(
            MIN(3,ROUNDUP(MAX(0,K455-(MAX(1,Q455)-1)*IF(TRIM(N455&amp;"")="111444",10,20))/IF(TRIM(N455&amp;"")="111444",10,20),0))=1,
            300,
            IF(
                MIN(3,ROUNDUP(MAX(0,K455-(MAX(1,Q455)-1)*IF(TRIM(N455&amp;"")="111444",10,20))/IF(TRIM(N455&amp;"")="111444",10,20),0))=2,
                450,
                600
            )
        )
    ),
    ""
)</f>
        <v/>
      </c>
    </row>
    <row r="456" spans="1:22" ht="48" customHeight="1" x14ac:dyDescent="0.25">
      <c r="A456" s="17"/>
      <c r="B456" s="17"/>
      <c r="C456" s="18"/>
      <c r="D456" s="17"/>
      <c r="E456" s="19"/>
      <c r="F456" s="20"/>
      <c r="G456" s="21"/>
      <c r="H456" s="17"/>
      <c r="I456" s="20"/>
      <c r="J456" s="17"/>
      <c r="K456" s="17"/>
      <c r="L456" s="22"/>
      <c r="M456" s="22"/>
      <c r="N456" s="22"/>
      <c r="O456" s="22"/>
      <c r="P456" s="22"/>
      <c r="Q456" s="22"/>
      <c r="R456" s="23"/>
      <c r="S456" s="22"/>
      <c r="T456" s="24"/>
      <c r="U456" s="25"/>
    </row>
    <row r="457" spans="1:22" ht="48.2" customHeight="1" x14ac:dyDescent="0.25">
      <c r="A457" s="17">
        <f>VLOOKUP(C457,[1]Werke!$A$1:$C$168,3,0)</f>
        <v>31</v>
      </c>
      <c r="B457" s="17" t="str">
        <f>VLOOKUP(C457,[1]Werke!$A$1:$C$168,2,0)</f>
        <v>BH7</v>
      </c>
      <c r="C457" s="18" t="s">
        <v>250</v>
      </c>
      <c r="D457" s="17">
        <f>VLOOKUP(C457,[1]Maliteslimalan!$A$1:$B$210,2,0)</f>
        <v>8000015577</v>
      </c>
      <c r="E457" s="19">
        <v>6</v>
      </c>
      <c r="F457" s="20" t="str">
        <f>VLOOKUP(G457,$U$1:$V$1730,2,0)</f>
        <v>N   912 429 01</v>
      </c>
      <c r="G457" s="21">
        <v>934590000</v>
      </c>
      <c r="H457" s="17">
        <f>VLOOKUP(G457,Z$2:AA$1905,2,FALSE)</f>
        <v>9.1500000000000001E-3</v>
      </c>
      <c r="I457" s="20"/>
      <c r="J457" s="17">
        <f>VLOOKUP(G457,W$2:X$1905,2,FALSE)</f>
        <v>1000</v>
      </c>
      <c r="K457" s="17">
        <f>I457/J457</f>
        <v>0</v>
      </c>
      <c r="L457" s="22">
        <v>20</v>
      </c>
      <c r="M457" s="22">
        <v>20</v>
      </c>
      <c r="N457" s="22" t="s">
        <v>155</v>
      </c>
      <c r="O457" s="22" t="str">
        <f>VLOOKUP(N457,$AL$1285:$AM$1310,2,FALSE)</f>
        <v>001210</v>
      </c>
      <c r="P457" s="22">
        <f>VLOOKUP(N457,AC$2:AD$1905,2,FALSE)</f>
        <v>55</v>
      </c>
      <c r="Q457" s="22"/>
      <c r="R457" s="23" t="s">
        <v>153</v>
      </c>
      <c r="S457" s="22">
        <f>VLOOKUP(R457,AC$2:AD$1905,2,FALSE)</f>
        <v>0.56999999999999995</v>
      </c>
      <c r="T457" s="24">
        <f>(H457*I457)+P457*Q457+S457*K457</f>
        <v>0</v>
      </c>
      <c r="U457" s="25">
        <f>IF(TRIM(N457&amp;"")="111444",
    IF(ROUNDUP(MAX(0,K457-(MAX(1,Q457)-1)*10)/10,0)=1,3,2),
    IF(TRIM(N457&amp;"")="VWPAL",
        IF(TRIM(R457&amp;"")="004147",1,2),
        ""
    )
)</f>
        <v>2</v>
      </c>
      <c r="V457" s="26" t="str">
        <f>IF(OR(TRIM(N457&amp;"")="111444",TRIM(N457&amp;"")="VWPAL"),
    IF(K457&lt;=0,"",
        IF(
            MIN(3,ROUNDUP(MAX(0,K457-(MAX(1,Q457)-1)*IF(TRIM(N457&amp;"")="111444",10,20))/IF(TRIM(N457&amp;"")="111444",10,20),0))=1,
            300,
            IF(
                MIN(3,ROUNDUP(MAX(0,K457-(MAX(1,Q457)-1)*IF(TRIM(N457&amp;"")="111444",10,20))/IF(TRIM(N457&amp;"")="111444",10,20),0))=2,
                450,
                600
            )
        )
    ),
    ""
)</f>
        <v/>
      </c>
    </row>
    <row r="458" spans="1:22" ht="48.2" customHeight="1" x14ac:dyDescent="0.25">
      <c r="A458" s="17">
        <f>VLOOKUP(C458,[1]Werke!$A$1:$C$168,3,0)</f>
        <v>14</v>
      </c>
      <c r="B458" s="17" t="str">
        <f>VLOOKUP(C458,[1]Werke!$A$1:$C$168,2,0)</f>
        <v>D85</v>
      </c>
      <c r="C458" s="18" t="s">
        <v>239</v>
      </c>
      <c r="D458" s="17" t="str">
        <f>VLOOKUP(C458,[1]Maliteslimalan!$A$1:$B$210,2,0)</f>
        <v>8000012682</v>
      </c>
      <c r="E458" s="19">
        <f>VLOOKUP(C458,[1]Bestellnr.!$A$1:$B$174,2,0)</f>
        <v>0</v>
      </c>
      <c r="F458" s="20" t="str">
        <f>VLOOKUP(G458,$U$1:$V$1730,2,0)</f>
        <v>N   912 429 01</v>
      </c>
      <c r="G458" s="21">
        <v>934590000</v>
      </c>
      <c r="H458" s="17">
        <f>VLOOKUP(G458,Z$2:AA$1905,2,FALSE)</f>
        <v>9.1500000000000001E-3</v>
      </c>
      <c r="I458" s="20"/>
      <c r="J458" s="17">
        <f>VLOOKUP(G458,W$2:X$1905,2,FALSE)</f>
        <v>1000</v>
      </c>
      <c r="K458" s="17">
        <f>I458/J458</f>
        <v>0</v>
      </c>
      <c r="L458" s="22">
        <v>10</v>
      </c>
      <c r="M458" s="22">
        <v>30</v>
      </c>
      <c r="N458" s="22">
        <v>111444</v>
      </c>
      <c r="O458" s="22" t="str">
        <f>VLOOKUP(N458,$AL$1285:$AM$1310,2,FALSE)</f>
        <v>001006</v>
      </c>
      <c r="P458" s="22">
        <f>VLOOKUP(N458,AC$2:AD$1905,2,FALSE)</f>
        <v>34</v>
      </c>
      <c r="Q458" s="22"/>
      <c r="R458" s="23" t="s">
        <v>153</v>
      </c>
      <c r="S458" s="22">
        <f>VLOOKUP(R458,AC$2:AD$1905,2,FALSE)</f>
        <v>0.56999999999999995</v>
      </c>
      <c r="T458" s="24">
        <f>(H458*I458)+P458*Q458+S458*K458</f>
        <v>0</v>
      </c>
      <c r="U458" s="25">
        <f>IF(TRIM(N458&amp;"")="111444",
    IF(ROUNDUP(MAX(0,K458-(MAX(1,Q458)-1)*10)/10,0)=1,3,2),
    IF(TRIM(N458&amp;"")="VWPAL",
        IF(TRIM(R458&amp;"")="004147",1,2),
        ""
    )
)</f>
        <v>2</v>
      </c>
      <c r="V458" s="26" t="str">
        <f>IF(OR(TRIM(N458&amp;"")="111444",TRIM(N458&amp;"")="VWPAL"),
    IF(K458&lt;=0,"",
        IF(
            MIN(3,ROUNDUP(MAX(0,K458-(MAX(1,Q458)-1)*IF(TRIM(N458&amp;"")="111444",10,20))/IF(TRIM(N458&amp;"")="111444",10,20),0))=1,
            300,
            IF(
                MIN(3,ROUNDUP(MAX(0,K458-(MAX(1,Q458)-1)*IF(TRIM(N458&amp;"")="111444",10,20))/IF(TRIM(N458&amp;"")="111444",10,20),0))=2,
                450,
                600
            )
        )
    ),
    ""
)</f>
        <v/>
      </c>
    </row>
    <row r="459" spans="1:22" ht="48.2" customHeight="1" x14ac:dyDescent="0.25">
      <c r="A459" s="17" t="str">
        <f>VLOOKUP(C459,[1]Werke!$A$1:$C$168,3,0)</f>
        <v>14S</v>
      </c>
      <c r="B459" s="17" t="str">
        <f>VLOOKUP(C459,[1]Werke!$A$1:$C$168,2,0)</f>
        <v>H26</v>
      </c>
      <c r="C459" s="18" t="s">
        <v>288</v>
      </c>
      <c r="D459" s="17">
        <f>VLOOKUP(C459,[1]Maliteslimalan!$A$1:$B$210,2,0)</f>
        <v>8000012915</v>
      </c>
      <c r="E459" s="19">
        <v>6</v>
      </c>
      <c r="F459" s="20" t="str">
        <f>VLOOKUP(G459,$U$1:$V$1730,2,0)</f>
        <v>N   912 429 01</v>
      </c>
      <c r="G459" s="21">
        <v>934590000</v>
      </c>
      <c r="H459" s="17">
        <f>VLOOKUP(G459,Z$2:AA$1905,2,FALSE)</f>
        <v>9.1500000000000001E-3</v>
      </c>
      <c r="I459" s="20"/>
      <c r="J459" s="17">
        <f>VLOOKUP(G459,W$2:X$1905,2,FALSE)</f>
        <v>1000</v>
      </c>
      <c r="K459" s="17">
        <f>I459/J459</f>
        <v>0</v>
      </c>
      <c r="L459" s="22">
        <v>10</v>
      </c>
      <c r="M459" s="22">
        <v>30</v>
      </c>
      <c r="N459" s="22">
        <v>111444</v>
      </c>
      <c r="O459" s="22" t="str">
        <f>VLOOKUP(N459,$AL$1285:$AM$1310,2,FALSE)</f>
        <v>001006</v>
      </c>
      <c r="P459" s="22">
        <f>VLOOKUP(N459,AC$2:AD$1905,2,FALSE)</f>
        <v>34</v>
      </c>
      <c r="Q459" s="22"/>
      <c r="R459" s="23" t="s">
        <v>153</v>
      </c>
      <c r="S459" s="22">
        <f>VLOOKUP(R459,AC$2:AD$1905,2,FALSE)</f>
        <v>0.56999999999999995</v>
      </c>
      <c r="T459" s="24">
        <f>(H459*I459)+P459*Q459+S459*K459</f>
        <v>0</v>
      </c>
      <c r="U459" s="25">
        <f>IF(TRIM(N459&amp;"")="111444",
    IF(ROUNDUP(MAX(0,K459-(MAX(1,Q459)-1)*10)/10,0)=1,3,2),
    IF(TRIM(N459&amp;"")="VWPAL",
        IF(TRIM(R459&amp;"")="004147",1,2),
        ""
    )
)</f>
        <v>2</v>
      </c>
      <c r="V459" s="26" t="str">
        <f>IF(OR(TRIM(N459&amp;"")="111444",TRIM(N459&amp;"")="VWPAL"),
    IF(K459&lt;=0,"",
        IF(
            MIN(3,ROUNDUP(MAX(0,K459-(MAX(1,Q459)-1)*IF(TRIM(N459&amp;"")="111444",10,20))/IF(TRIM(N459&amp;"")="111444",10,20),0))=1,
            300,
            IF(
                MIN(3,ROUNDUP(MAX(0,K459-(MAX(1,Q459)-1)*IF(TRIM(N459&amp;"")="111444",10,20))/IF(TRIM(N459&amp;"")="111444",10,20),0))=2,
                450,
                600
            )
        )
    ),
    ""
)</f>
        <v/>
      </c>
    </row>
    <row r="460" spans="1:22" ht="48.2" customHeight="1" x14ac:dyDescent="0.25">
      <c r="A460" s="17"/>
      <c r="B460" s="17"/>
      <c r="C460" s="18"/>
      <c r="D460" s="17"/>
      <c r="E460" s="19"/>
      <c r="F460" s="20"/>
      <c r="G460" s="21"/>
      <c r="H460" s="17"/>
      <c r="I460" s="20"/>
      <c r="J460" s="17"/>
      <c r="K460" s="17"/>
      <c r="L460" s="22"/>
      <c r="M460" s="22"/>
      <c r="N460" s="22"/>
      <c r="O460" s="22"/>
      <c r="P460" s="22"/>
      <c r="Q460" s="22"/>
      <c r="R460" s="23"/>
      <c r="S460" s="22"/>
      <c r="T460" s="24"/>
      <c r="U460" s="25"/>
    </row>
    <row r="461" spans="1:22" ht="50.25" customHeight="1" x14ac:dyDescent="0.25">
      <c r="A461" s="17">
        <f>VLOOKUP(C461,[1]Werke!$A$1:$C$168,3,0)</f>
        <v>21</v>
      </c>
      <c r="B461" s="17" t="str">
        <f>VLOOKUP(C461,[1]Werke!$A$1:$C$168,2,0)</f>
        <v>GZD</v>
      </c>
      <c r="C461" s="18" t="s">
        <v>223</v>
      </c>
      <c r="D461" s="17" t="str">
        <f>VLOOKUP(C461,[1]Maliteslimalan!$A$1:$B$210,2,0)</f>
        <v>8000012572</v>
      </c>
      <c r="E461" s="19" t="str">
        <f>VLOOKUP(C461,[1]Bestellnr.!$A$1:$B$174,2,0)</f>
        <v>000006</v>
      </c>
      <c r="F461" s="20" t="str">
        <f t="shared" ref="F461:F466" si="236">VLOOKUP(G461,$U$1:$V$1730,2,0)</f>
        <v>N   912 449 01</v>
      </c>
      <c r="G461" s="21">
        <v>936010001</v>
      </c>
      <c r="H461" s="17">
        <f t="shared" ref="H461:H466" si="237">VLOOKUP(G461,Z$2:AA$1905,2,FALSE)</f>
        <v>0.13452</v>
      </c>
      <c r="I461" s="20"/>
      <c r="J461" s="17">
        <f t="shared" ref="J461:J466" si="238">VLOOKUP(G461,W$2:X$1905,2,FALSE)</f>
        <v>90</v>
      </c>
      <c r="K461" s="17">
        <f t="shared" ref="K461:K466" si="239">I461/J461</f>
        <v>0</v>
      </c>
      <c r="L461" s="22">
        <v>20</v>
      </c>
      <c r="M461" s="22">
        <v>60</v>
      </c>
      <c r="N461" s="22" t="s">
        <v>155</v>
      </c>
      <c r="O461" s="22" t="str">
        <f t="shared" ref="O461:O466" si="240">VLOOKUP(N461,$AL$1285:$AM$1310,2,FALSE)</f>
        <v>001210</v>
      </c>
      <c r="P461" s="22">
        <f t="shared" ref="P461:P466" si="241">VLOOKUP(N461,AC$2:AD$1905,2,FALSE)</f>
        <v>55</v>
      </c>
      <c r="Q461" s="22"/>
      <c r="R461" s="23" t="s">
        <v>153</v>
      </c>
      <c r="S461" s="22">
        <f t="shared" ref="S461:S466" si="242">VLOOKUP(R461,AC$2:AD$1905,2,FALSE)</f>
        <v>0.56999999999999995</v>
      </c>
      <c r="T461" s="24">
        <f t="shared" ref="T461:T466" si="243">(H461*I461)+P461*Q461+S461*K461</f>
        <v>0</v>
      </c>
      <c r="U461" s="25">
        <f t="shared" ref="U461:U466" si="244">IF(TRIM(N461&amp;"")="111444",
    IF(ROUNDUP(MAX(0,K461-(MAX(1,Q461)-1)*10)/10,0)=1,3,2),
    IF(TRIM(N461&amp;"")="VWPAL",
        IF(TRIM(R461&amp;"")="004147",1,2),
        ""
    )
)</f>
        <v>2</v>
      </c>
      <c r="V461" s="26" t="str">
        <f t="shared" ref="V461:V466" si="245">IF(OR(TRIM(N461&amp;"")="111444",TRIM(N461&amp;"")="VWPAL"),
    IF(K461&lt;=0,"",
        IF(
            MIN(3,ROUNDUP(MAX(0,K461-(MAX(1,Q461)-1)*IF(TRIM(N461&amp;"")="111444",10,20))/IF(TRIM(N461&amp;"")="111444",10,20),0))=1,
            300,
            IF(
                MIN(3,ROUNDUP(MAX(0,K461-(MAX(1,Q461)-1)*IF(TRIM(N461&amp;"")="111444",10,20))/IF(TRIM(N461&amp;"")="111444",10,20),0))=2,
                450,
                600
            )
        )
    ),
    ""
)</f>
        <v/>
      </c>
    </row>
    <row r="462" spans="1:22" ht="50.25" customHeight="1" x14ac:dyDescent="0.25">
      <c r="A462" s="17" t="str">
        <f>VLOOKUP(C462,[1]Werke!$A$1:$C$168,3,0)</f>
        <v>3J</v>
      </c>
      <c r="B462" s="17" t="str">
        <f>VLOOKUP(C462,[1]Werke!$A$1:$C$168,2,0)</f>
        <v>EP8</v>
      </c>
      <c r="C462" s="18" t="s">
        <v>293</v>
      </c>
      <c r="D462" s="17">
        <f>VLOOKUP(C462,[1]Maliteslimalan!$A$1:$B$210,2,0)</f>
        <v>8000018336</v>
      </c>
      <c r="E462" s="19">
        <v>6</v>
      </c>
      <c r="F462" s="20" t="str">
        <f t="shared" si="236"/>
        <v>N   912 449 01</v>
      </c>
      <c r="G462" s="21">
        <v>936010001</v>
      </c>
      <c r="H462" s="17">
        <f t="shared" si="237"/>
        <v>0.13452</v>
      </c>
      <c r="I462" s="20"/>
      <c r="J462" s="17">
        <f t="shared" si="238"/>
        <v>90</v>
      </c>
      <c r="K462" s="17">
        <f t="shared" si="239"/>
        <v>0</v>
      </c>
      <c r="L462" s="22">
        <v>10</v>
      </c>
      <c r="M462" s="22">
        <v>30</v>
      </c>
      <c r="N462" s="22">
        <v>111444</v>
      </c>
      <c r="O462" s="22" t="str">
        <f t="shared" si="240"/>
        <v>001006</v>
      </c>
      <c r="P462" s="22">
        <f t="shared" si="241"/>
        <v>34</v>
      </c>
      <c r="Q462" s="22"/>
      <c r="R462" s="23" t="s">
        <v>153</v>
      </c>
      <c r="S462" s="22">
        <f t="shared" si="242"/>
        <v>0.56999999999999995</v>
      </c>
      <c r="T462" s="24">
        <f t="shared" si="243"/>
        <v>0</v>
      </c>
      <c r="U462" s="25">
        <f t="shared" si="244"/>
        <v>2</v>
      </c>
      <c r="V462" s="26" t="str">
        <f t="shared" si="245"/>
        <v/>
      </c>
    </row>
    <row r="463" spans="1:22" ht="50.25" customHeight="1" x14ac:dyDescent="0.25">
      <c r="A463" s="17">
        <f>VLOOKUP(C463,[1]Werke!$A$1:$C$168,3,0)</f>
        <v>22</v>
      </c>
      <c r="B463" s="17" t="str">
        <f>VLOOKUP(C463,[1]Werke!$A$1:$C$168,2,0)</f>
        <v>13P</v>
      </c>
      <c r="C463" s="18" t="s">
        <v>230</v>
      </c>
      <c r="D463" s="17" t="str">
        <f>VLOOKUP(C463,[1]Maliteslimalan!$A$1:$B$210,2,0)</f>
        <v>8000013344</v>
      </c>
      <c r="E463" s="19" t="str">
        <f>VLOOKUP(C463,[1]Bestellnr.!$A$1:$B$174,2,0)</f>
        <v>000006</v>
      </c>
      <c r="F463" s="20" t="str">
        <f t="shared" si="236"/>
        <v>N   912 449 01</v>
      </c>
      <c r="G463" s="21">
        <v>936010001</v>
      </c>
      <c r="H463" s="17">
        <f t="shared" si="237"/>
        <v>0.13452</v>
      </c>
      <c r="I463" s="20"/>
      <c r="J463" s="17">
        <f t="shared" si="238"/>
        <v>90</v>
      </c>
      <c r="K463" s="17">
        <f t="shared" si="239"/>
        <v>0</v>
      </c>
      <c r="L463" s="22">
        <v>10</v>
      </c>
      <c r="M463" s="22">
        <v>10</v>
      </c>
      <c r="N463" s="22">
        <v>111444</v>
      </c>
      <c r="O463" s="22" t="str">
        <f t="shared" si="240"/>
        <v>001006</v>
      </c>
      <c r="P463" s="22">
        <f t="shared" si="241"/>
        <v>34</v>
      </c>
      <c r="Q463" s="22"/>
      <c r="R463" s="23" t="s">
        <v>153</v>
      </c>
      <c r="S463" s="22">
        <f t="shared" si="242"/>
        <v>0.56999999999999995</v>
      </c>
      <c r="T463" s="24">
        <f t="shared" si="243"/>
        <v>0</v>
      </c>
      <c r="U463" s="25">
        <f t="shared" si="244"/>
        <v>2</v>
      </c>
      <c r="V463" s="26" t="str">
        <f t="shared" si="245"/>
        <v/>
      </c>
    </row>
    <row r="464" spans="1:22" ht="50.25" customHeight="1" x14ac:dyDescent="0.25">
      <c r="A464" s="17">
        <f>VLOOKUP(C464,[1]Werke!$A$1:$C$168,3,0)</f>
        <v>37</v>
      </c>
      <c r="B464" s="17" t="str">
        <f>VLOOKUP(C464,[1]Werke!$A$1:$C$168,2,0)</f>
        <v>AKL</v>
      </c>
      <c r="C464" s="18" t="s">
        <v>232</v>
      </c>
      <c r="D464" s="17" t="str">
        <f>VLOOKUP(C464,[1]Maliteslimalan!$A$1:$B$210,2,0)</f>
        <v>8000012562</v>
      </c>
      <c r="E464" s="19" t="str">
        <f>VLOOKUP(C464,[1]Bestellnr.!$A$1:$B$174,2,0)</f>
        <v>000006</v>
      </c>
      <c r="F464" s="20" t="str">
        <f t="shared" si="236"/>
        <v>N   912 449 01</v>
      </c>
      <c r="G464" s="21">
        <v>936010001</v>
      </c>
      <c r="H464" s="17">
        <f t="shared" si="237"/>
        <v>0.13452</v>
      </c>
      <c r="I464" s="20"/>
      <c r="J464" s="17">
        <f t="shared" si="238"/>
        <v>90</v>
      </c>
      <c r="K464" s="17">
        <f t="shared" si="239"/>
        <v>0</v>
      </c>
      <c r="L464" s="22">
        <v>10</v>
      </c>
      <c r="M464" s="22">
        <v>30</v>
      </c>
      <c r="N464" s="22" t="s">
        <v>155</v>
      </c>
      <c r="O464" s="22" t="str">
        <f t="shared" si="240"/>
        <v>001210</v>
      </c>
      <c r="P464" s="22">
        <f t="shared" si="241"/>
        <v>55</v>
      </c>
      <c r="Q464" s="22"/>
      <c r="R464" s="23" t="s">
        <v>175</v>
      </c>
      <c r="S464" s="22">
        <f t="shared" si="242"/>
        <v>1.08</v>
      </c>
      <c r="T464" s="24">
        <f t="shared" si="243"/>
        <v>0</v>
      </c>
      <c r="U464" s="25">
        <f t="shared" si="244"/>
        <v>1</v>
      </c>
      <c r="V464" s="26" t="str">
        <f t="shared" si="245"/>
        <v/>
      </c>
    </row>
    <row r="465" spans="1:22" ht="50.25" customHeight="1" x14ac:dyDescent="0.25">
      <c r="A465" s="17">
        <f>VLOOKUP(C465,[1]Werke!$A$1:$C$168,3,0)</f>
        <v>14</v>
      </c>
      <c r="B465" s="17" t="str">
        <f>VLOOKUP(C465,[1]Werke!$A$1:$C$168,2,0)</f>
        <v>D72</v>
      </c>
      <c r="C465" s="18" t="s">
        <v>220</v>
      </c>
      <c r="D465" s="17" t="str">
        <f>VLOOKUP(C465,[1]Maliteslimalan!$A$1:$B$210,2,0)</f>
        <v>8000013493</v>
      </c>
      <c r="E465" s="19">
        <f>VLOOKUP(C465,[1]Bestellnr.!$A$1:$B$174,2,0)</f>
        <v>0</v>
      </c>
      <c r="F465" s="20" t="str">
        <f t="shared" si="236"/>
        <v>N   912 449 01</v>
      </c>
      <c r="G465" s="21">
        <v>936010001</v>
      </c>
      <c r="H465" s="17">
        <f t="shared" si="237"/>
        <v>0.13452</v>
      </c>
      <c r="I465" s="20"/>
      <c r="J465" s="17">
        <f t="shared" si="238"/>
        <v>90</v>
      </c>
      <c r="K465" s="17">
        <f t="shared" si="239"/>
        <v>0</v>
      </c>
      <c r="L465" s="22">
        <v>10</v>
      </c>
      <c r="M465" s="22">
        <v>30</v>
      </c>
      <c r="N465" s="22">
        <v>111444</v>
      </c>
      <c r="O465" s="22" t="str">
        <f t="shared" si="240"/>
        <v>001006</v>
      </c>
      <c r="P465" s="22">
        <f t="shared" si="241"/>
        <v>34</v>
      </c>
      <c r="Q465" s="22"/>
      <c r="R465" s="23" t="s">
        <v>153</v>
      </c>
      <c r="S465" s="22">
        <f t="shared" si="242"/>
        <v>0.56999999999999995</v>
      </c>
      <c r="T465" s="24">
        <f t="shared" si="243"/>
        <v>0</v>
      </c>
      <c r="U465" s="25">
        <f t="shared" si="244"/>
        <v>2</v>
      </c>
      <c r="V465" s="26" t="str">
        <f t="shared" si="245"/>
        <v/>
      </c>
    </row>
    <row r="466" spans="1:22" ht="50.25" customHeight="1" x14ac:dyDescent="0.25">
      <c r="A466" s="17" t="str">
        <f>VLOOKUP(C466,[1]Werke!$A$1:$C$168,3,0)</f>
        <v>3U</v>
      </c>
      <c r="B466" s="17" t="str">
        <f>VLOOKUP(C466,[1]Werke!$A$1:$C$168,2,0)</f>
        <v>BZ2</v>
      </c>
      <c r="C466" s="18" t="s">
        <v>235</v>
      </c>
      <c r="D466" s="17" t="str">
        <f>VLOOKUP(C466,[1]Maliteslimalan!$A$1:$B$210,2,0)</f>
        <v>8000012860</v>
      </c>
      <c r="E466" s="19" t="str">
        <f>VLOOKUP(C466,[1]Bestellnr.!$A$1:$B$174,2,0)</f>
        <v>000055</v>
      </c>
      <c r="F466" s="20" t="str">
        <f t="shared" si="236"/>
        <v>N   912 449 01</v>
      </c>
      <c r="G466" s="21">
        <v>936010001</v>
      </c>
      <c r="H466" s="17">
        <f t="shared" si="237"/>
        <v>0.13452</v>
      </c>
      <c r="I466" s="20"/>
      <c r="J466" s="17">
        <f t="shared" si="238"/>
        <v>90</v>
      </c>
      <c r="K466" s="17">
        <f t="shared" si="239"/>
        <v>0</v>
      </c>
      <c r="L466" s="22">
        <v>10</v>
      </c>
      <c r="M466" s="22">
        <v>30</v>
      </c>
      <c r="N466" s="22">
        <v>111444</v>
      </c>
      <c r="O466" s="22" t="str">
        <f t="shared" si="240"/>
        <v>001006</v>
      </c>
      <c r="P466" s="22">
        <f t="shared" si="241"/>
        <v>34</v>
      </c>
      <c r="Q466" s="22"/>
      <c r="R466" s="23" t="s">
        <v>153</v>
      </c>
      <c r="S466" s="22">
        <f t="shared" si="242"/>
        <v>0.56999999999999995</v>
      </c>
      <c r="T466" s="24">
        <f t="shared" si="243"/>
        <v>0</v>
      </c>
      <c r="U466" s="25">
        <f t="shared" si="244"/>
        <v>2</v>
      </c>
      <c r="V466" s="26" t="str">
        <f t="shared" si="245"/>
        <v/>
      </c>
    </row>
    <row r="467" spans="1:22" ht="50.25" customHeight="1" x14ac:dyDescent="0.25">
      <c r="A467" s="17"/>
      <c r="B467" s="17"/>
      <c r="C467" s="18"/>
      <c r="D467" s="17"/>
      <c r="E467" s="19"/>
      <c r="F467" s="20"/>
      <c r="G467" s="21"/>
      <c r="H467" s="17"/>
      <c r="I467" s="20"/>
      <c r="J467" s="17"/>
      <c r="K467" s="17"/>
      <c r="L467" s="22"/>
      <c r="M467" s="22"/>
      <c r="N467" s="22"/>
      <c r="O467" s="22"/>
      <c r="P467" s="22"/>
      <c r="Q467" s="22"/>
      <c r="R467" s="23"/>
      <c r="S467" s="22"/>
      <c r="T467" s="24"/>
      <c r="U467" s="25"/>
    </row>
    <row r="468" spans="1:22" ht="48.2" customHeight="1" x14ac:dyDescent="0.25">
      <c r="A468" s="17" t="str">
        <f>VLOOKUP(C468,[1]Werke!$A$1:$C$168,3,0)</f>
        <v>LD</v>
      </c>
      <c r="B468" s="17" t="str">
        <f>VLOOKUP(C468,[1]Werke!$A$1:$C$168,2,0)</f>
        <v>SLD</v>
      </c>
      <c r="C468" s="18">
        <v>83630</v>
      </c>
      <c r="D468" s="17" t="str">
        <f>VLOOKUP(C468,[1]Maliteslimalan!$A$1:$B$210,2,0)</f>
        <v>8000012862</v>
      </c>
      <c r="E468" s="19" t="str">
        <f>VLOOKUP(C468,[1]Bestellnr.!$A$1:$B$174,2,0)</f>
        <v>000006</v>
      </c>
      <c r="F468" s="20" t="str">
        <f>VLOOKUP(G468,$U$1:$V$1730,2,0)</f>
        <v>N   912 557 01</v>
      </c>
      <c r="G468" s="21">
        <v>936428000</v>
      </c>
      <c r="H468" s="17">
        <f>VLOOKUP(G468,Z$2:AA$1905,2,FALSE)</f>
        <v>3.601E-2</v>
      </c>
      <c r="I468" s="20"/>
      <c r="J468" s="17" t="str">
        <f>VLOOKUP(G468,W$2:X$1905,2,FALSE)</f>
        <v>350</v>
      </c>
      <c r="K468" s="17">
        <f>I468/J468</f>
        <v>0</v>
      </c>
      <c r="L468" s="22">
        <v>10</v>
      </c>
      <c r="M468" s="22">
        <v>10</v>
      </c>
      <c r="N468" s="22">
        <v>111444</v>
      </c>
      <c r="O468" s="22" t="str">
        <f>VLOOKUP(N468,$AL$1285:$AM$1310,2,FALSE)</f>
        <v>001006</v>
      </c>
      <c r="P468" s="22">
        <f>VLOOKUP(N468,AC$2:AD$1905,2,FALSE)</f>
        <v>34</v>
      </c>
      <c r="Q468" s="22"/>
      <c r="R468" s="23" t="s">
        <v>153</v>
      </c>
      <c r="S468" s="22">
        <f>VLOOKUP(R468,AC$2:AD$1905,2,FALSE)</f>
        <v>0.56999999999999995</v>
      </c>
      <c r="T468" s="24">
        <f>(H468*I468)+P468*Q468+S468*K468</f>
        <v>0</v>
      </c>
      <c r="U468" s="25">
        <f>IF(TRIM(N468&amp;"")="111444",
    IF(ROUNDUP(MAX(0,K468-(MAX(1,Q468)-1)*10)/10,0)=1,3,2),
    IF(TRIM(N468&amp;"")="VWPAL",
        IF(TRIM(R468&amp;"")="004147",1,2),
        ""
    )
)</f>
        <v>2</v>
      </c>
      <c r="V468" s="26" t="str">
        <f>IF(OR(TRIM(N468&amp;"")="111444",TRIM(N468&amp;"")="VWPAL"),
    IF(K468&lt;=0,"",
        IF(
            MIN(3,ROUNDUP(MAX(0,K468-(MAX(1,Q468)-1)*IF(TRIM(N468&amp;"")="111444",10,20))/IF(TRIM(N468&amp;"")="111444",10,20),0))=1,
            300,
            IF(
                MIN(3,ROUNDUP(MAX(0,K468-(MAX(1,Q468)-1)*IF(TRIM(N468&amp;"")="111444",10,20))/IF(TRIM(N468&amp;"")="111444",10,20),0))=2,
                450,
                600
            )
        )
    ),
    ""
)</f>
        <v/>
      </c>
    </row>
    <row r="469" spans="1:22" ht="48.2" customHeight="1" x14ac:dyDescent="0.25">
      <c r="A469" s="17">
        <f>VLOOKUP(C469,[1]Werke!$A$1:$C$168,3,0)</f>
        <v>14</v>
      </c>
      <c r="B469" s="17" t="str">
        <f>VLOOKUP(C469,[1]Werke!$A$1:$C$168,2,0)</f>
        <v>D85</v>
      </c>
      <c r="C469" s="18" t="s">
        <v>204</v>
      </c>
      <c r="D469" s="17" t="str">
        <f>VLOOKUP(C469,[1]Maliteslimalan!$A$1:$B$210,2,0)</f>
        <v>8000012682</v>
      </c>
      <c r="E469" s="19">
        <f>VLOOKUP(C469,[1]Bestellnr.!$A$1:$B$174,2,0)</f>
        <v>0</v>
      </c>
      <c r="F469" s="20" t="str">
        <f>VLOOKUP(G469,$U$1:$V$1730,2,0)</f>
        <v>N   912 557 01</v>
      </c>
      <c r="G469" s="21">
        <v>936428000</v>
      </c>
      <c r="H469" s="17">
        <f>VLOOKUP(G469,Z$2:AA$1905,2,FALSE)</f>
        <v>3.601E-2</v>
      </c>
      <c r="I469" s="20"/>
      <c r="J469" s="17" t="str">
        <f>VLOOKUP(G469,W$2:X$1905,2,FALSE)</f>
        <v>350</v>
      </c>
      <c r="K469" s="17">
        <f>I469/J469</f>
        <v>0</v>
      </c>
      <c r="L469" s="22">
        <v>10</v>
      </c>
      <c r="M469" s="22">
        <v>30</v>
      </c>
      <c r="N469" s="22">
        <v>111444</v>
      </c>
      <c r="O469" s="22" t="str">
        <f>VLOOKUP(N469,$AL$1285:$AM$1310,2,FALSE)</f>
        <v>001006</v>
      </c>
      <c r="P469" s="22">
        <f>VLOOKUP(N469,AC$2:AD$1905,2,FALSE)</f>
        <v>34</v>
      </c>
      <c r="Q469" s="22"/>
      <c r="R469" s="23" t="s">
        <v>153</v>
      </c>
      <c r="S469" s="22">
        <f>VLOOKUP(R469,AC$2:AD$1905,2,FALSE)</f>
        <v>0.56999999999999995</v>
      </c>
      <c r="T469" s="24">
        <f>(H469*I469)+P469*Q469+S469*K469</f>
        <v>0</v>
      </c>
      <c r="U469" s="25">
        <f>IF(TRIM(N469&amp;"")="111444",
    IF(ROUNDUP(MAX(0,K469-(MAX(1,Q469)-1)*10)/10,0)=1,3,2),
    IF(TRIM(N469&amp;"")="VWPAL",
        IF(TRIM(R469&amp;"")="004147",1,2),
        ""
    )
)</f>
        <v>2</v>
      </c>
      <c r="V469" s="26" t="str">
        <f>IF(OR(TRIM(N469&amp;"")="111444",TRIM(N469&amp;"")="VWPAL"),
    IF(K469&lt;=0,"",
        IF(
            MIN(3,ROUNDUP(MAX(0,K469-(MAX(1,Q469)-1)*IF(TRIM(N469&amp;"")="111444",10,20))/IF(TRIM(N469&amp;"")="111444",10,20),0))=1,
            300,
            IF(
                MIN(3,ROUNDUP(MAX(0,K469-(MAX(1,Q469)-1)*IF(TRIM(N469&amp;"")="111444",10,20))/IF(TRIM(N469&amp;"")="111444",10,20),0))=2,
                450,
                600
            )
        )
    ),
    ""
)</f>
        <v/>
      </c>
    </row>
    <row r="470" spans="1:22" ht="48.2" customHeight="1" x14ac:dyDescent="0.25">
      <c r="A470" s="17">
        <f>VLOOKUP(C470,[1]Werke!$A$1:$C$168,3,0)</f>
        <v>49</v>
      </c>
      <c r="B470" s="17" t="str">
        <f>VLOOKUP(C470,[1]Werke!$A$1:$C$168,2,0)</f>
        <v>CT</v>
      </c>
      <c r="C470" s="18" t="s">
        <v>217</v>
      </c>
      <c r="D470" s="17" t="str">
        <f>VLOOKUP(C470,[1]Maliteslimalan!$A$1:$B$210,2,0)</f>
        <v>8000012574</v>
      </c>
      <c r="E470" s="19" t="str">
        <f>VLOOKUP(C470,[1]Bestellnr.!$A$1:$B$174,2,0)</f>
        <v>000001</v>
      </c>
      <c r="F470" s="20" t="str">
        <f>VLOOKUP(G470,$U$1:$V$1730,2,0)</f>
        <v>N   912 557 01</v>
      </c>
      <c r="G470" s="21">
        <v>936428000</v>
      </c>
      <c r="H470" s="17">
        <f>VLOOKUP(G470,Z$2:AA$1905,2,FALSE)</f>
        <v>3.601E-2</v>
      </c>
      <c r="I470" s="20"/>
      <c r="J470" s="17" t="str">
        <f>VLOOKUP(G470,W$2:X$1905,2,FALSE)</f>
        <v>350</v>
      </c>
      <c r="K470" s="17">
        <f>I470/J470</f>
        <v>0</v>
      </c>
      <c r="L470" s="22">
        <v>10</v>
      </c>
      <c r="M470" s="22">
        <v>30</v>
      </c>
      <c r="N470" s="22">
        <v>111444</v>
      </c>
      <c r="O470" s="22" t="str">
        <f>VLOOKUP(N470,$AL$1285:$AM$1310,2,FALSE)</f>
        <v>001006</v>
      </c>
      <c r="P470" s="22">
        <f>VLOOKUP(N470,AC$2:AD$1905,2,FALSE)</f>
        <v>34</v>
      </c>
      <c r="Q470" s="22"/>
      <c r="R470" s="23" t="s">
        <v>153</v>
      </c>
      <c r="S470" s="22">
        <f>VLOOKUP(R470,AC$2:AD$1905,2,FALSE)</f>
        <v>0.56999999999999995</v>
      </c>
      <c r="T470" s="24">
        <f>(H470*I470)+P470*Q470+S470*K470</f>
        <v>0</v>
      </c>
      <c r="U470" s="25">
        <f>IF(TRIM(N470&amp;"")="111444",
    IF(ROUNDUP(MAX(0,K470-(MAX(1,Q470)-1)*10)/10,0)=1,3,2),
    IF(TRIM(N470&amp;"")="VWPAL",
        IF(TRIM(R470&amp;"")="004147",1,2),
        ""
    )
)</f>
        <v>2</v>
      </c>
      <c r="V470" s="26" t="str">
        <f>IF(OR(TRIM(N470&amp;"")="111444",TRIM(N470&amp;"")="VWPAL"),
    IF(K470&lt;=0,"",
        IF(
            MIN(3,ROUNDUP(MAX(0,K470-(MAX(1,Q470)-1)*IF(TRIM(N470&amp;"")="111444",10,20))/IF(TRIM(N470&amp;"")="111444",10,20),0))=1,
            300,
            IF(
                MIN(3,ROUNDUP(MAX(0,K470-(MAX(1,Q470)-1)*IF(TRIM(N470&amp;"")="111444",10,20))/IF(TRIM(N470&amp;"")="111444",10,20),0))=2,
                450,
                600
            )
        )
    ),
    ""
)</f>
        <v/>
      </c>
    </row>
    <row r="471" spans="1:22" ht="48.2" customHeight="1" x14ac:dyDescent="0.25">
      <c r="A471" s="17">
        <f>VLOOKUP(C471,[1]Werke!$A$1:$C$168,3,0)</f>
        <v>31</v>
      </c>
      <c r="B471" s="17" t="str">
        <f>VLOOKUP(C471,[1]Werke!$A$1:$C$168,2,0)</f>
        <v>B62</v>
      </c>
      <c r="C471" s="18">
        <v>10362</v>
      </c>
      <c r="D471" s="17" t="str">
        <f>VLOOKUP(C471,[1]Maliteslimalan!$A$1:$B$210,2,0)</f>
        <v>8000012742</v>
      </c>
      <c r="E471" s="19">
        <v>6</v>
      </c>
      <c r="F471" s="20" t="str">
        <f>VLOOKUP(G471,$U$1:$V$1730,2,0)</f>
        <v>N   912 557 01</v>
      </c>
      <c r="G471" s="21">
        <v>936428000</v>
      </c>
      <c r="H471" s="17">
        <f>VLOOKUP(G471,Z$2:AA$1905,2,FALSE)</f>
        <v>3.601E-2</v>
      </c>
      <c r="I471" s="20"/>
      <c r="J471" s="17" t="str">
        <f>VLOOKUP(G471,W$2:X$1905,2,FALSE)</f>
        <v>350</v>
      </c>
      <c r="K471" s="17">
        <f>I471/J471</f>
        <v>0</v>
      </c>
      <c r="L471" s="22">
        <v>10</v>
      </c>
      <c r="M471" s="22">
        <v>10</v>
      </c>
      <c r="N471" s="22">
        <v>111444</v>
      </c>
      <c r="O471" s="22" t="str">
        <f>VLOOKUP(N471,$AL$1285:$AM$1310,2,FALSE)</f>
        <v>001006</v>
      </c>
      <c r="P471" s="22">
        <f>VLOOKUP(N471,AC$2:AD$1905,2,FALSE)</f>
        <v>34</v>
      </c>
      <c r="Q471" s="22"/>
      <c r="R471" s="23" t="s">
        <v>153</v>
      </c>
      <c r="S471" s="22">
        <f>VLOOKUP(R471,AC$2:AD$1905,2,FALSE)</f>
        <v>0.56999999999999995</v>
      </c>
      <c r="T471" s="24">
        <f>(H471*I471)+P471*Q471+S471*K471</f>
        <v>0</v>
      </c>
      <c r="U471" s="25">
        <f>IF(TRIM(N471&amp;"")="111444",
    IF(ROUNDUP(MAX(0,K471-(MAX(1,Q471)-1)*10)/10,0)=1,3,2),
    IF(TRIM(N471&amp;"")="VWPAL",
        IF(TRIM(R471&amp;"")="004147",1,2),
        ""
    )
)</f>
        <v>2</v>
      </c>
      <c r="V471" s="26" t="str">
        <f>IF(OR(TRIM(N471&amp;"")="111444",TRIM(N471&amp;"")="VWPAL"),
    IF(K471&lt;=0,"",
        IF(
            MIN(3,ROUNDUP(MAX(0,K471-(MAX(1,Q471)-1)*IF(TRIM(N471&amp;"")="111444",10,20))/IF(TRIM(N471&amp;"")="111444",10,20),0))=1,
            300,
            IF(
                MIN(3,ROUNDUP(MAX(0,K471-(MAX(1,Q471)-1)*IF(TRIM(N471&amp;"")="111444",10,20))/IF(TRIM(N471&amp;"")="111444",10,20),0))=2,
                450,
                600
            )
        )
    ),
    ""
)</f>
        <v/>
      </c>
    </row>
    <row r="472" spans="1:22" ht="48.2" customHeight="1" x14ac:dyDescent="0.25">
      <c r="A472" s="17"/>
      <c r="B472" s="17"/>
      <c r="C472" s="18"/>
      <c r="D472" s="17"/>
      <c r="E472" s="19"/>
      <c r="F472" s="20"/>
      <c r="G472" s="21"/>
      <c r="H472" s="17"/>
      <c r="I472" s="20"/>
      <c r="J472" s="17"/>
      <c r="K472" s="17"/>
      <c r="L472" s="22"/>
      <c r="M472" s="22"/>
      <c r="N472" s="22"/>
      <c r="O472" s="22"/>
      <c r="P472" s="22"/>
      <c r="Q472" s="22"/>
      <c r="R472" s="23"/>
      <c r="S472" s="22"/>
      <c r="T472" s="24"/>
      <c r="U472" s="25"/>
    </row>
    <row r="473" spans="1:22" ht="48" customHeight="1" x14ac:dyDescent="0.25">
      <c r="A473" s="17">
        <f>VLOOKUP(C473,[1]Werke!$A$1:$C$168,3,0)</f>
        <v>69</v>
      </c>
      <c r="B473" s="17" t="str">
        <f>VLOOKUP(C473,[1]Werke!$A$1:$C$168,2,0)</f>
        <v>AKL</v>
      </c>
      <c r="C473" s="18" t="s">
        <v>213</v>
      </c>
      <c r="D473" s="17">
        <f>VLOOKUP(C473,[1]Maliteslimalan!$A$1:$B$210,2,0)</f>
        <v>8000017492</v>
      </c>
      <c r="E473" s="19">
        <v>6</v>
      </c>
      <c r="F473" s="20" t="str">
        <f>VLOOKUP(G473,$U$1:$V$1730,2,0)</f>
        <v>N   912 629 01</v>
      </c>
      <c r="G473" s="21">
        <v>936562000</v>
      </c>
      <c r="H473" s="17">
        <f>VLOOKUP(G473,Z$2:AA$1905,2,FALSE)</f>
        <v>0.29077999999999998</v>
      </c>
      <c r="I473" s="20"/>
      <c r="J473" s="17" t="str">
        <f>VLOOKUP(G473,W$2:X$1905,2,FALSE)</f>
        <v>25</v>
      </c>
      <c r="K473" s="17">
        <f>I473/J473</f>
        <v>0</v>
      </c>
      <c r="L473" s="22">
        <v>20</v>
      </c>
      <c r="M473" s="22">
        <v>40</v>
      </c>
      <c r="N473" s="22" t="s">
        <v>155</v>
      </c>
      <c r="O473" s="22" t="str">
        <f>VLOOKUP(N473,$AL$1285:$AM$1310,2,FALSE)</f>
        <v>001210</v>
      </c>
      <c r="P473" s="22">
        <f>VLOOKUP(N473,AC$2:AD$1905,2,FALSE)</f>
        <v>55</v>
      </c>
      <c r="Q473" s="22"/>
      <c r="R473" s="23" t="s">
        <v>153</v>
      </c>
      <c r="S473" s="22">
        <f>VLOOKUP(R473,AC$2:AD$1905,2,FALSE)</f>
        <v>0.56999999999999995</v>
      </c>
      <c r="T473" s="24">
        <f>(H473*I473)+P473*Q473+S473*K473</f>
        <v>0</v>
      </c>
      <c r="U473" s="25">
        <f>IF(TRIM(N473&amp;"")="111444",
    IF(ROUNDUP(MAX(0,K473-(MAX(1,Q473)-1)*10)/10,0)=1,3,2),
    IF(TRIM(N473&amp;"")="VWPAL",
        IF(TRIM(R473&amp;"")="004147",1,2),
        ""
    )
)</f>
        <v>2</v>
      </c>
      <c r="V473" s="26" t="str">
        <f>IF(OR(TRIM(N473&amp;"")="111444",TRIM(N473&amp;"")="VWPAL"),
    IF(K473&lt;=0,"",
        IF(
            MIN(3,ROUNDUP(MAX(0,K473-(MAX(1,Q473)-1)*IF(TRIM(N473&amp;"")="111444",10,20))/IF(TRIM(N473&amp;"")="111444",10,20),0))=1,
            300,
            IF(
                MIN(3,ROUNDUP(MAX(0,K473-(MAX(1,Q473)-1)*IF(TRIM(N473&amp;"")="111444",10,20))/IF(TRIM(N473&amp;"")="111444",10,20),0))=2,
                450,
                600
            )
        )
    ),
    ""
)</f>
        <v/>
      </c>
    </row>
    <row r="474" spans="1:22" ht="48" customHeight="1" x14ac:dyDescent="0.25">
      <c r="A474" s="17" t="str">
        <f>VLOOKUP(C474,[1]Werke!$A$1:$C$168,3,0)</f>
        <v>HT</v>
      </c>
      <c r="B474" s="17">
        <f>VLOOKUP(C474,[1]Werke!$A$1:$C$168,2,0)</f>
        <v>34</v>
      </c>
      <c r="C474" s="18">
        <v>80245</v>
      </c>
      <c r="D474" s="17">
        <f>VLOOKUP(C474,[1]Maliteslimalan!$A$1:$B$210,2,0)</f>
        <v>8000012604</v>
      </c>
      <c r="E474" s="19">
        <v>6</v>
      </c>
      <c r="F474" s="20" t="str">
        <f>VLOOKUP(G474,$U$1:$V$1730,2,0)</f>
        <v>N   912 629 01</v>
      </c>
      <c r="G474" s="21">
        <v>936562000</v>
      </c>
      <c r="H474" s="17">
        <f>VLOOKUP(G474,Z$2:AA$1905,2,FALSE)</f>
        <v>0.29077999999999998</v>
      </c>
      <c r="I474" s="20"/>
      <c r="J474" s="17" t="str">
        <f>VLOOKUP(G474,W$2:X$1905,2,FALSE)</f>
        <v>25</v>
      </c>
      <c r="K474" s="17">
        <f>I474/J474</f>
        <v>0</v>
      </c>
      <c r="L474" s="22">
        <v>10</v>
      </c>
      <c r="M474" s="22">
        <v>30</v>
      </c>
      <c r="N474" s="22">
        <v>111444</v>
      </c>
      <c r="O474" s="22" t="str">
        <f>VLOOKUP(N474,$AL$1285:$AM$1310,2,FALSE)</f>
        <v>001006</v>
      </c>
      <c r="P474" s="22">
        <f>VLOOKUP(N474,AC$2:AD$1905,2,FALSE)</f>
        <v>34</v>
      </c>
      <c r="Q474" s="22"/>
      <c r="R474" s="23" t="s">
        <v>153</v>
      </c>
      <c r="S474" s="22">
        <f>VLOOKUP(R474,AC$2:AD$1905,2,FALSE)</f>
        <v>0.56999999999999995</v>
      </c>
      <c r="T474" s="24">
        <f>(H474*I474)+P474*Q474+S474*K474</f>
        <v>0</v>
      </c>
      <c r="U474" s="25">
        <f>IF(TRIM(N474&amp;"")="111444",
    IF(ROUNDUP(MAX(0,K474-(MAX(1,Q474)-1)*10)/10,0)=1,3,2),
    IF(TRIM(N474&amp;"")="VWPAL",
        IF(TRIM(R474&amp;"")="004147",1,2),
        ""
    )
)</f>
        <v>2</v>
      </c>
      <c r="V474" s="26" t="str">
        <f>IF(OR(TRIM(N474&amp;"")="111444",TRIM(N474&amp;"")="VWPAL"),
    IF(K474&lt;=0,"",
        IF(
            MIN(3,ROUNDUP(MAX(0,K474-(MAX(1,Q474)-1)*IF(TRIM(N474&amp;"")="111444",10,20))/IF(TRIM(N474&amp;"")="111444",10,20),0))=1,
            300,
            IF(
                MIN(3,ROUNDUP(MAX(0,K474-(MAX(1,Q474)-1)*IF(TRIM(N474&amp;"")="111444",10,20))/IF(TRIM(N474&amp;"")="111444",10,20),0))=2,
                450,
                600
            )
        )
    ),
    ""
)</f>
        <v/>
      </c>
    </row>
    <row r="475" spans="1:22" ht="48" customHeight="1" x14ac:dyDescent="0.25">
      <c r="A475" s="17">
        <f>VLOOKUP(C475,[1]Werke!$A$1:$C$168,3,0)</f>
        <v>14</v>
      </c>
      <c r="B475" s="17" t="str">
        <f>VLOOKUP(C475,[1]Werke!$A$1:$C$168,2,0)</f>
        <v>D47</v>
      </c>
      <c r="C475" s="18" t="s">
        <v>216</v>
      </c>
      <c r="D475" s="17" t="str">
        <f>VLOOKUP(C475,[1]Maliteslimalan!$A$1:$B$210,2,0)</f>
        <v>8000012583</v>
      </c>
      <c r="E475" s="19">
        <f>VLOOKUP(C475,[1]Bestellnr.!$A$1:$B$174,2,0)</f>
        <v>0</v>
      </c>
      <c r="F475" s="20" t="str">
        <f>VLOOKUP(G475,$U$1:$V$1730,2,0)</f>
        <v>N   912 629 01</v>
      </c>
      <c r="G475" s="21">
        <v>936562000</v>
      </c>
      <c r="H475" s="17">
        <f>VLOOKUP(G475,Z$2:AA$1905,2,FALSE)</f>
        <v>0.29077999999999998</v>
      </c>
      <c r="I475" s="20"/>
      <c r="J475" s="17" t="str">
        <f>VLOOKUP(G475,W$2:X$1905,2,FALSE)</f>
        <v>25</v>
      </c>
      <c r="K475" s="17">
        <f>I475/J475</f>
        <v>0</v>
      </c>
      <c r="L475" s="22">
        <v>10</v>
      </c>
      <c r="M475" s="22">
        <v>30</v>
      </c>
      <c r="N475" s="22">
        <v>111444</v>
      </c>
      <c r="O475" s="22" t="str">
        <f>VLOOKUP(N475,$AL$1285:$AM$1310,2,FALSE)</f>
        <v>001006</v>
      </c>
      <c r="P475" s="22">
        <f>VLOOKUP(N475,AC$2:AD$1905,2,FALSE)</f>
        <v>34</v>
      </c>
      <c r="Q475" s="22"/>
      <c r="R475" s="23" t="s">
        <v>153</v>
      </c>
      <c r="S475" s="22">
        <f>VLOOKUP(R475,AC$2:AD$1905,2,FALSE)</f>
        <v>0.56999999999999995</v>
      </c>
      <c r="T475" s="24">
        <f>(H475*I475)+P475*Q475+S475*K475</f>
        <v>0</v>
      </c>
      <c r="U475" s="25">
        <f>IF(TRIM(N475&amp;"")="111444",
    IF(ROUNDUP(MAX(0,K475-(MAX(1,Q475)-1)*10)/10,0)=1,3,2),
    IF(TRIM(N475&amp;"")="VWPAL",
        IF(TRIM(R475&amp;"")="004147",1,2),
        ""
    )
)</f>
        <v>2</v>
      </c>
      <c r="V475" s="26" t="str">
        <f>IF(OR(TRIM(N475&amp;"")="111444",TRIM(N475&amp;"")="VWPAL"),
    IF(K475&lt;=0,"",
        IF(
            MIN(3,ROUNDUP(MAX(0,K475-(MAX(1,Q475)-1)*IF(TRIM(N475&amp;"")="111444",10,20))/IF(TRIM(N475&amp;"")="111444",10,20),0))=1,
            300,
            IF(
                MIN(3,ROUNDUP(MAX(0,K475-(MAX(1,Q475)-1)*IF(TRIM(N475&amp;"")="111444",10,20))/IF(TRIM(N475&amp;"")="111444",10,20),0))=2,
                450,
                600
            )
        )
    ),
    ""
)</f>
        <v/>
      </c>
    </row>
    <row r="476" spans="1:22" ht="48" customHeight="1" x14ac:dyDescent="0.25">
      <c r="A476" s="17"/>
      <c r="B476" s="17"/>
      <c r="C476" s="18"/>
      <c r="D476" s="17"/>
      <c r="E476" s="19"/>
      <c r="F476" s="20"/>
      <c r="G476" s="21"/>
      <c r="H476" s="17"/>
      <c r="I476" s="20"/>
      <c r="J476" s="17"/>
      <c r="K476" s="17"/>
      <c r="L476" s="22"/>
      <c r="M476" s="22"/>
      <c r="N476" s="22"/>
      <c r="O476" s="22"/>
      <c r="P476" s="22"/>
      <c r="Q476" s="22"/>
      <c r="R476" s="23"/>
      <c r="S476" s="22"/>
      <c r="T476" s="24"/>
      <c r="U476" s="25"/>
    </row>
    <row r="477" spans="1:22" ht="48.2" customHeight="1" x14ac:dyDescent="0.25">
      <c r="A477" s="17">
        <f>VLOOKUP(C477,[1]Werke!$A$1:$C$168,3,0)</f>
        <v>21</v>
      </c>
      <c r="B477" s="17" t="str">
        <f>VLOOKUP(C477,[1]Werke!$A$1:$C$168,2,0)</f>
        <v>GZD</v>
      </c>
      <c r="C477" s="18" t="s">
        <v>154</v>
      </c>
      <c r="D477" s="17" t="str">
        <f>VLOOKUP(C477,[1]Maliteslimalan!$A$1:$B$210,2,0)</f>
        <v>8000012572</v>
      </c>
      <c r="E477" s="19" t="str">
        <f>VLOOKUP(C477,[1]Bestellnr.!$A$1:$B$174,2,0)</f>
        <v>000006</v>
      </c>
      <c r="F477" s="20" t="str">
        <f t="shared" ref="F477:F484" si="246">VLOOKUP(G477,$U$1:$V$1730,2,0)</f>
        <v>N   912 637 01</v>
      </c>
      <c r="G477" s="21">
        <v>936809000</v>
      </c>
      <c r="H477" s="17">
        <f t="shared" ref="H477:H484" si="247">VLOOKUP(G477,Z$2:AA$1905,2,FALSE)</f>
        <v>1.865E-2</v>
      </c>
      <c r="I477" s="20"/>
      <c r="J477" s="17">
        <f>VLOOKUP(G477,W$2:X$1905,2,FALSE)</f>
        <v>700</v>
      </c>
      <c r="K477" s="17">
        <f t="shared" ref="K477:K484" si="248">I477/J477</f>
        <v>0</v>
      </c>
      <c r="L477" s="22">
        <v>20</v>
      </c>
      <c r="M477" s="22">
        <v>60</v>
      </c>
      <c r="N477" s="22" t="s">
        <v>155</v>
      </c>
      <c r="O477" s="22" t="str">
        <f t="shared" ref="O477:O484" si="249">VLOOKUP(N477,$AL$1285:$AM$1310,2,FALSE)</f>
        <v>001210</v>
      </c>
      <c r="P477" s="22">
        <f t="shared" ref="P477:P484" si="250">VLOOKUP(N477,AC$2:AD$1905,2,FALSE)</f>
        <v>55</v>
      </c>
      <c r="Q477" s="22"/>
      <c r="R477" s="23" t="s">
        <v>153</v>
      </c>
      <c r="S477" s="22">
        <f t="shared" ref="S477:S484" si="251">VLOOKUP(R477,AC$2:AD$1905,2,FALSE)</f>
        <v>0.56999999999999995</v>
      </c>
      <c r="T477" s="24">
        <f t="shared" ref="T477:T484" si="252">(H477*I477)+P477*Q477+S477*K477</f>
        <v>0</v>
      </c>
      <c r="U477" s="25">
        <f t="shared" ref="U477:U484" si="253">IF(TRIM(N477&amp;"")="111444",
    IF(ROUNDUP(MAX(0,K477-(MAX(1,Q477)-1)*10)/10,0)=1,3,2),
    IF(TRIM(N477&amp;"")="VWPAL",
        IF(TRIM(R477&amp;"")="004147",1,2),
        ""
    )
)</f>
        <v>2</v>
      </c>
      <c r="V477" s="26" t="str">
        <f t="shared" ref="V477:V484" si="254">IF(OR(TRIM(N477&amp;"")="111444",TRIM(N477&amp;"")="VWPAL"),
    IF(K477&lt;=0,"",
        IF(
            MIN(3,ROUNDUP(MAX(0,K477-(MAX(1,Q477)-1)*IF(TRIM(N477&amp;"")="111444",10,20))/IF(TRIM(N477&amp;"")="111444",10,20),0))=1,
            300,
            IF(
                MIN(3,ROUNDUP(MAX(0,K477-(MAX(1,Q477)-1)*IF(TRIM(N477&amp;"")="111444",10,20))/IF(TRIM(N477&amp;"")="111444",10,20),0))=2,
                450,
                600
            )
        )
    ),
    ""
)</f>
        <v/>
      </c>
    </row>
    <row r="478" spans="1:22" ht="48.2" customHeight="1" x14ac:dyDescent="0.25">
      <c r="A478" s="17">
        <f>VLOOKUP(C478,[1]Werke!$A$1:$C$168,3,0)</f>
        <v>31</v>
      </c>
      <c r="B478" s="17" t="str">
        <f>VLOOKUP(C478,[1]Werke!$A$1:$C$168,2,0)</f>
        <v>B62</v>
      </c>
      <c r="C478" s="18">
        <v>10362</v>
      </c>
      <c r="D478" s="17" t="str">
        <f>VLOOKUP(C478,[1]Maliteslimalan!$A$1:$B$210,2,0)</f>
        <v>8000012742</v>
      </c>
      <c r="E478" s="19">
        <v>6</v>
      </c>
      <c r="F478" s="20" t="str">
        <f t="shared" si="246"/>
        <v>N   912 637 01</v>
      </c>
      <c r="G478" s="21">
        <v>936809000</v>
      </c>
      <c r="H478" s="17">
        <f t="shared" si="247"/>
        <v>1.865E-2</v>
      </c>
      <c r="I478" s="20"/>
      <c r="J478" s="17">
        <f>VLOOKUP(G478,W$2:X$1905,2,FALSE)</f>
        <v>700</v>
      </c>
      <c r="K478" s="17">
        <f t="shared" si="248"/>
        <v>0</v>
      </c>
      <c r="L478" s="22">
        <v>10</v>
      </c>
      <c r="M478" s="22">
        <v>10</v>
      </c>
      <c r="N478" s="22">
        <v>111444</v>
      </c>
      <c r="O478" s="22" t="str">
        <f t="shared" si="249"/>
        <v>001006</v>
      </c>
      <c r="P478" s="22">
        <f t="shared" si="250"/>
        <v>34</v>
      </c>
      <c r="Q478" s="22"/>
      <c r="R478" s="23" t="s">
        <v>153</v>
      </c>
      <c r="S478" s="22">
        <f t="shared" si="251"/>
        <v>0.56999999999999995</v>
      </c>
      <c r="T478" s="24">
        <f t="shared" si="252"/>
        <v>0</v>
      </c>
      <c r="U478" s="25">
        <f t="shared" si="253"/>
        <v>2</v>
      </c>
      <c r="V478" s="26" t="str">
        <f t="shared" si="254"/>
        <v/>
      </c>
    </row>
    <row r="479" spans="1:22" ht="48.2" customHeight="1" x14ac:dyDescent="0.25">
      <c r="A479" s="17">
        <f>VLOOKUP(C479,[1]Werke!$A$1:$C$168,3,0)</f>
        <v>14</v>
      </c>
      <c r="B479" s="17" t="str">
        <f>VLOOKUP(C479,[1]Werke!$A$1:$C$168,2,0)</f>
        <v>D47</v>
      </c>
      <c r="C479" s="18" t="s">
        <v>246</v>
      </c>
      <c r="D479" s="17" t="str">
        <f>VLOOKUP(C479,[1]Maliteslimalan!$A$1:$B$210,2,0)</f>
        <v>8000012583</v>
      </c>
      <c r="E479" s="19">
        <f>VLOOKUP(C479,[1]Bestellnr.!$A$1:$B$174,2,0)</f>
        <v>0</v>
      </c>
      <c r="F479" s="20" t="str">
        <f t="shared" si="246"/>
        <v>N   912 637 01</v>
      </c>
      <c r="G479" s="21">
        <v>936809000</v>
      </c>
      <c r="H479" s="17">
        <f t="shared" si="247"/>
        <v>1.865E-2</v>
      </c>
      <c r="I479" s="20"/>
      <c r="J479" s="17">
        <v>700</v>
      </c>
      <c r="K479" s="17">
        <f t="shared" si="248"/>
        <v>0</v>
      </c>
      <c r="L479" s="22">
        <v>10</v>
      </c>
      <c r="M479" s="22">
        <v>20</v>
      </c>
      <c r="N479" s="22">
        <v>111444</v>
      </c>
      <c r="O479" s="22" t="str">
        <f t="shared" si="249"/>
        <v>001006</v>
      </c>
      <c r="P479" s="22">
        <f t="shared" si="250"/>
        <v>34</v>
      </c>
      <c r="Q479" s="22"/>
      <c r="R479" s="23" t="s">
        <v>153</v>
      </c>
      <c r="S479" s="22">
        <f t="shared" si="251"/>
        <v>0.56999999999999995</v>
      </c>
      <c r="T479" s="24">
        <f t="shared" si="252"/>
        <v>0</v>
      </c>
      <c r="U479" s="25">
        <f t="shared" si="253"/>
        <v>2</v>
      </c>
      <c r="V479" s="26" t="str">
        <f t="shared" si="254"/>
        <v/>
      </c>
    </row>
    <row r="480" spans="1:22" ht="48.2" customHeight="1" x14ac:dyDescent="0.25">
      <c r="A480" s="17">
        <f>VLOOKUP(C480,[1]Werke!$A$1:$C$168,3,0)</f>
        <v>37</v>
      </c>
      <c r="B480" s="17" t="str">
        <f>VLOOKUP(C480,[1]Werke!$A$1:$C$168,2,0)</f>
        <v>AKL</v>
      </c>
      <c r="C480" s="18" t="s">
        <v>232</v>
      </c>
      <c r="D480" s="17" t="str">
        <f>VLOOKUP(C480,[1]Maliteslimalan!$A$1:$B$210,2,0)</f>
        <v>8000012562</v>
      </c>
      <c r="E480" s="19" t="str">
        <f>VLOOKUP(C480,[1]Bestellnr.!$A$1:$B$174,2,0)</f>
        <v>000006</v>
      </c>
      <c r="F480" s="20" t="str">
        <f t="shared" si="246"/>
        <v>N   912 637 01</v>
      </c>
      <c r="G480" s="21">
        <v>936809000</v>
      </c>
      <c r="H480" s="17">
        <f t="shared" si="247"/>
        <v>1.865E-2</v>
      </c>
      <c r="I480" s="20"/>
      <c r="J480" s="17">
        <f>VLOOKUP(G480,W$2:X$1905,2,FALSE)</f>
        <v>700</v>
      </c>
      <c r="K480" s="17">
        <f t="shared" si="248"/>
        <v>0</v>
      </c>
      <c r="L480" s="22">
        <v>10</v>
      </c>
      <c r="M480" s="22">
        <v>30</v>
      </c>
      <c r="N480" s="22">
        <v>111444</v>
      </c>
      <c r="O480" s="22" t="str">
        <f t="shared" si="249"/>
        <v>001006</v>
      </c>
      <c r="P480" s="22">
        <f t="shared" si="250"/>
        <v>34</v>
      </c>
      <c r="Q480" s="22"/>
      <c r="R480" s="23" t="s">
        <v>153</v>
      </c>
      <c r="S480" s="22">
        <f t="shared" si="251"/>
        <v>0.56999999999999995</v>
      </c>
      <c r="T480" s="24">
        <f t="shared" si="252"/>
        <v>0</v>
      </c>
      <c r="U480" s="25">
        <f t="shared" si="253"/>
        <v>2</v>
      </c>
      <c r="V480" s="26" t="str">
        <f t="shared" si="254"/>
        <v/>
      </c>
    </row>
    <row r="481" spans="1:22" ht="48.2" customHeight="1" x14ac:dyDescent="0.25">
      <c r="A481" s="17" t="str">
        <f>VLOOKUP(C481,[1]Werke!$A$1:$C$168,3,0)</f>
        <v>LD</v>
      </c>
      <c r="B481" s="17" t="str">
        <f>VLOOKUP(C481,[1]Werke!$A$1:$C$168,2,0)</f>
        <v>SLD</v>
      </c>
      <c r="C481" s="18">
        <v>83630</v>
      </c>
      <c r="D481" s="17" t="str">
        <f>VLOOKUP(C481,[1]Maliteslimalan!$A$1:$B$210,2,0)</f>
        <v>8000012862</v>
      </c>
      <c r="E481" s="19" t="str">
        <f>VLOOKUP(C481,[1]Bestellnr.!$A$1:$B$174,2,0)</f>
        <v>000006</v>
      </c>
      <c r="F481" s="20" t="str">
        <f t="shared" si="246"/>
        <v>N   912 637 01</v>
      </c>
      <c r="G481" s="21">
        <v>936809000</v>
      </c>
      <c r="H481" s="17">
        <f t="shared" si="247"/>
        <v>1.865E-2</v>
      </c>
      <c r="I481" s="20"/>
      <c r="J481" s="17">
        <f>VLOOKUP(G481,W$2:X$1905,2,FALSE)</f>
        <v>700</v>
      </c>
      <c r="K481" s="17">
        <f t="shared" si="248"/>
        <v>0</v>
      </c>
      <c r="L481" s="22">
        <v>10</v>
      </c>
      <c r="M481" s="22">
        <v>30</v>
      </c>
      <c r="N481" s="22">
        <v>111444</v>
      </c>
      <c r="O481" s="22" t="str">
        <f t="shared" si="249"/>
        <v>001006</v>
      </c>
      <c r="P481" s="22">
        <f t="shared" si="250"/>
        <v>34</v>
      </c>
      <c r="Q481" s="22"/>
      <c r="R481" s="23" t="s">
        <v>153</v>
      </c>
      <c r="S481" s="22">
        <f t="shared" si="251"/>
        <v>0.56999999999999995</v>
      </c>
      <c r="T481" s="24">
        <f t="shared" si="252"/>
        <v>0</v>
      </c>
      <c r="U481" s="25">
        <f t="shared" si="253"/>
        <v>2</v>
      </c>
      <c r="V481" s="26" t="str">
        <f t="shared" si="254"/>
        <v/>
      </c>
    </row>
    <row r="482" spans="1:22" ht="48.2" customHeight="1" x14ac:dyDescent="0.25">
      <c r="A482" s="17">
        <f>VLOOKUP(C482,[1]Werke!$A$1:$C$168,3,0)</f>
        <v>15</v>
      </c>
      <c r="B482" s="17" t="str">
        <f>VLOOKUP(C482,[1]Werke!$A$1:$C$168,2,0)</f>
        <v>H1A</v>
      </c>
      <c r="C482" s="18" t="s">
        <v>283</v>
      </c>
      <c r="D482" s="17" t="str">
        <f>VLOOKUP(C482,[1]Maliteslimalan!$A$1:$B$210,2,0)</f>
        <v>8000012621</v>
      </c>
      <c r="E482" s="19" t="str">
        <f>VLOOKUP(C482,[1]Bestellnr.!$A$1:$B$174,2,0)</f>
        <v>000006</v>
      </c>
      <c r="F482" s="20" t="str">
        <f t="shared" si="246"/>
        <v>N   912 637 01</v>
      </c>
      <c r="G482" s="21">
        <v>936809000</v>
      </c>
      <c r="H482" s="17">
        <f t="shared" si="247"/>
        <v>1.865E-2</v>
      </c>
      <c r="I482" s="20"/>
      <c r="J482" s="17">
        <f>VLOOKUP(G482,W$2:X$1905,2,FALSE)</f>
        <v>700</v>
      </c>
      <c r="K482" s="17">
        <f t="shared" si="248"/>
        <v>0</v>
      </c>
      <c r="L482" s="22">
        <v>20</v>
      </c>
      <c r="M482" s="22">
        <v>40</v>
      </c>
      <c r="N482" s="22" t="s">
        <v>155</v>
      </c>
      <c r="O482" s="22" t="str">
        <f t="shared" si="249"/>
        <v>001210</v>
      </c>
      <c r="P482" s="22">
        <f t="shared" si="250"/>
        <v>55</v>
      </c>
      <c r="Q482" s="22"/>
      <c r="R482" s="23" t="s">
        <v>153</v>
      </c>
      <c r="S482" s="22">
        <f t="shared" si="251"/>
        <v>0.56999999999999995</v>
      </c>
      <c r="T482" s="24">
        <f t="shared" si="252"/>
        <v>0</v>
      </c>
      <c r="U482" s="25">
        <f t="shared" si="253"/>
        <v>2</v>
      </c>
      <c r="V482" s="26" t="str">
        <f t="shared" si="254"/>
        <v/>
      </c>
    </row>
    <row r="483" spans="1:22" ht="48.2" customHeight="1" x14ac:dyDescent="0.25">
      <c r="A483" s="17">
        <f>VLOOKUP(C483,[1]Werke!$A$1:$C$168,3,0)</f>
        <v>40</v>
      </c>
      <c r="B483" s="17">
        <f>VLOOKUP(C483,[1]Werke!$A$1:$C$168,2,0)</f>
        <v>404</v>
      </c>
      <c r="C483" s="18" t="s">
        <v>294</v>
      </c>
      <c r="D483" s="17" t="str">
        <f>VLOOKUP(C483,[1]Maliteslimalan!$A$1:$B$210,2,0)</f>
        <v>8000012743</v>
      </c>
      <c r="E483" s="19" t="str">
        <f>VLOOKUP(C483,[1]Bestellnr.!$A$1:$B$174,2,0)</f>
        <v>000001</v>
      </c>
      <c r="F483" s="20" t="str">
        <f t="shared" si="246"/>
        <v>N   912 637 01</v>
      </c>
      <c r="G483" s="21">
        <v>936809000</v>
      </c>
      <c r="H483" s="17">
        <f t="shared" si="247"/>
        <v>1.865E-2</v>
      </c>
      <c r="I483" s="20"/>
      <c r="J483" s="17">
        <f>VLOOKUP(G483,W$2:X$1905,2,FALSE)</f>
        <v>700</v>
      </c>
      <c r="K483" s="17">
        <f t="shared" si="248"/>
        <v>0</v>
      </c>
      <c r="L483" s="22">
        <v>10</v>
      </c>
      <c r="M483" s="22">
        <v>30</v>
      </c>
      <c r="N483" s="22">
        <v>111444</v>
      </c>
      <c r="O483" s="22" t="str">
        <f t="shared" si="249"/>
        <v>001006</v>
      </c>
      <c r="P483" s="22">
        <f t="shared" si="250"/>
        <v>34</v>
      </c>
      <c r="Q483" s="22"/>
      <c r="R483" s="23" t="s">
        <v>153</v>
      </c>
      <c r="S483" s="22">
        <f t="shared" si="251"/>
        <v>0.56999999999999995</v>
      </c>
      <c r="T483" s="24">
        <f t="shared" si="252"/>
        <v>0</v>
      </c>
      <c r="U483" s="25">
        <f t="shared" si="253"/>
        <v>2</v>
      </c>
      <c r="V483" s="26" t="str">
        <f t="shared" si="254"/>
        <v/>
      </c>
    </row>
    <row r="484" spans="1:22" ht="48.2" customHeight="1" x14ac:dyDescent="0.25">
      <c r="A484" s="17" t="str">
        <f>VLOOKUP(C484,[1]Werke!$A$1:$C$168,3,0)</f>
        <v>DZ</v>
      </c>
      <c r="B484" s="17">
        <f>VLOOKUP(C484,[1]Werke!$A$1:$C$168,2,0)</f>
        <v>26</v>
      </c>
      <c r="C484" s="18" t="s">
        <v>295</v>
      </c>
      <c r="D484" s="17">
        <f>VLOOKUP(C484,[1]Maliteslimalan!$A$1:$B$210,2,0)</f>
        <v>8000016285</v>
      </c>
      <c r="E484" s="19">
        <v>6</v>
      </c>
      <c r="F484" s="20" t="str">
        <f t="shared" si="246"/>
        <v>N   912 637 01</v>
      </c>
      <c r="G484" s="21">
        <v>936809000</v>
      </c>
      <c r="H484" s="17">
        <f t="shared" si="247"/>
        <v>1.865E-2</v>
      </c>
      <c r="I484" s="20"/>
      <c r="J484" s="17">
        <f>VLOOKUP(G484,W$2:X$1905,2,FALSE)</f>
        <v>700</v>
      </c>
      <c r="K484" s="17">
        <f t="shared" si="248"/>
        <v>0</v>
      </c>
      <c r="L484" s="22">
        <v>10</v>
      </c>
      <c r="M484" s="22">
        <v>30</v>
      </c>
      <c r="N484" s="22">
        <v>111444</v>
      </c>
      <c r="O484" s="22" t="str">
        <f t="shared" si="249"/>
        <v>001006</v>
      </c>
      <c r="P484" s="22">
        <f t="shared" si="250"/>
        <v>34</v>
      </c>
      <c r="Q484" s="22"/>
      <c r="R484" s="23" t="s">
        <v>153</v>
      </c>
      <c r="S484" s="22">
        <f t="shared" si="251"/>
        <v>0.56999999999999995</v>
      </c>
      <c r="T484" s="24">
        <f t="shared" si="252"/>
        <v>0</v>
      </c>
      <c r="U484" s="25">
        <f t="shared" si="253"/>
        <v>2</v>
      </c>
      <c r="V484" s="26" t="str">
        <f t="shared" si="254"/>
        <v/>
      </c>
    </row>
    <row r="485" spans="1:22" ht="48.2" customHeight="1" x14ac:dyDescent="0.25">
      <c r="A485" s="17"/>
      <c r="B485" s="17"/>
      <c r="C485" s="18"/>
      <c r="D485" s="17"/>
      <c r="E485" s="19"/>
      <c r="F485" s="20"/>
      <c r="G485" s="21"/>
      <c r="H485" s="17"/>
      <c r="I485" s="20"/>
      <c r="J485" s="17"/>
      <c r="K485" s="17"/>
      <c r="L485" s="22"/>
      <c r="M485" s="22"/>
      <c r="N485" s="22"/>
      <c r="O485" s="22"/>
      <c r="P485" s="22"/>
      <c r="Q485" s="22"/>
      <c r="R485" s="23"/>
      <c r="S485" s="22"/>
      <c r="T485" s="24"/>
      <c r="U485" s="25"/>
    </row>
    <row r="486" spans="1:22" ht="48.2" customHeight="1" x14ac:dyDescent="0.25">
      <c r="A486" s="17">
        <f>VLOOKUP(C486,[1]Werke!$A$1:$C$168,3,0)</f>
        <v>24</v>
      </c>
      <c r="B486" s="17" t="str">
        <f>VLOOKUP(C486,[1]Werke!$A$1:$C$168,2,0)</f>
        <v>CKH</v>
      </c>
      <c r="C486" s="18" t="s">
        <v>224</v>
      </c>
      <c r="D486" s="17">
        <f>VLOOKUP(C486,[1]Maliteslimalan!$A$1:$B$210,2,0)</f>
        <v>8000013551</v>
      </c>
      <c r="E486" s="19">
        <v>6</v>
      </c>
      <c r="F486" s="20" t="str">
        <f>VLOOKUP(G486,$U$1:$V$1730,2,0)</f>
        <v>N   912 640 01</v>
      </c>
      <c r="G486" s="21">
        <v>936982000</v>
      </c>
      <c r="H486" s="17">
        <f>VLOOKUP(G486,Z$2:AA$1905,2,FALSE)</f>
        <v>4.0379999999999999E-2</v>
      </c>
      <c r="I486" s="20"/>
      <c r="J486" s="17">
        <v>330</v>
      </c>
      <c r="K486" s="17">
        <f>I486/J486</f>
        <v>0</v>
      </c>
      <c r="L486" s="22">
        <v>10</v>
      </c>
      <c r="M486" s="22">
        <v>10</v>
      </c>
      <c r="N486" s="22" t="s">
        <v>155</v>
      </c>
      <c r="O486" s="22" t="str">
        <f>VLOOKUP(N486,$AL$1285:$AM$1310,2,FALSE)</f>
        <v>001210</v>
      </c>
      <c r="P486" s="22">
        <f>VLOOKUP(N486,AC$2:AD$1905,2,FALSE)</f>
        <v>55</v>
      </c>
      <c r="Q486" s="22"/>
      <c r="R486" s="23" t="s">
        <v>175</v>
      </c>
      <c r="S486" s="22">
        <f>VLOOKUP(R486,AC$2:AD$1905,2,FALSE)</f>
        <v>1.08</v>
      </c>
      <c r="T486" s="24">
        <f>(H486*I486)+P486*Q486+S486*K486</f>
        <v>0</v>
      </c>
      <c r="U486" s="25">
        <f>IF(TRIM(N486&amp;"")="111444",
    IF(ROUNDUP(MAX(0,K486-(MAX(1,Q486)-1)*10)/10,0)=1,3,2),
    IF(TRIM(N486&amp;"")="VWPAL",
        IF(TRIM(R486&amp;"")="004147",1,2),
        ""
    )
)</f>
        <v>1</v>
      </c>
      <c r="V486" s="26" t="str">
        <f>IF(OR(TRIM(N486&amp;"")="111444",TRIM(N486&amp;"")="VWPAL"),
    IF(K486&lt;=0,"",
        IF(
            MIN(3,ROUNDUP(MAX(0,K486-(MAX(1,Q486)-1)*IF(TRIM(N486&amp;"")="111444",10,20))/IF(TRIM(N486&amp;"")="111444",10,20),0))=1,
            300,
            IF(
                MIN(3,ROUNDUP(MAX(0,K486-(MAX(1,Q486)-1)*IF(TRIM(N486&amp;"")="111444",10,20))/IF(TRIM(N486&amp;"")="111444",10,20),0))=2,
                450,
                600
            )
        )
    ),
    ""
)</f>
        <v/>
      </c>
    </row>
    <row r="487" spans="1:22" ht="48.2" customHeight="1" x14ac:dyDescent="0.25">
      <c r="A487" s="17">
        <f>VLOOKUP(C487,[1]Werke!$A$1:$C$168,3,0)</f>
        <v>22</v>
      </c>
      <c r="B487" s="17" t="str">
        <f>VLOOKUP(C487,[1]Werke!$A$1:$C$168,2,0)</f>
        <v>13P</v>
      </c>
      <c r="C487" s="18" t="s">
        <v>230</v>
      </c>
      <c r="D487" s="17" t="str">
        <f>VLOOKUP(C487,[1]Maliteslimalan!$A$1:$B$210,2,0)</f>
        <v>8000013344</v>
      </c>
      <c r="E487" s="19" t="str">
        <f>VLOOKUP(C487,[1]Bestellnr.!$A$1:$B$174,2,0)</f>
        <v>000006</v>
      </c>
      <c r="F487" s="20" t="str">
        <f>VLOOKUP(G487,$U$1:$V$1730,2,0)</f>
        <v>N   912 640 01</v>
      </c>
      <c r="G487" s="21">
        <v>936982000</v>
      </c>
      <c r="H487" s="17">
        <f>VLOOKUP(G487,Z$2:AA$1905,2,FALSE)</f>
        <v>4.0379999999999999E-2</v>
      </c>
      <c r="I487" s="20"/>
      <c r="J487" s="17">
        <f>VLOOKUP(G487,W$2:X$1905,2,FALSE)</f>
        <v>165</v>
      </c>
      <c r="K487" s="17">
        <f>I487/J487</f>
        <v>0</v>
      </c>
      <c r="L487" s="22">
        <v>10</v>
      </c>
      <c r="M487" s="22">
        <v>30</v>
      </c>
      <c r="N487" s="22">
        <v>111444</v>
      </c>
      <c r="O487" s="22" t="str">
        <f>VLOOKUP(N487,$AL$1285:$AM$1310,2,FALSE)</f>
        <v>001006</v>
      </c>
      <c r="P487" s="22">
        <f>VLOOKUP(N487,AC$2:AD$1905,2,FALSE)</f>
        <v>34</v>
      </c>
      <c r="Q487" s="22"/>
      <c r="R487" s="23" t="s">
        <v>153</v>
      </c>
      <c r="S487" s="22">
        <f>VLOOKUP(R487,AC$2:AD$1905,2,FALSE)</f>
        <v>0.56999999999999995</v>
      </c>
      <c r="T487" s="24">
        <f>(H487*I487)+P487*Q487+S487*K487</f>
        <v>0</v>
      </c>
      <c r="U487" s="25">
        <f>IF(TRIM(N487&amp;"")="111444",
    IF(ROUNDUP(MAX(0,K487-(MAX(1,Q487)-1)*10)/10,0)=1,3,2),
    IF(TRIM(N487&amp;"")="VWPAL",
        IF(TRIM(R487&amp;"")="004147",1,2),
        ""
    )
)</f>
        <v>2</v>
      </c>
      <c r="V487" s="26" t="str">
        <f>IF(OR(TRIM(N487&amp;"")="111444",TRIM(N487&amp;"")="VWPAL"),
    IF(K487&lt;=0,"",
        IF(
            MIN(3,ROUNDUP(MAX(0,K487-(MAX(1,Q487)-1)*IF(TRIM(N487&amp;"")="111444",10,20))/IF(TRIM(N487&amp;"")="111444",10,20),0))=1,
            300,
            IF(
                MIN(3,ROUNDUP(MAX(0,K487-(MAX(1,Q487)-1)*IF(TRIM(N487&amp;"")="111444",10,20))/IF(TRIM(N487&amp;"")="111444",10,20),0))=2,
                450,
                600
            )
        )
    ),
    ""
)</f>
        <v/>
      </c>
    </row>
    <row r="488" spans="1:22" ht="48.2" customHeight="1" x14ac:dyDescent="0.25">
      <c r="A488" s="17" t="str">
        <f>VLOOKUP(C488,[1]Werke!$A$1:$C$168,3,0)</f>
        <v>HT</v>
      </c>
      <c r="B488" s="17">
        <f>VLOOKUP(C488,[1]Werke!$A$1:$C$168,2,0)</f>
        <v>34</v>
      </c>
      <c r="C488" s="18">
        <v>80245</v>
      </c>
      <c r="D488" s="17">
        <f>VLOOKUP(C488,[1]Maliteslimalan!$A$1:$B$210,2,0)</f>
        <v>8000012604</v>
      </c>
      <c r="E488" s="19">
        <v>6</v>
      </c>
      <c r="F488" s="20" t="str">
        <f>VLOOKUP(G488,$U$1:$V$1730,2,0)</f>
        <v>N   912 640 01</v>
      </c>
      <c r="G488" s="21">
        <v>936982000</v>
      </c>
      <c r="H488" s="17">
        <f>VLOOKUP(G488,Z$2:AA$1905,2,FALSE)</f>
        <v>4.0379999999999999E-2</v>
      </c>
      <c r="I488" s="20"/>
      <c r="J488" s="17">
        <f>VLOOKUP(G488,W$2:X$1905,2,FALSE)</f>
        <v>165</v>
      </c>
      <c r="K488" s="17">
        <f>I488/J488</f>
        <v>0</v>
      </c>
      <c r="L488" s="22">
        <v>10</v>
      </c>
      <c r="M488" s="22">
        <v>30</v>
      </c>
      <c r="N488" s="22">
        <v>111444</v>
      </c>
      <c r="O488" s="22" t="str">
        <f>VLOOKUP(N488,$AL$1285:$AM$1310,2,FALSE)</f>
        <v>001006</v>
      </c>
      <c r="P488" s="22">
        <f>VLOOKUP(N488,AC$2:AD$1905,2,FALSE)</f>
        <v>34</v>
      </c>
      <c r="Q488" s="22"/>
      <c r="R488" s="23" t="s">
        <v>153</v>
      </c>
      <c r="S488" s="22">
        <f>VLOOKUP(R488,AC$2:AD$1905,2,FALSE)</f>
        <v>0.56999999999999995</v>
      </c>
      <c r="T488" s="24">
        <f>(H488*I488)+P488*Q488+S488*K488</f>
        <v>0</v>
      </c>
      <c r="U488" s="25">
        <f>IF(TRIM(N488&amp;"")="111444",
    IF(ROUNDUP(MAX(0,K488-(MAX(1,Q488)-1)*10)/10,0)=1,3,2),
    IF(TRIM(N488&amp;"")="VWPAL",
        IF(TRIM(R488&amp;"")="004147",1,2),
        ""
    )
)</f>
        <v>2</v>
      </c>
      <c r="V488" s="26" t="str">
        <f>IF(OR(TRIM(N488&amp;"")="111444",TRIM(N488&amp;"")="VWPAL"),
    IF(K488&lt;=0,"",
        IF(
            MIN(3,ROUNDUP(MAX(0,K488-(MAX(1,Q488)-1)*IF(TRIM(N488&amp;"")="111444",10,20))/IF(TRIM(N488&amp;"")="111444",10,20),0))=1,
            300,
            IF(
                MIN(3,ROUNDUP(MAX(0,K488-(MAX(1,Q488)-1)*IF(TRIM(N488&amp;"")="111444",10,20))/IF(TRIM(N488&amp;"")="111444",10,20),0))=2,
                450,
                600
            )
        )
    ),
    ""
)</f>
        <v/>
      </c>
    </row>
    <row r="489" spans="1:22" ht="48.2" customHeight="1" x14ac:dyDescent="0.25">
      <c r="A489" s="17">
        <f>VLOOKUP(C489,[1]Werke!$A$1:$C$168,3,0)</f>
        <v>14</v>
      </c>
      <c r="B489" s="17" t="str">
        <f>VLOOKUP(C489,[1]Werke!$A$1:$C$168,2,0)</f>
        <v>D72</v>
      </c>
      <c r="C489" s="18" t="s">
        <v>220</v>
      </c>
      <c r="D489" s="17" t="str">
        <f>VLOOKUP(C489,[1]Maliteslimalan!$A$1:$B$210,2,0)</f>
        <v>8000013493</v>
      </c>
      <c r="E489" s="19">
        <f>VLOOKUP(C489,[1]Bestellnr.!$A$1:$B$174,2,0)</f>
        <v>0</v>
      </c>
      <c r="F489" s="20" t="str">
        <f>VLOOKUP(G489,$U$1:$V$1730,2,0)</f>
        <v>N   912 640 01</v>
      </c>
      <c r="G489" s="21">
        <v>936982000</v>
      </c>
      <c r="H489" s="17">
        <f>VLOOKUP(G489,Z$2:AA$1905,2,FALSE)</f>
        <v>4.0379999999999999E-2</v>
      </c>
      <c r="I489" s="20"/>
      <c r="J489" s="17">
        <f>VLOOKUP(G489,W$2:X$1905,2,FALSE)</f>
        <v>165</v>
      </c>
      <c r="K489" s="17">
        <f>I489/J489</f>
        <v>0</v>
      </c>
      <c r="L489" s="22">
        <v>10</v>
      </c>
      <c r="M489" s="22">
        <v>30</v>
      </c>
      <c r="N489" s="22">
        <v>111444</v>
      </c>
      <c r="O489" s="22" t="str">
        <f>VLOOKUP(N489,$AL$1285:$AM$1310,2,FALSE)</f>
        <v>001006</v>
      </c>
      <c r="P489" s="22">
        <f>VLOOKUP(N489,AC$2:AD$1905,2,FALSE)</f>
        <v>34</v>
      </c>
      <c r="Q489" s="22"/>
      <c r="R489" s="23" t="s">
        <v>153</v>
      </c>
      <c r="S489" s="22">
        <f>VLOOKUP(R489,AC$2:AD$1905,2,FALSE)</f>
        <v>0.56999999999999995</v>
      </c>
      <c r="T489" s="24">
        <f>(H489*I489)+P489*Q489+S489*K489</f>
        <v>0</v>
      </c>
      <c r="U489" s="25">
        <f>IF(TRIM(N489&amp;"")="111444",
    IF(ROUNDUP(MAX(0,K489-(MAX(1,Q489)-1)*10)/10,0)=1,3,2),
    IF(TRIM(N489&amp;"")="VWPAL",
        IF(TRIM(R489&amp;"")="004147",1,2),
        ""
    )
)</f>
        <v>2</v>
      </c>
      <c r="V489" s="26" t="str">
        <f>IF(OR(TRIM(N489&amp;"")="111444",TRIM(N489&amp;"")="VWPAL"),
    IF(K489&lt;=0,"",
        IF(
            MIN(3,ROUNDUP(MAX(0,K489-(MAX(1,Q489)-1)*IF(TRIM(N489&amp;"")="111444",10,20))/IF(TRIM(N489&amp;"")="111444",10,20),0))=1,
            300,
            IF(
                MIN(3,ROUNDUP(MAX(0,K489-(MAX(1,Q489)-1)*IF(TRIM(N489&amp;"")="111444",10,20))/IF(TRIM(N489&amp;"")="111444",10,20),0))=2,
                450,
                600
            )
        )
    ),
    ""
)</f>
        <v/>
      </c>
    </row>
    <row r="490" spans="1:22" ht="48.2" customHeight="1" x14ac:dyDescent="0.25">
      <c r="A490" s="17">
        <f>VLOOKUP(C490,[1]Werke!$A$1:$C$168,3,0)</f>
        <v>24</v>
      </c>
      <c r="B490" s="17" t="str">
        <f>VLOOKUP(C490,[1]Werke!$A$1:$C$168,2,0)</f>
        <v>CKS</v>
      </c>
      <c r="C490" s="18" t="s">
        <v>245</v>
      </c>
      <c r="D490" s="17" t="str">
        <f>VLOOKUP(C490,[1]Maliteslimalan!$A$1:$B$210,2,0)</f>
        <v>8000012647</v>
      </c>
      <c r="E490" s="19" t="str">
        <f>VLOOKUP(C490,[1]Bestellnr.!$A$1:$B$174,2,0)</f>
        <v>000006</v>
      </c>
      <c r="F490" s="20" t="str">
        <f>VLOOKUP(G490,$U$1:$V$1730,2,0)</f>
        <v>N   912 640 01</v>
      </c>
      <c r="G490" s="21">
        <v>936982000</v>
      </c>
      <c r="H490" s="17">
        <f>VLOOKUP(G490,Z$2:AA$1905,2,FALSE)</f>
        <v>4.0379999999999999E-2</v>
      </c>
      <c r="I490" s="20"/>
      <c r="J490" s="17">
        <v>330</v>
      </c>
      <c r="K490" s="17">
        <f>I490/J490</f>
        <v>0</v>
      </c>
      <c r="L490" s="22">
        <v>10</v>
      </c>
      <c r="M490" s="22">
        <v>10</v>
      </c>
      <c r="N490" s="22" t="s">
        <v>155</v>
      </c>
      <c r="O490" s="22" t="str">
        <f>VLOOKUP(N490,$AL$1285:$AM$1310,2,FALSE)</f>
        <v>001210</v>
      </c>
      <c r="P490" s="22">
        <f>VLOOKUP(N490,AC$2:AD$1905,2,FALSE)</f>
        <v>55</v>
      </c>
      <c r="Q490" s="22"/>
      <c r="R490" s="23" t="s">
        <v>175</v>
      </c>
      <c r="S490" s="22">
        <f>VLOOKUP(R490,AC$2:AD$1905,2,FALSE)</f>
        <v>1.08</v>
      </c>
      <c r="T490" s="24">
        <f>(H490*I490)+P490*Q490+S490*K490</f>
        <v>0</v>
      </c>
      <c r="U490" s="25">
        <f>IF(TRIM(N490&amp;"")="111444",
    IF(ROUNDUP(MAX(0,K490-(MAX(1,Q490)-1)*10)/10,0)=1,3,2),
    IF(TRIM(N490&amp;"")="VWPAL",
        IF(TRIM(R490&amp;"")="004147",1,2),
        ""
    )
)</f>
        <v>1</v>
      </c>
      <c r="V490" s="26" t="str">
        <f>IF(OR(TRIM(N490&amp;"")="111444",TRIM(N490&amp;"")="VWPAL"),
    IF(K490&lt;=0,"",
        IF(
            MIN(3,ROUNDUP(MAX(0,K490-(MAX(1,Q490)-1)*IF(TRIM(N490&amp;"")="111444",10,20))/IF(TRIM(N490&amp;"")="111444",10,20),0))=1,
            300,
            IF(
                MIN(3,ROUNDUP(MAX(0,K490-(MAX(1,Q490)-1)*IF(TRIM(N490&amp;"")="111444",10,20))/IF(TRIM(N490&amp;"")="111444",10,20),0))=2,
                450,
                600
            )
        )
    ),
    ""
)</f>
        <v/>
      </c>
    </row>
    <row r="491" spans="1:22" ht="48.2" customHeight="1" x14ac:dyDescent="0.25">
      <c r="A491" s="17"/>
      <c r="B491" s="17"/>
      <c r="C491" s="18"/>
      <c r="D491" s="17"/>
      <c r="E491" s="19"/>
      <c r="F491" s="20"/>
      <c r="G491" s="21"/>
      <c r="H491" s="17"/>
      <c r="I491" s="20"/>
      <c r="J491" s="17"/>
      <c r="K491" s="17"/>
      <c r="L491" s="22"/>
      <c r="M491" s="22"/>
      <c r="N491" s="22"/>
      <c r="O491" s="22"/>
      <c r="P491" s="22"/>
      <c r="Q491" s="22"/>
      <c r="R491" s="23"/>
      <c r="S491" s="22"/>
      <c r="T491" s="24"/>
      <c r="U491" s="25"/>
    </row>
    <row r="492" spans="1:22" ht="48.2" customHeight="1" x14ac:dyDescent="0.25">
      <c r="A492" s="17">
        <f>VLOOKUP(C492,[1]Werke!$A$1:$C$168,3,0)</f>
        <v>14</v>
      </c>
      <c r="B492" s="17" t="str">
        <f>VLOOKUP(C492,[1]Werke!$A$1:$C$168,2,0)</f>
        <v>D85</v>
      </c>
      <c r="C492" s="18" t="s">
        <v>239</v>
      </c>
      <c r="D492" s="17" t="str">
        <f>VLOOKUP(C492,[1]Maliteslimalan!$A$1:$B$210,2,0)</f>
        <v>8000012682</v>
      </c>
      <c r="E492" s="19">
        <f>VLOOKUP(C492,[1]Bestellnr.!$A$1:$B$174,2,0)</f>
        <v>0</v>
      </c>
      <c r="F492" s="20" t="str">
        <f>VLOOKUP(G492,$U$1:$V$1730,2,0)</f>
        <v>WHT 001 949</v>
      </c>
      <c r="G492" s="21">
        <v>930387000</v>
      </c>
      <c r="H492" s="17">
        <f>VLOOKUP(G492,Z$2:AA$1905,2,FALSE)</f>
        <v>0.1208</v>
      </c>
      <c r="I492" s="20"/>
      <c r="J492" s="17">
        <f>VLOOKUP(G492,W$2:X$1905,2,FALSE)</f>
        <v>100</v>
      </c>
      <c r="K492" s="17">
        <f>I492/J492</f>
        <v>0</v>
      </c>
      <c r="L492" s="22">
        <v>20</v>
      </c>
      <c r="M492" s="22">
        <v>60</v>
      </c>
      <c r="N492" s="22" t="s">
        <v>155</v>
      </c>
      <c r="O492" s="22" t="str">
        <f>VLOOKUP(N492,$AL$1285:$AM$1310,2,FALSE)</f>
        <v>001210</v>
      </c>
      <c r="P492" s="22">
        <f>VLOOKUP(N492,AC$2:AD$1905,2,FALSE)</f>
        <v>55</v>
      </c>
      <c r="Q492" s="22"/>
      <c r="R492" s="23" t="s">
        <v>153</v>
      </c>
      <c r="S492" s="22">
        <f>VLOOKUP(R492,AC$2:AD$1905,2,FALSE)</f>
        <v>0.56999999999999995</v>
      </c>
      <c r="T492" s="24">
        <f>(H492*I492)+P492*Q492+S492*K492</f>
        <v>0</v>
      </c>
      <c r="U492" s="25">
        <f>IF(TRIM(N492&amp;"")="111444",
    IF(ROUNDUP(MAX(0,K492-(MAX(1,Q492)-1)*10)/10,0)=1,3,2),
    IF(TRIM(N492&amp;"")="VWPAL",
        IF(TRIM(R492&amp;"")="004147",1,2),
        ""
    )
)</f>
        <v>2</v>
      </c>
      <c r="V492" s="26" t="str">
        <f>IF(OR(TRIM(N492&amp;"")="111444",TRIM(N492&amp;"")="VWPAL"),
    IF(K492&lt;=0,"",
        IF(
            MIN(3,ROUNDUP(MAX(0,K492-(MAX(1,Q492)-1)*IF(TRIM(N492&amp;"")="111444",10,20))/IF(TRIM(N492&amp;"")="111444",10,20),0))=1,
            300,
            IF(
                MIN(3,ROUNDUP(MAX(0,K492-(MAX(1,Q492)-1)*IF(TRIM(N492&amp;"")="111444",10,20))/IF(TRIM(N492&amp;"")="111444",10,20),0))=2,
                450,
                600
            )
        )
    ),
    ""
)</f>
        <v/>
      </c>
    </row>
    <row r="493" spans="1:22" ht="48.2" customHeight="1" x14ac:dyDescent="0.25">
      <c r="A493" s="17">
        <f>VLOOKUP(C493,[1]Werke!$A$1:$C$168,3,0)</f>
        <v>24</v>
      </c>
      <c r="B493" s="17" t="str">
        <f>VLOOKUP(C493,[1]Werke!$A$1:$C$168,2,0)</f>
        <v>CKS</v>
      </c>
      <c r="C493" s="18" t="s">
        <v>245</v>
      </c>
      <c r="D493" s="17" t="str">
        <f>VLOOKUP(C493,[1]Maliteslimalan!$A$1:$B$210,2,0)</f>
        <v>8000012647</v>
      </c>
      <c r="E493" s="19" t="str">
        <f>VLOOKUP(C493,[1]Bestellnr.!$A$1:$B$174,2,0)</f>
        <v>000006</v>
      </c>
      <c r="F493" s="20" t="str">
        <f>VLOOKUP(G493,$U$1:$V$1730,2,0)</f>
        <v>WHT 001 949</v>
      </c>
      <c r="G493" s="21">
        <v>930387000</v>
      </c>
      <c r="H493" s="17">
        <f>VLOOKUP(G493,Z$2:AA$1905,2,FALSE)</f>
        <v>0.1208</v>
      </c>
      <c r="I493" s="20"/>
      <c r="J493" s="17">
        <f>VLOOKUP(G493,W$2:X$1905,2,FALSE)</f>
        <v>100</v>
      </c>
      <c r="K493" s="17">
        <f>I493/J493</f>
        <v>0</v>
      </c>
      <c r="L493" s="22">
        <v>10</v>
      </c>
      <c r="M493" s="22">
        <v>30</v>
      </c>
      <c r="N493" s="22">
        <v>111444</v>
      </c>
      <c r="O493" s="22" t="str">
        <f>VLOOKUP(N493,$AL$1285:$AM$1310,2,FALSE)</f>
        <v>001006</v>
      </c>
      <c r="P493" s="22">
        <f>VLOOKUP(N493,AC$2:AD$1905,2,FALSE)</f>
        <v>34</v>
      </c>
      <c r="Q493" s="22"/>
      <c r="R493" s="23" t="s">
        <v>153</v>
      </c>
      <c r="S493" s="22">
        <f>VLOOKUP(R493,AC$2:AD$1905,2,FALSE)</f>
        <v>0.56999999999999995</v>
      </c>
      <c r="T493" s="24">
        <f>(H493*I493)+P493*Q493+S493*K493</f>
        <v>0</v>
      </c>
      <c r="U493" s="25">
        <f>IF(TRIM(N493&amp;"")="111444",
    IF(ROUNDUP(MAX(0,K493-(MAX(1,Q493)-1)*10)/10,0)=1,3,2),
    IF(TRIM(N493&amp;"")="VWPAL",
        IF(TRIM(R493&amp;"")="004147",1,2),
        ""
    )
)</f>
        <v>2</v>
      </c>
      <c r="V493" s="26" t="str">
        <f>IF(OR(TRIM(N493&amp;"")="111444",TRIM(N493&amp;"")="VWPAL"),
    IF(K493&lt;=0,"",
        IF(
            MIN(3,ROUNDUP(MAX(0,K493-(MAX(1,Q493)-1)*IF(TRIM(N493&amp;"")="111444",10,20))/IF(TRIM(N493&amp;"")="111444",10,20),0))=1,
            300,
            IF(
                MIN(3,ROUNDUP(MAX(0,K493-(MAX(1,Q493)-1)*IF(TRIM(N493&amp;"")="111444",10,20))/IF(TRIM(N493&amp;"")="111444",10,20),0))=2,
                450,
                600
            )
        )
    ),
    ""
)</f>
        <v/>
      </c>
    </row>
    <row r="494" spans="1:22" ht="46.5" customHeight="1" x14ac:dyDescent="0.25">
      <c r="A494" s="17"/>
      <c r="B494" s="17"/>
      <c r="C494" s="18"/>
      <c r="D494" s="17"/>
      <c r="E494" s="19"/>
      <c r="F494" s="20"/>
      <c r="G494" s="21"/>
      <c r="H494" s="17"/>
      <c r="I494" s="20"/>
      <c r="J494" s="17"/>
      <c r="K494" s="17"/>
      <c r="L494" s="22"/>
      <c r="M494" s="22"/>
      <c r="N494" s="22"/>
      <c r="O494" s="22"/>
      <c r="P494" s="22"/>
      <c r="Q494" s="22"/>
      <c r="R494" s="23"/>
      <c r="S494" s="22"/>
      <c r="T494" s="24"/>
      <c r="U494" s="25"/>
    </row>
    <row r="495" spans="1:22" ht="48" customHeight="1" x14ac:dyDescent="0.25">
      <c r="A495" s="17">
        <f>VLOOKUP(C495,[1]Werke!$A$1:$C$168,3,0)</f>
        <v>14</v>
      </c>
      <c r="B495" s="17" t="str">
        <f>VLOOKUP(C495,[1]Werke!$A$1:$C$168,2,0)</f>
        <v>D72</v>
      </c>
      <c r="C495" s="18" t="s">
        <v>220</v>
      </c>
      <c r="D495" s="17" t="str">
        <f>VLOOKUP(C495,[1]Maliteslimalan!$A$1:$B$210,2,0)</f>
        <v>8000013493</v>
      </c>
      <c r="E495" s="19">
        <f>VLOOKUP(C495,[1]Bestellnr.!$A$1:$B$174,2,0)</f>
        <v>0</v>
      </c>
      <c r="F495" s="20" t="str">
        <f>VLOOKUP(G495,$U$1:$V$1730,2,0)</f>
        <v>WHT 005 490 A</v>
      </c>
      <c r="G495" s="21">
        <v>932016000</v>
      </c>
      <c r="H495" s="17">
        <f>VLOOKUP(G495,Z$2:AA$1905,2,FALSE)</f>
        <v>3.3000000000000002E-2</v>
      </c>
      <c r="I495" s="20"/>
      <c r="J495" s="17">
        <f>VLOOKUP(G495,W$2:X$1905,2,FALSE)</f>
        <v>250</v>
      </c>
      <c r="K495" s="17">
        <f>I495/J495</f>
        <v>0</v>
      </c>
      <c r="L495" s="22">
        <v>10</v>
      </c>
      <c r="M495" s="22">
        <v>30</v>
      </c>
      <c r="N495" s="22">
        <v>111444</v>
      </c>
      <c r="O495" s="22" t="str">
        <f>VLOOKUP(N495,$AL$1285:$AM$1310,2,FALSE)</f>
        <v>001006</v>
      </c>
      <c r="P495" s="22">
        <f>VLOOKUP(N495,AC$2:AD$1905,2,FALSE)</f>
        <v>34</v>
      </c>
      <c r="Q495" s="22"/>
      <c r="R495" s="23" t="s">
        <v>153</v>
      </c>
      <c r="S495" s="22">
        <f>VLOOKUP(R495,AC$2:AD$1905,2,FALSE)</f>
        <v>0.56999999999999995</v>
      </c>
      <c r="T495" s="24">
        <f>(H495*I495)+P495*Q495+S495*K495</f>
        <v>0</v>
      </c>
      <c r="U495" s="25">
        <f>IF(TRIM(N495&amp;"")="111444",
    IF(ROUNDUP(MAX(0,K495-(MAX(1,Q495)-1)*10)/10,0)=1,3,2),
    IF(TRIM(N495&amp;"")="VWPAL",
        IF(TRIM(R495&amp;"")="004147",1,2),
        ""
    )
)</f>
        <v>2</v>
      </c>
      <c r="V495" s="26" t="str">
        <f>IF(OR(TRIM(N495&amp;"")="111444",TRIM(N495&amp;"")="VWPAL"),
    IF(K495&lt;=0,"",
        IF(
            MIN(3,ROUNDUP(MAX(0,K495-(MAX(1,Q495)-1)*IF(TRIM(N495&amp;"")="111444",10,20))/IF(TRIM(N495&amp;"")="111444",10,20),0))=1,
            300,
            IF(
                MIN(3,ROUNDUP(MAX(0,K495-(MAX(1,Q495)-1)*IF(TRIM(N495&amp;"")="111444",10,20))/IF(TRIM(N495&amp;"")="111444",10,20),0))=2,
                450,
                600
            )
        )
    ),
    ""
)</f>
        <v/>
      </c>
    </row>
    <row r="496" spans="1:22" ht="48" customHeight="1" x14ac:dyDescent="0.25">
      <c r="A496" s="17"/>
      <c r="B496" s="17"/>
      <c r="C496" s="18"/>
      <c r="D496" s="17"/>
      <c r="E496" s="19"/>
      <c r="F496" s="20"/>
      <c r="G496" s="21"/>
      <c r="H496" s="17"/>
      <c r="I496" s="20"/>
      <c r="J496" s="17"/>
      <c r="K496" s="17"/>
      <c r="L496" s="22"/>
      <c r="M496" s="22"/>
      <c r="N496" s="22"/>
      <c r="O496" s="22"/>
      <c r="P496" s="22"/>
      <c r="Q496" s="22"/>
      <c r="R496" s="23"/>
      <c r="S496" s="22"/>
      <c r="T496" s="24"/>
      <c r="U496" s="25"/>
    </row>
    <row r="497" spans="1:22" ht="48.2" customHeight="1" x14ac:dyDescent="0.25">
      <c r="A497" s="17">
        <f>VLOOKUP(C497,[1]Werke!$A$1:$C$168,3,0)</f>
        <v>14</v>
      </c>
      <c r="B497" s="17" t="str">
        <f>VLOOKUP(C497,[1]Werke!$A$1:$C$168,2,0)</f>
        <v>D85</v>
      </c>
      <c r="C497" s="18" t="s">
        <v>239</v>
      </c>
      <c r="D497" s="17" t="str">
        <f>VLOOKUP(C497,[1]Maliteslimalan!$A$1:$B$210,2,0)</f>
        <v>8000012682</v>
      </c>
      <c r="E497" s="19">
        <f>VLOOKUP(C497,[1]Bestellnr.!$A$1:$B$174,2,0)</f>
        <v>0</v>
      </c>
      <c r="F497" s="20" t="str">
        <f>VLOOKUP(G497,$U$1:$V$1730,2,0)</f>
        <v>WHT 007 375</v>
      </c>
      <c r="G497" s="21">
        <v>932822000</v>
      </c>
      <c r="H497" s="17">
        <f>VLOOKUP(G497,Z$2:AA$1905,2,FALSE)</f>
        <v>1.968E-2</v>
      </c>
      <c r="I497" s="20"/>
      <c r="J497" s="17">
        <f>VLOOKUP(G497,W$2:X$1905,2,FALSE)</f>
        <v>280</v>
      </c>
      <c r="K497" s="17">
        <f>I497/J497</f>
        <v>0</v>
      </c>
      <c r="L497" s="22">
        <v>10</v>
      </c>
      <c r="M497" s="22">
        <v>30</v>
      </c>
      <c r="N497" s="22">
        <v>111444</v>
      </c>
      <c r="O497" s="22" t="str">
        <f>VLOOKUP(N497,$AL$1285:$AM$1310,2,FALSE)</f>
        <v>001006</v>
      </c>
      <c r="P497" s="22">
        <f>VLOOKUP(N497,AC$2:AD$1905,2,FALSE)</f>
        <v>34</v>
      </c>
      <c r="Q497" s="22"/>
      <c r="R497" s="23" t="s">
        <v>153</v>
      </c>
      <c r="S497" s="22">
        <f>VLOOKUP(R497,AC$2:AD$1905,2,FALSE)</f>
        <v>0.56999999999999995</v>
      </c>
      <c r="T497" s="24">
        <f>(H497*I497)+P497*Q497+S497*K497</f>
        <v>0</v>
      </c>
      <c r="U497" s="25">
        <f>IF(TRIM(N497&amp;"")="111444",
    IF(ROUNDUP(MAX(0,K497-(MAX(1,Q497)-1)*10)/10,0)=1,3,2),
    IF(TRIM(N497&amp;"")="VWPAL",
        IF(TRIM(R497&amp;"")="004147",1,2),
        ""
    )
)</f>
        <v>2</v>
      </c>
      <c r="V497" s="26" t="str">
        <f>IF(OR(TRIM(N497&amp;"")="111444",TRIM(N497&amp;"")="VWPAL"),
    IF(K497&lt;=0,"",
        IF(
            MIN(3,ROUNDUP(MAX(0,K497-(MAX(1,Q497)-1)*IF(TRIM(N497&amp;"")="111444",10,20))/IF(TRIM(N497&amp;"")="111444",10,20),0))=1,
            300,
            IF(
                MIN(3,ROUNDUP(MAX(0,K497-(MAX(1,Q497)-1)*IF(TRIM(N497&amp;"")="111444",10,20))/IF(TRIM(N497&amp;"")="111444",10,20),0))=2,
                450,
                600
            )
        )
    ),
    ""
)</f>
        <v/>
      </c>
    </row>
    <row r="498" spans="1:22" ht="48.2" customHeight="1" x14ac:dyDescent="0.25">
      <c r="A498" s="17"/>
      <c r="B498" s="17"/>
      <c r="C498" s="18"/>
      <c r="D498" s="17"/>
      <c r="E498" s="19"/>
      <c r="F498" s="20"/>
      <c r="G498" s="21"/>
      <c r="H498" s="17"/>
      <c r="I498" s="20"/>
      <c r="J498" s="17"/>
      <c r="K498" s="17"/>
      <c r="L498" s="22"/>
      <c r="M498" s="22"/>
      <c r="N498" s="22"/>
      <c r="O498" s="22"/>
      <c r="P498" s="22"/>
      <c r="Q498" s="22"/>
      <c r="R498" s="23"/>
      <c r="S498" s="22"/>
      <c r="T498" s="24"/>
      <c r="U498" s="25"/>
    </row>
    <row r="499" spans="1:22" ht="48" customHeight="1" x14ac:dyDescent="0.25">
      <c r="A499" s="17" t="str">
        <f>VLOOKUP(C499,[1]Werke!$A$1:$C$168,3,0)</f>
        <v>3P</v>
      </c>
      <c r="B499" s="17" t="str">
        <f>VLOOKUP(C499,[1]Werke!$A$1:$C$168,2,0)</f>
        <v>BP4</v>
      </c>
      <c r="C499" s="18" t="s">
        <v>234</v>
      </c>
      <c r="D499" s="17" t="str">
        <f>VLOOKUP(C499,[1]Maliteslimalan!$A$1:$B$210,2,0)</f>
        <v>8000012617</v>
      </c>
      <c r="E499" s="19" t="str">
        <f>VLOOKUP(C499,[1]Bestellnr.!$A$1:$B$174,2,0)</f>
        <v>000055</v>
      </c>
      <c r="F499" s="20" t="str">
        <f t="shared" ref="F499:F510" si="255">VLOOKUP(G499,$U$1:$V$1730,2,0)</f>
        <v>WHT 007 527</v>
      </c>
      <c r="G499" s="21">
        <v>100131700</v>
      </c>
      <c r="H499" s="17">
        <f t="shared" ref="H499:H510" si="256">VLOOKUP(G499,Z$2:AA$1905,2,FALSE)</f>
        <v>1.5959999999999998E-2</v>
      </c>
      <c r="I499" s="20"/>
      <c r="J499" s="17">
        <f t="shared" ref="J499:J510" si="257">VLOOKUP(G499,W$2:X$1905,2,FALSE)</f>
        <v>700</v>
      </c>
      <c r="K499" s="17">
        <f t="shared" ref="K499:K510" si="258">I499/J499</f>
        <v>0</v>
      </c>
      <c r="L499" s="22">
        <v>10</v>
      </c>
      <c r="M499" s="22">
        <v>10</v>
      </c>
      <c r="N499" s="22">
        <v>111444</v>
      </c>
      <c r="O499" s="22" t="str">
        <f t="shared" ref="O499:O510" si="259">VLOOKUP(N499,$AL$1285:$AM$1310,2,FALSE)</f>
        <v>001006</v>
      </c>
      <c r="P499" s="22">
        <f t="shared" ref="P499:P510" si="260">VLOOKUP(N499,AC$2:AD$1905,2,FALSE)</f>
        <v>34</v>
      </c>
      <c r="Q499" s="22"/>
      <c r="R499" s="23" t="s">
        <v>153</v>
      </c>
      <c r="S499" s="22">
        <f t="shared" ref="S499:S510" si="261">VLOOKUP(R499,AC$2:AD$1905,2,FALSE)</f>
        <v>0.56999999999999995</v>
      </c>
      <c r="T499" s="24">
        <f t="shared" ref="T499:T510" si="262">(H499*I499)+P499*Q499+S499*K499</f>
        <v>0</v>
      </c>
      <c r="U499" s="25">
        <f t="shared" ref="U499:U510" si="263">IF(TRIM(N499&amp;"")="111444",
    IF(ROUNDUP(MAX(0,K499-(MAX(1,Q499)-1)*10)/10,0)=1,3,2),
    IF(TRIM(N499&amp;"")="VWPAL",
        IF(TRIM(R499&amp;"")="004147",1,2),
        ""
    )
)</f>
        <v>2</v>
      </c>
      <c r="V499" s="26" t="str">
        <f t="shared" ref="V499:V510" si="264">IF(OR(TRIM(N499&amp;"")="111444",TRIM(N499&amp;"")="VWPAL"),
    IF(K499&lt;=0,"",
        IF(
            MIN(3,ROUNDUP(MAX(0,K499-(MAX(1,Q499)-1)*IF(TRIM(N499&amp;"")="111444",10,20))/IF(TRIM(N499&amp;"")="111444",10,20),0))=1,
            300,
            IF(
                MIN(3,ROUNDUP(MAX(0,K499-(MAX(1,Q499)-1)*IF(TRIM(N499&amp;"")="111444",10,20))/IF(TRIM(N499&amp;"")="111444",10,20),0))=2,
                450,
                600
            )
        )
    ),
    ""
)</f>
        <v/>
      </c>
    </row>
    <row r="500" spans="1:22" ht="48" customHeight="1" x14ac:dyDescent="0.25">
      <c r="A500" s="17">
        <f>VLOOKUP(C500,[1]Werke!$A$1:$C$168,3,0)</f>
        <v>14</v>
      </c>
      <c r="B500" s="17" t="str">
        <f>VLOOKUP(C500,[1]Werke!$A$1:$C$168,2,0)</f>
        <v>D85</v>
      </c>
      <c r="C500" s="18" t="s">
        <v>239</v>
      </c>
      <c r="D500" s="17" t="str">
        <f>VLOOKUP(C500,[1]Maliteslimalan!$A$1:$B$210,2,0)</f>
        <v>8000012682</v>
      </c>
      <c r="E500" s="19">
        <f>VLOOKUP(C500,[1]Bestellnr.!$A$1:$B$174,2,0)</f>
        <v>0</v>
      </c>
      <c r="F500" s="20" t="str">
        <f t="shared" si="255"/>
        <v>WHT 007 527</v>
      </c>
      <c r="G500" s="21">
        <v>100131700</v>
      </c>
      <c r="H500" s="17">
        <f t="shared" si="256"/>
        <v>1.5959999999999998E-2</v>
      </c>
      <c r="I500" s="20"/>
      <c r="J500" s="17">
        <f t="shared" si="257"/>
        <v>700</v>
      </c>
      <c r="K500" s="17">
        <f t="shared" si="258"/>
        <v>0</v>
      </c>
      <c r="L500" s="22">
        <v>10</v>
      </c>
      <c r="M500" s="22">
        <v>10</v>
      </c>
      <c r="N500" s="22">
        <v>111444</v>
      </c>
      <c r="O500" s="22" t="str">
        <f t="shared" si="259"/>
        <v>001006</v>
      </c>
      <c r="P500" s="22">
        <f t="shared" si="260"/>
        <v>34</v>
      </c>
      <c r="Q500" s="22"/>
      <c r="R500" s="23" t="s">
        <v>153</v>
      </c>
      <c r="S500" s="22">
        <f t="shared" si="261"/>
        <v>0.56999999999999995</v>
      </c>
      <c r="T500" s="24">
        <f t="shared" si="262"/>
        <v>0</v>
      </c>
      <c r="U500" s="25">
        <f t="shared" si="263"/>
        <v>2</v>
      </c>
      <c r="V500" s="26" t="str">
        <f t="shared" si="264"/>
        <v/>
      </c>
    </row>
    <row r="501" spans="1:22" ht="48" customHeight="1" x14ac:dyDescent="0.25">
      <c r="A501" s="17" t="str">
        <f>VLOOKUP(C501,[1]Werke!$A$1:$C$168,3,0)</f>
        <v>IM</v>
      </c>
      <c r="B501" s="17">
        <f>VLOOKUP(C501,[1]Werke!$A$1:$C$168,2,0)</f>
        <v>889</v>
      </c>
      <c r="C501" s="18" t="s">
        <v>225</v>
      </c>
      <c r="D501" s="17">
        <f>VLOOKUP(C501,[1]Maliteslimalan!$A$1:$B$210,2,0)</f>
        <v>8000017117</v>
      </c>
      <c r="E501" s="19">
        <v>6</v>
      </c>
      <c r="F501" s="20" t="str">
        <f t="shared" si="255"/>
        <v>WHT 007 527</v>
      </c>
      <c r="G501" s="21">
        <v>100131700</v>
      </c>
      <c r="H501" s="17">
        <f t="shared" si="256"/>
        <v>1.5959999999999998E-2</v>
      </c>
      <c r="I501" s="20"/>
      <c r="J501" s="17">
        <f t="shared" si="257"/>
        <v>700</v>
      </c>
      <c r="K501" s="17">
        <f t="shared" si="258"/>
        <v>0</v>
      </c>
      <c r="L501" s="22">
        <v>20</v>
      </c>
      <c r="M501" s="22">
        <v>40</v>
      </c>
      <c r="N501" s="22" t="s">
        <v>155</v>
      </c>
      <c r="O501" s="22" t="str">
        <f t="shared" si="259"/>
        <v>001210</v>
      </c>
      <c r="P501" s="22">
        <f t="shared" si="260"/>
        <v>55</v>
      </c>
      <c r="Q501" s="22"/>
      <c r="R501" s="23" t="s">
        <v>153</v>
      </c>
      <c r="S501" s="22">
        <f t="shared" si="261"/>
        <v>0.56999999999999995</v>
      </c>
      <c r="T501" s="24">
        <f t="shared" si="262"/>
        <v>0</v>
      </c>
      <c r="U501" s="25">
        <f t="shared" si="263"/>
        <v>2</v>
      </c>
      <c r="V501" s="26" t="str">
        <f t="shared" si="264"/>
        <v/>
      </c>
    </row>
    <row r="502" spans="1:22" ht="48" customHeight="1" x14ac:dyDescent="0.25">
      <c r="A502" s="17" t="str">
        <f>VLOOKUP(C502,[1]Werke!$A$1:$C$168,3,0)</f>
        <v>LD</v>
      </c>
      <c r="B502" s="17" t="str">
        <f>VLOOKUP(C502,[1]Werke!$A$1:$C$168,2,0)</f>
        <v>SLD</v>
      </c>
      <c r="C502" s="18">
        <v>83630</v>
      </c>
      <c r="D502" s="17" t="str">
        <f>VLOOKUP(C502,[1]Maliteslimalan!$A$1:$B$210,2,0)</f>
        <v>8000012862</v>
      </c>
      <c r="E502" s="19" t="str">
        <f>VLOOKUP(C502,[1]Bestellnr.!$A$1:$B$174,2,0)</f>
        <v>000006</v>
      </c>
      <c r="F502" s="20" t="str">
        <f t="shared" si="255"/>
        <v>WHT 007 527</v>
      </c>
      <c r="G502" s="21">
        <v>100131700</v>
      </c>
      <c r="H502" s="17">
        <f t="shared" si="256"/>
        <v>1.5959999999999998E-2</v>
      </c>
      <c r="I502" s="20"/>
      <c r="J502" s="17">
        <f t="shared" si="257"/>
        <v>700</v>
      </c>
      <c r="K502" s="17">
        <f t="shared" si="258"/>
        <v>0</v>
      </c>
      <c r="L502" s="22">
        <v>10</v>
      </c>
      <c r="M502" s="22">
        <v>30</v>
      </c>
      <c r="N502" s="22">
        <v>111444</v>
      </c>
      <c r="O502" s="22" t="str">
        <f t="shared" si="259"/>
        <v>001006</v>
      </c>
      <c r="P502" s="22">
        <f t="shared" si="260"/>
        <v>34</v>
      </c>
      <c r="Q502" s="22"/>
      <c r="R502" s="23" t="s">
        <v>153</v>
      </c>
      <c r="S502" s="22">
        <f t="shared" si="261"/>
        <v>0.56999999999999995</v>
      </c>
      <c r="T502" s="24">
        <f t="shared" si="262"/>
        <v>0</v>
      </c>
      <c r="U502" s="25">
        <f t="shared" si="263"/>
        <v>2</v>
      </c>
      <c r="V502" s="26" t="str">
        <f t="shared" si="264"/>
        <v/>
      </c>
    </row>
    <row r="503" spans="1:22" ht="48" customHeight="1" x14ac:dyDescent="0.25">
      <c r="A503" s="17">
        <f>VLOOKUP(C503,[1]Werke!$A$1:$C$168,3,0)</f>
        <v>11</v>
      </c>
      <c r="B503" s="17" t="str">
        <f>VLOOKUP(C503,[1]Werke!$A$1:$C$168,2,0)</f>
        <v>AKL</v>
      </c>
      <c r="C503" s="18" t="s">
        <v>253</v>
      </c>
      <c r="D503" s="17" t="str">
        <f>VLOOKUP(C503,[1]Maliteslimalan!$A$1:$B$210,2,0)</f>
        <v>8000012831</v>
      </c>
      <c r="E503" s="19" t="str">
        <f>VLOOKUP(C503,[1]Bestellnr.!$A$1:$B$174,2,0)</f>
        <v>000006</v>
      </c>
      <c r="F503" s="20" t="str">
        <f t="shared" si="255"/>
        <v>WHT 007 527</v>
      </c>
      <c r="G503" s="21">
        <v>100131700</v>
      </c>
      <c r="H503" s="17">
        <f t="shared" si="256"/>
        <v>1.5959999999999998E-2</v>
      </c>
      <c r="I503" s="20"/>
      <c r="J503" s="17">
        <f t="shared" si="257"/>
        <v>700</v>
      </c>
      <c r="K503" s="17">
        <f t="shared" si="258"/>
        <v>0</v>
      </c>
      <c r="L503" s="22">
        <v>20</v>
      </c>
      <c r="M503" s="22">
        <v>40</v>
      </c>
      <c r="N503" s="22" t="s">
        <v>155</v>
      </c>
      <c r="O503" s="22" t="str">
        <f t="shared" si="259"/>
        <v>001210</v>
      </c>
      <c r="P503" s="22">
        <f t="shared" si="260"/>
        <v>55</v>
      </c>
      <c r="Q503" s="22"/>
      <c r="R503" s="23" t="s">
        <v>153</v>
      </c>
      <c r="S503" s="22">
        <f t="shared" si="261"/>
        <v>0.56999999999999995</v>
      </c>
      <c r="T503" s="24">
        <f t="shared" si="262"/>
        <v>0</v>
      </c>
      <c r="U503" s="25">
        <f t="shared" si="263"/>
        <v>2</v>
      </c>
      <c r="V503" s="26" t="str">
        <f t="shared" si="264"/>
        <v/>
      </c>
    </row>
    <row r="504" spans="1:22" ht="48" customHeight="1" x14ac:dyDescent="0.25">
      <c r="A504" s="17">
        <f>VLOOKUP(C504,[1]Werke!$A$1:$C$168,3,0)</f>
        <v>37</v>
      </c>
      <c r="B504" s="17" t="str">
        <f>VLOOKUP(C504,[1]Werke!$A$1:$C$168,2,0)</f>
        <v>AKL</v>
      </c>
      <c r="C504" s="18" t="s">
        <v>232</v>
      </c>
      <c r="D504" s="17" t="str">
        <f>VLOOKUP(C504,[1]Maliteslimalan!$A$1:$B$210,2,0)</f>
        <v>8000012562</v>
      </c>
      <c r="E504" s="19" t="str">
        <f>VLOOKUP(C504,[1]Bestellnr.!$A$1:$B$174,2,0)</f>
        <v>000006</v>
      </c>
      <c r="F504" s="20" t="str">
        <f t="shared" si="255"/>
        <v>WHT 007 527</v>
      </c>
      <c r="G504" s="21">
        <v>100131700</v>
      </c>
      <c r="H504" s="17">
        <f t="shared" si="256"/>
        <v>1.5959999999999998E-2</v>
      </c>
      <c r="I504" s="20"/>
      <c r="J504" s="17">
        <f t="shared" si="257"/>
        <v>700</v>
      </c>
      <c r="K504" s="17">
        <f t="shared" si="258"/>
        <v>0</v>
      </c>
      <c r="L504" s="22">
        <v>10</v>
      </c>
      <c r="M504" s="22">
        <v>30</v>
      </c>
      <c r="N504" s="22">
        <v>111444</v>
      </c>
      <c r="O504" s="22" t="str">
        <f t="shared" si="259"/>
        <v>001006</v>
      </c>
      <c r="P504" s="22">
        <f t="shared" si="260"/>
        <v>34</v>
      </c>
      <c r="Q504" s="22"/>
      <c r="R504" s="23" t="s">
        <v>153</v>
      </c>
      <c r="S504" s="22">
        <f t="shared" si="261"/>
        <v>0.56999999999999995</v>
      </c>
      <c r="T504" s="24">
        <f t="shared" si="262"/>
        <v>0</v>
      </c>
      <c r="U504" s="25">
        <f t="shared" si="263"/>
        <v>2</v>
      </c>
      <c r="V504" s="26" t="str">
        <f t="shared" si="264"/>
        <v/>
      </c>
    </row>
    <row r="505" spans="1:22" ht="48" customHeight="1" x14ac:dyDescent="0.25">
      <c r="A505" s="17">
        <f>VLOOKUP(C505,[1]Werke!$A$1:$C$168,3,0)</f>
        <v>33</v>
      </c>
      <c r="B505" s="17" t="str">
        <f>VLOOKUP(C505,[1]Werke!$A$1:$C$168,2,0)</f>
        <v>KK2</v>
      </c>
      <c r="C505" s="18" t="s">
        <v>233</v>
      </c>
      <c r="D505" s="17" t="str">
        <f>VLOOKUP(C505,[1]Maliteslimalan!$A$1:$B$210,2,0)</f>
        <v>8000012709</v>
      </c>
      <c r="E505" s="19" t="str">
        <f>VLOOKUP(C505,[1]Bestellnr.!$A$1:$B$174,2,0)</f>
        <v>000055</v>
      </c>
      <c r="F505" s="20" t="str">
        <f t="shared" si="255"/>
        <v>WHT 007 527</v>
      </c>
      <c r="G505" s="21">
        <v>100131700</v>
      </c>
      <c r="H505" s="17">
        <f t="shared" si="256"/>
        <v>1.5959999999999998E-2</v>
      </c>
      <c r="I505" s="20"/>
      <c r="J505" s="17">
        <f t="shared" si="257"/>
        <v>700</v>
      </c>
      <c r="K505" s="17">
        <f t="shared" si="258"/>
        <v>0</v>
      </c>
      <c r="L505" s="22">
        <v>10</v>
      </c>
      <c r="M505" s="22">
        <v>30</v>
      </c>
      <c r="N505" s="22">
        <v>111444</v>
      </c>
      <c r="O505" s="22" t="str">
        <f t="shared" si="259"/>
        <v>001006</v>
      </c>
      <c r="P505" s="22">
        <f t="shared" si="260"/>
        <v>34</v>
      </c>
      <c r="Q505" s="22"/>
      <c r="R505" s="23" t="s">
        <v>153</v>
      </c>
      <c r="S505" s="22">
        <f t="shared" si="261"/>
        <v>0.56999999999999995</v>
      </c>
      <c r="T505" s="24">
        <f t="shared" si="262"/>
        <v>0</v>
      </c>
      <c r="U505" s="25">
        <f t="shared" si="263"/>
        <v>2</v>
      </c>
      <c r="V505" s="26" t="str">
        <f t="shared" si="264"/>
        <v/>
      </c>
    </row>
    <row r="506" spans="1:22" ht="48" customHeight="1" x14ac:dyDescent="0.25">
      <c r="A506" s="17">
        <f>VLOOKUP(C506,[1]Werke!$A$1:$C$168,3,0)</f>
        <v>40</v>
      </c>
      <c r="B506" s="17">
        <f>VLOOKUP(C506,[1]Werke!$A$1:$C$168,2,0)</f>
        <v>908</v>
      </c>
      <c r="C506" s="18" t="s">
        <v>247</v>
      </c>
      <c r="D506" s="17" t="str">
        <f>VLOOKUP(C506,[1]Maliteslimalan!$A$1:$B$210,2,0)</f>
        <v>8000012582</v>
      </c>
      <c r="E506" s="19" t="str">
        <f>VLOOKUP(C506,[1]Bestellnr.!$A$1:$B$174,2,0)</f>
        <v>000001</v>
      </c>
      <c r="F506" s="20" t="str">
        <f t="shared" si="255"/>
        <v>WHT 007 527</v>
      </c>
      <c r="G506" s="21">
        <v>100131700</v>
      </c>
      <c r="H506" s="17">
        <f t="shared" si="256"/>
        <v>1.5959999999999998E-2</v>
      </c>
      <c r="I506" s="20"/>
      <c r="J506" s="17">
        <f t="shared" si="257"/>
        <v>700</v>
      </c>
      <c r="K506" s="17">
        <f t="shared" si="258"/>
        <v>0</v>
      </c>
      <c r="L506" s="22">
        <v>10</v>
      </c>
      <c r="M506" s="22">
        <v>30</v>
      </c>
      <c r="N506" s="22">
        <v>111444</v>
      </c>
      <c r="O506" s="22" t="str">
        <f t="shared" si="259"/>
        <v>001006</v>
      </c>
      <c r="P506" s="22">
        <f t="shared" si="260"/>
        <v>34</v>
      </c>
      <c r="Q506" s="22"/>
      <c r="R506" s="23" t="s">
        <v>153</v>
      </c>
      <c r="S506" s="22">
        <f t="shared" si="261"/>
        <v>0.56999999999999995</v>
      </c>
      <c r="T506" s="24">
        <f t="shared" si="262"/>
        <v>0</v>
      </c>
      <c r="U506" s="25">
        <f t="shared" si="263"/>
        <v>2</v>
      </c>
      <c r="V506" s="26" t="str">
        <f t="shared" si="264"/>
        <v/>
      </c>
    </row>
    <row r="507" spans="1:22" ht="48" customHeight="1" x14ac:dyDescent="0.25">
      <c r="A507" s="17">
        <f>VLOOKUP(C507,[1]Werke!$A$1:$C$168,3,0)</f>
        <v>42</v>
      </c>
      <c r="B507" s="17" t="str">
        <f>VLOOKUP(C507,[1]Werke!$A$1:$C$168,2,0)</f>
        <v>CC1</v>
      </c>
      <c r="C507" s="18" t="s">
        <v>177</v>
      </c>
      <c r="D507" s="17" t="str">
        <f>VLOOKUP(C507,[1]Maliteslimalan!$A$1:$B$210,2,0)</f>
        <v>8000012577</v>
      </c>
      <c r="E507" s="19" t="str">
        <f>VLOOKUP(C507,[1]Bestellnr.!$A$1:$B$174,2,0)</f>
        <v>000001</v>
      </c>
      <c r="F507" s="20" t="str">
        <f t="shared" si="255"/>
        <v>WHT 007 527</v>
      </c>
      <c r="G507" s="21">
        <v>100131700</v>
      </c>
      <c r="H507" s="17">
        <f t="shared" si="256"/>
        <v>1.5959999999999998E-2</v>
      </c>
      <c r="I507" s="20"/>
      <c r="J507" s="17">
        <f t="shared" si="257"/>
        <v>700</v>
      </c>
      <c r="K507" s="17">
        <f t="shared" si="258"/>
        <v>0</v>
      </c>
      <c r="L507" s="22">
        <v>20</v>
      </c>
      <c r="M507" s="22">
        <v>60</v>
      </c>
      <c r="N507" s="22" t="s">
        <v>155</v>
      </c>
      <c r="O507" s="22" t="str">
        <f t="shared" si="259"/>
        <v>001210</v>
      </c>
      <c r="P507" s="22">
        <f t="shared" si="260"/>
        <v>55</v>
      </c>
      <c r="Q507" s="22"/>
      <c r="R507" s="23" t="s">
        <v>153</v>
      </c>
      <c r="S507" s="22">
        <f t="shared" si="261"/>
        <v>0.56999999999999995</v>
      </c>
      <c r="T507" s="24">
        <f t="shared" si="262"/>
        <v>0</v>
      </c>
      <c r="U507" s="25">
        <f t="shared" si="263"/>
        <v>2</v>
      </c>
      <c r="V507" s="26" t="str">
        <f t="shared" si="264"/>
        <v/>
      </c>
    </row>
    <row r="508" spans="1:22" ht="48" customHeight="1" x14ac:dyDescent="0.25">
      <c r="A508" s="17" t="str">
        <f>VLOOKUP(C508,[1]Werke!$A$1:$C$168,3,0)</f>
        <v>3T</v>
      </c>
      <c r="B508" s="17" t="str">
        <f>VLOOKUP(C508,[1]Werke!$A$1:$C$168,2,0)</f>
        <v>BZ5</v>
      </c>
      <c r="C508" s="18" t="s">
        <v>242</v>
      </c>
      <c r="D508" s="17">
        <f>VLOOKUP(C508,[1]Maliteslimalan!$A$1:$B$210,2,0)</f>
        <v>8000012711</v>
      </c>
      <c r="E508" s="19">
        <v>6</v>
      </c>
      <c r="F508" s="20" t="str">
        <f t="shared" si="255"/>
        <v>WHT 007 527</v>
      </c>
      <c r="G508" s="21">
        <v>100131700</v>
      </c>
      <c r="H508" s="17">
        <f t="shared" si="256"/>
        <v>1.5959999999999998E-2</v>
      </c>
      <c r="I508" s="20"/>
      <c r="J508" s="17">
        <f t="shared" si="257"/>
        <v>700</v>
      </c>
      <c r="K508" s="17">
        <f t="shared" si="258"/>
        <v>0</v>
      </c>
      <c r="L508" s="22">
        <v>10</v>
      </c>
      <c r="M508" s="22">
        <v>10</v>
      </c>
      <c r="N508" s="22">
        <v>111444</v>
      </c>
      <c r="O508" s="22" t="str">
        <f t="shared" si="259"/>
        <v>001006</v>
      </c>
      <c r="P508" s="22">
        <f t="shared" si="260"/>
        <v>34</v>
      </c>
      <c r="Q508" s="22"/>
      <c r="R508" s="23" t="s">
        <v>153</v>
      </c>
      <c r="S508" s="22">
        <f t="shared" si="261"/>
        <v>0.56999999999999995</v>
      </c>
      <c r="T508" s="24">
        <f t="shared" si="262"/>
        <v>0</v>
      </c>
      <c r="U508" s="25">
        <f t="shared" si="263"/>
        <v>2</v>
      </c>
      <c r="V508" s="26" t="str">
        <f t="shared" si="264"/>
        <v/>
      </c>
    </row>
    <row r="509" spans="1:22" ht="48" customHeight="1" x14ac:dyDescent="0.25">
      <c r="A509" s="17">
        <f>VLOOKUP(C509,[1]Werke!$A$1:$C$168,3,0)</f>
        <v>15</v>
      </c>
      <c r="B509" s="17" t="str">
        <f>VLOOKUP(C509,[1]Werke!$A$1:$C$168,2,0)</f>
        <v>H9A</v>
      </c>
      <c r="C509" s="18" t="s">
        <v>296</v>
      </c>
      <c r="D509" s="17">
        <f>VLOOKUP(C509,[1]Maliteslimalan!$A$1:$B$210,2,0)</f>
        <v>8000015366</v>
      </c>
      <c r="E509" s="19">
        <v>6</v>
      </c>
      <c r="F509" s="20" t="str">
        <f t="shared" si="255"/>
        <v>WHT 007 527</v>
      </c>
      <c r="G509" s="21">
        <v>100131700</v>
      </c>
      <c r="H509" s="17">
        <f t="shared" si="256"/>
        <v>1.5959999999999998E-2</v>
      </c>
      <c r="I509" s="20"/>
      <c r="J509" s="17">
        <f t="shared" si="257"/>
        <v>700</v>
      </c>
      <c r="K509" s="17">
        <f t="shared" si="258"/>
        <v>0</v>
      </c>
      <c r="L509" s="22">
        <v>10</v>
      </c>
      <c r="M509" s="22">
        <v>10</v>
      </c>
      <c r="N509" s="22">
        <v>111444</v>
      </c>
      <c r="O509" s="22" t="str">
        <f t="shared" si="259"/>
        <v>001006</v>
      </c>
      <c r="P509" s="22">
        <f t="shared" si="260"/>
        <v>34</v>
      </c>
      <c r="Q509" s="22"/>
      <c r="R509" s="23" t="s">
        <v>153</v>
      </c>
      <c r="S509" s="22">
        <f t="shared" si="261"/>
        <v>0.56999999999999995</v>
      </c>
      <c r="T509" s="24">
        <f t="shared" si="262"/>
        <v>0</v>
      </c>
      <c r="U509" s="25">
        <f t="shared" si="263"/>
        <v>2</v>
      </c>
      <c r="V509" s="26" t="str">
        <f t="shared" si="264"/>
        <v/>
      </c>
    </row>
    <row r="510" spans="1:22" ht="48" customHeight="1" x14ac:dyDescent="0.25">
      <c r="A510" s="17" t="str">
        <f>VLOOKUP(C510,[1]Werke!$A$1:$C$168,3,0)</f>
        <v>3R</v>
      </c>
      <c r="B510" s="17" t="str">
        <f>VLOOKUP(C510,[1]Werke!$A$1:$C$168,2,0)</f>
        <v>BC9</v>
      </c>
      <c r="C510" s="18" t="s">
        <v>244</v>
      </c>
      <c r="D510" s="17">
        <f>VLOOKUP(C510,[1]Maliteslimalan!$A$1:$B$210,2,0)</f>
        <v>8000017021</v>
      </c>
      <c r="E510" s="19">
        <v>6</v>
      </c>
      <c r="F510" s="20" t="str">
        <f t="shared" si="255"/>
        <v>WHT 007 527</v>
      </c>
      <c r="G510" s="21">
        <v>100131700</v>
      </c>
      <c r="H510" s="17">
        <f t="shared" si="256"/>
        <v>1.5959999999999998E-2</v>
      </c>
      <c r="I510" s="20"/>
      <c r="J510" s="17">
        <f t="shared" si="257"/>
        <v>700</v>
      </c>
      <c r="K510" s="17">
        <f t="shared" si="258"/>
        <v>0</v>
      </c>
      <c r="L510" s="22">
        <v>10</v>
      </c>
      <c r="M510" s="22">
        <v>10</v>
      </c>
      <c r="N510" s="22">
        <v>111444</v>
      </c>
      <c r="O510" s="22" t="str">
        <f t="shared" si="259"/>
        <v>001006</v>
      </c>
      <c r="P510" s="22">
        <f t="shared" si="260"/>
        <v>34</v>
      </c>
      <c r="Q510" s="22"/>
      <c r="R510" s="23" t="s">
        <v>153</v>
      </c>
      <c r="S510" s="22">
        <f t="shared" si="261"/>
        <v>0.56999999999999995</v>
      </c>
      <c r="T510" s="24">
        <f t="shared" si="262"/>
        <v>0</v>
      </c>
      <c r="U510" s="25">
        <f t="shared" si="263"/>
        <v>2</v>
      </c>
      <c r="V510" s="26" t="str">
        <f t="shared" si="264"/>
        <v/>
      </c>
    </row>
    <row r="511" spans="1:22" ht="48" customHeight="1" x14ac:dyDescent="0.25">
      <c r="A511" s="17"/>
      <c r="B511" s="17"/>
      <c r="C511" s="18"/>
      <c r="D511" s="17"/>
      <c r="E511" s="19"/>
      <c r="F511" s="20"/>
      <c r="G511" s="21"/>
      <c r="H511" s="17"/>
      <c r="I511" s="20"/>
      <c r="J511" s="17"/>
      <c r="K511" s="17"/>
      <c r="L511" s="22"/>
      <c r="M511" s="22"/>
      <c r="N511" s="22"/>
      <c r="O511" s="22"/>
      <c r="P511" s="22"/>
      <c r="Q511" s="22"/>
      <c r="R511" s="23"/>
      <c r="S511" s="22"/>
      <c r="T511" s="24"/>
      <c r="U511" s="25"/>
    </row>
    <row r="512" spans="1:22" ht="48.2" customHeight="1" x14ac:dyDescent="0.25">
      <c r="A512" s="17" t="str">
        <f>VLOOKUP(C512,[1]Werke!$A$1:$C$168,3,0)</f>
        <v>14S</v>
      </c>
      <c r="B512" s="17" t="str">
        <f>VLOOKUP(C512,[1]Werke!$A$1:$C$168,2,0)</f>
        <v>LZG</v>
      </c>
      <c r="C512" s="18" t="s">
        <v>187</v>
      </c>
      <c r="D512" s="17" t="str">
        <f>VLOOKUP(C512,[1]Maliteslimalan!$A$1:$B$210,2,0)</f>
        <v>8000014767</v>
      </c>
      <c r="E512" s="19" t="str">
        <f>VLOOKUP(C512,[1]Bestellnr.!$A$1:$B$174,2,0)</f>
        <v>000006</v>
      </c>
      <c r="F512" s="20" t="str">
        <f>VLOOKUP(G512,$U$1:$V$1730,2,0)</f>
        <v>WHT 007 567</v>
      </c>
      <c r="G512" s="21">
        <v>941463000</v>
      </c>
      <c r="H512" s="17">
        <f>VLOOKUP(G512,Z$2:AA$1905,2,FALSE)</f>
        <v>1.2930000000000001E-2</v>
      </c>
      <c r="I512" s="20"/>
      <c r="J512" s="17">
        <f>VLOOKUP(G512,W$2:X$1905,2,FALSE)</f>
        <v>1000</v>
      </c>
      <c r="K512" s="17">
        <f>I512/J512</f>
        <v>0</v>
      </c>
      <c r="L512" s="22">
        <v>10</v>
      </c>
      <c r="M512" s="22">
        <v>10</v>
      </c>
      <c r="N512" s="22">
        <v>111444</v>
      </c>
      <c r="O512" s="22" t="str">
        <f>VLOOKUP(N512,$AL$1285:$AM$1310,2,FALSE)</f>
        <v>001006</v>
      </c>
      <c r="P512" s="22">
        <f>VLOOKUP(N512,AC$2:AD$1905,2,FALSE)</f>
        <v>34</v>
      </c>
      <c r="Q512" s="22"/>
      <c r="R512" s="23" t="s">
        <v>153</v>
      </c>
      <c r="S512" s="22">
        <f>VLOOKUP(R512,AC$2:AD$1905,2,FALSE)</f>
        <v>0.56999999999999995</v>
      </c>
      <c r="T512" s="24">
        <f>(H512*I512)+P512*Q512+S512*K512</f>
        <v>0</v>
      </c>
      <c r="U512" s="25">
        <f>IF(TRIM(N512&amp;"")="111444",
    IF(ROUNDUP(MAX(0,K512-(MAX(1,Q512)-1)*10)/10,0)=1,3,2),
    IF(TRIM(N512&amp;"")="VWPAL",
        IF(TRIM(R512&amp;"")="004147",1,2),
        ""
    )
)</f>
        <v>2</v>
      </c>
      <c r="V512" s="26" t="str">
        <f>IF(OR(TRIM(N512&amp;"")="111444",TRIM(N512&amp;"")="VWPAL"),
    IF(K512&lt;=0,"",
        IF(
            MIN(3,ROUNDUP(MAX(0,K512-(MAX(1,Q512)-1)*IF(TRIM(N512&amp;"")="111444",10,20))/IF(TRIM(N512&amp;"")="111444",10,20),0))=1,
            300,
            IF(
                MIN(3,ROUNDUP(MAX(0,K512-(MAX(1,Q512)-1)*IF(TRIM(N512&amp;"")="111444",10,20))/IF(TRIM(N512&amp;"")="111444",10,20),0))=2,
                450,
                600
            )
        )
    ),
    ""
)</f>
        <v/>
      </c>
    </row>
    <row r="513" spans="1:22" ht="48.2" customHeight="1" x14ac:dyDescent="0.25">
      <c r="A513" s="17">
        <f>VLOOKUP(C513,[1]Werke!$A$1:$C$168,3,0)</f>
        <v>14</v>
      </c>
      <c r="B513" s="17" t="str">
        <f>VLOOKUP(C513,[1]Werke!$A$1:$C$168,2,0)</f>
        <v>D85</v>
      </c>
      <c r="C513" s="18" t="s">
        <v>204</v>
      </c>
      <c r="D513" s="17" t="str">
        <f>VLOOKUP(C513,[1]Maliteslimalan!$A$1:$B$210,2,0)</f>
        <v>8000012682</v>
      </c>
      <c r="E513" s="19">
        <f>VLOOKUP(C513,[1]Bestellnr.!$A$1:$B$174,2,0)</f>
        <v>0</v>
      </c>
      <c r="F513" s="20" t="str">
        <f>VLOOKUP(G513,$U$1:$V$1730,2,0)</f>
        <v>WHT 007 567</v>
      </c>
      <c r="G513" s="21">
        <v>941463000</v>
      </c>
      <c r="H513" s="17">
        <f>VLOOKUP(G513,Z$2:AA$1905,2,FALSE)</f>
        <v>1.2930000000000001E-2</v>
      </c>
      <c r="I513" s="20"/>
      <c r="J513" s="17">
        <f>VLOOKUP(G513,W$2:X$1905,2,FALSE)</f>
        <v>1000</v>
      </c>
      <c r="K513" s="17">
        <f>I513/J513</f>
        <v>0</v>
      </c>
      <c r="L513" s="22">
        <v>10</v>
      </c>
      <c r="M513" s="22">
        <v>10</v>
      </c>
      <c r="N513" s="22">
        <v>111444</v>
      </c>
      <c r="O513" s="22" t="str">
        <f>VLOOKUP(N513,$AL$1285:$AM$1310,2,FALSE)</f>
        <v>001006</v>
      </c>
      <c r="P513" s="22">
        <f>VLOOKUP(N513,AC$2:AD$1905,2,FALSE)</f>
        <v>34</v>
      </c>
      <c r="Q513" s="22"/>
      <c r="R513" s="23" t="s">
        <v>153</v>
      </c>
      <c r="S513" s="22">
        <f>VLOOKUP(R513,AC$2:AD$1905,2,FALSE)</f>
        <v>0.56999999999999995</v>
      </c>
      <c r="T513" s="24">
        <f>(H513*I513)+P513*Q513+S513*K513</f>
        <v>0</v>
      </c>
      <c r="U513" s="25">
        <f>IF(TRIM(N513&amp;"")="111444",
    IF(ROUNDUP(MAX(0,K513-(MAX(1,Q513)-1)*10)/10,0)=1,3,2),
    IF(TRIM(N513&amp;"")="VWPAL",
        IF(TRIM(R513&amp;"")="004147",1,2),
        ""
    )
)</f>
        <v>2</v>
      </c>
      <c r="V513" s="26" t="str">
        <f>IF(OR(TRIM(N513&amp;"")="111444",TRIM(N513&amp;"")="VWPAL"),
    IF(K513&lt;=0,"",
        IF(
            MIN(3,ROUNDUP(MAX(0,K513-(MAX(1,Q513)-1)*IF(TRIM(N513&amp;"")="111444",10,20))/IF(TRIM(N513&amp;"")="111444",10,20),0))=1,
            300,
            IF(
                MIN(3,ROUNDUP(MAX(0,K513-(MAX(1,Q513)-1)*IF(TRIM(N513&amp;"")="111444",10,20))/IF(TRIM(N513&amp;"")="111444",10,20),0))=2,
                450,
                600
            )
        )
    ),
    ""
)</f>
        <v/>
      </c>
    </row>
    <row r="514" spans="1:22" ht="48.2" customHeight="1" x14ac:dyDescent="0.25">
      <c r="A514" s="17" t="str">
        <f>VLOOKUP(C514,[1]Werke!$A$1:$C$168,3,0)</f>
        <v>14S</v>
      </c>
      <c r="B514" s="17" t="str">
        <f>VLOOKUP(C514,[1]Werke!$A$1:$C$168,2,0)</f>
        <v>LZ</v>
      </c>
      <c r="C514" s="18" t="s">
        <v>297</v>
      </c>
      <c r="D514" s="17" t="str">
        <f>VLOOKUP(C514,[1]Maliteslimalan!$A$1:$B$210,2,0)</f>
        <v>8000012623</v>
      </c>
      <c r="E514" s="19" t="str">
        <f>VLOOKUP(C514,[1]Bestellnr.!$A$1:$B$174,2,0)</f>
        <v>000006</v>
      </c>
      <c r="F514" s="20" t="str">
        <f>VLOOKUP(G514,$U$1:$V$1730,2,0)</f>
        <v>WHT 007 567</v>
      </c>
      <c r="G514" s="21">
        <v>941463000</v>
      </c>
      <c r="H514" s="17">
        <f>VLOOKUP(G514,Z$2:AA$1905,2,FALSE)</f>
        <v>1.2930000000000001E-2</v>
      </c>
      <c r="I514" s="20"/>
      <c r="J514" s="17">
        <f>VLOOKUP(G514,W$2:X$1905,2,FALSE)</f>
        <v>1000</v>
      </c>
      <c r="K514" s="17">
        <f>I514/J514</f>
        <v>0</v>
      </c>
      <c r="L514" s="22">
        <v>10</v>
      </c>
      <c r="M514" s="22">
        <v>10</v>
      </c>
      <c r="N514" s="22">
        <v>111444</v>
      </c>
      <c r="O514" s="22" t="str">
        <f>VLOOKUP(N514,$AL$1285:$AM$1310,2,FALSE)</f>
        <v>001006</v>
      </c>
      <c r="P514" s="22">
        <f>VLOOKUP(N514,AC$2:AD$1905,2,FALSE)</f>
        <v>34</v>
      </c>
      <c r="Q514" s="22"/>
      <c r="R514" s="23" t="s">
        <v>153</v>
      </c>
      <c r="S514" s="22">
        <f>VLOOKUP(R514,AC$2:AD$1905,2,FALSE)</f>
        <v>0.56999999999999995</v>
      </c>
      <c r="T514" s="24">
        <f>(H514*I514)+P514*Q514+S514*K514</f>
        <v>0</v>
      </c>
      <c r="U514" s="25">
        <f>IF(TRIM(N514&amp;"")="111444",
    IF(ROUNDUP(MAX(0,K514-(MAX(1,Q514)-1)*10)/10,0)=1,3,2),
    IF(TRIM(N514&amp;"")="VWPAL",
        IF(TRIM(R514&amp;"")="004147",1,2),
        ""
    )
)</f>
        <v>2</v>
      </c>
      <c r="V514" s="26" t="str">
        <f>IF(OR(TRIM(N514&amp;"")="111444",TRIM(N514&amp;"")="VWPAL"),
    IF(K514&lt;=0,"",
        IF(
            MIN(3,ROUNDUP(MAX(0,K514-(MAX(1,Q514)-1)*IF(TRIM(N514&amp;"")="111444",10,20))/IF(TRIM(N514&amp;"")="111444",10,20),0))=1,
            300,
            IF(
                MIN(3,ROUNDUP(MAX(0,K514-(MAX(1,Q514)-1)*IF(TRIM(N514&amp;"")="111444",10,20))/IF(TRIM(N514&amp;"")="111444",10,20),0))=2,
                450,
                600
            )
        )
    ),
    ""
)</f>
        <v/>
      </c>
    </row>
    <row r="515" spans="1:22" ht="48.2" customHeight="1" x14ac:dyDescent="0.25">
      <c r="A515" s="17"/>
      <c r="B515" s="17"/>
      <c r="C515" s="18"/>
      <c r="D515" s="17"/>
      <c r="E515" s="19"/>
      <c r="F515" s="20"/>
      <c r="G515" s="21"/>
      <c r="H515" s="17"/>
      <c r="I515" s="20"/>
      <c r="J515" s="17"/>
      <c r="K515" s="17"/>
      <c r="L515" s="22"/>
      <c r="M515" s="22"/>
      <c r="N515" s="22"/>
      <c r="O515" s="22"/>
      <c r="P515" s="22"/>
      <c r="Q515" s="22"/>
      <c r="R515" s="23"/>
      <c r="S515" s="22"/>
      <c r="T515" s="24"/>
      <c r="U515" s="25"/>
    </row>
    <row r="516" spans="1:22" ht="48.2" customHeight="1" x14ac:dyDescent="0.25">
      <c r="A516" s="17">
        <f>VLOOKUP(C516,[1]Werke!$A$1:$C$168,3,0)</f>
        <v>24</v>
      </c>
      <c r="B516" s="17" t="str">
        <f>VLOOKUP(C516,[1]Werke!$A$1:$C$168,2,0)</f>
        <v>CKH</v>
      </c>
      <c r="C516" s="18" t="s">
        <v>224</v>
      </c>
      <c r="D516" s="17">
        <f>VLOOKUP(C516,[1]Maliteslimalan!$A$1:$B$210,2,0)</f>
        <v>8000013551</v>
      </c>
      <c r="E516" s="19">
        <v>6</v>
      </c>
      <c r="F516" s="20" t="str">
        <f>VLOOKUP(G516,$U$1:$V$1730,2,0)</f>
        <v>WHT 008 666</v>
      </c>
      <c r="G516" s="21">
        <v>937557000</v>
      </c>
      <c r="H516" s="17">
        <f>VLOOKUP(G516,Z$2:AA$1905,2,FALSE)</f>
        <v>7.0400000000000004E-2</v>
      </c>
      <c r="I516" s="20"/>
      <c r="J516" s="17">
        <f>VLOOKUP(G516,W$2:X$1905,2,FALSE)</f>
        <v>150</v>
      </c>
      <c r="K516" s="17">
        <f>I516/J516</f>
        <v>0</v>
      </c>
      <c r="L516" s="22">
        <v>20</v>
      </c>
      <c r="M516" s="22">
        <v>60</v>
      </c>
      <c r="N516" s="22" t="s">
        <v>155</v>
      </c>
      <c r="O516" s="22" t="str">
        <f>VLOOKUP(N516,$AL$1285:$AM$1310,2,FALSE)</f>
        <v>001210</v>
      </c>
      <c r="P516" s="22">
        <f>VLOOKUP(N516,AC$2:AD$1905,2,FALSE)</f>
        <v>55</v>
      </c>
      <c r="Q516" s="22"/>
      <c r="R516" s="23" t="s">
        <v>153</v>
      </c>
      <c r="S516" s="22">
        <f>VLOOKUP(R516,AC$2:AD$1905,2,FALSE)</f>
        <v>0.56999999999999995</v>
      </c>
      <c r="T516" s="24">
        <f>(H516*I516)+P516*Q516+S516*K516</f>
        <v>0</v>
      </c>
      <c r="U516" s="25">
        <f>IF(TRIM(N516&amp;"")="111444",
    IF(ROUNDUP(MAX(0,K516-(MAX(1,Q516)-1)*10)/10,0)=1,3,2),
    IF(TRIM(N516&amp;"")="VWPAL",
        IF(TRIM(R516&amp;"")="004147",1,2),
        ""
    )
)</f>
        <v>2</v>
      </c>
      <c r="V516" s="26" t="str">
        <f>IF(OR(TRIM(N516&amp;"")="111444",TRIM(N516&amp;"")="VWPAL"),
    IF(K516&lt;=0,"",
        IF(
            MIN(3,ROUNDUP(MAX(0,K516-(MAX(1,Q516)-1)*IF(TRIM(N516&amp;"")="111444",10,20))/IF(TRIM(N516&amp;"")="111444",10,20),0))=1,
            300,
            IF(
                MIN(3,ROUNDUP(MAX(0,K516-(MAX(1,Q516)-1)*IF(TRIM(N516&amp;"")="111444",10,20))/IF(TRIM(N516&amp;"")="111444",10,20),0))=2,
                450,
                600
            )
        )
    ),
    ""
)</f>
        <v/>
      </c>
    </row>
    <row r="517" spans="1:22" ht="48.2" customHeight="1" x14ac:dyDescent="0.25">
      <c r="A517" s="17">
        <f>VLOOKUP(C517,[1]Werke!$A$1:$C$168,3,0)</f>
        <v>14</v>
      </c>
      <c r="B517" s="17" t="str">
        <f>VLOOKUP(C517,[1]Werke!$A$1:$C$168,2,0)</f>
        <v>D47</v>
      </c>
      <c r="C517" s="18" t="s">
        <v>246</v>
      </c>
      <c r="D517" s="17" t="str">
        <f>VLOOKUP(C517,[1]Maliteslimalan!$A$1:$B$210,2,0)</f>
        <v>8000012583</v>
      </c>
      <c r="E517" s="19">
        <f>VLOOKUP(C517,[1]Bestellnr.!$A$1:$B$174,2,0)</f>
        <v>0</v>
      </c>
      <c r="F517" s="20" t="str">
        <f>VLOOKUP(G517,$U$1:$V$1730,2,0)</f>
        <v>WHT 008 666</v>
      </c>
      <c r="G517" s="21">
        <v>937557000</v>
      </c>
      <c r="H517" s="17">
        <f>VLOOKUP(G517,Z$2:AA$1905,2,FALSE)</f>
        <v>7.0400000000000004E-2</v>
      </c>
      <c r="I517" s="20"/>
      <c r="J517" s="17">
        <f>VLOOKUP(G517,W$2:X$1905,2,FALSE)</f>
        <v>150</v>
      </c>
      <c r="K517" s="17">
        <f>I517/J517</f>
        <v>0</v>
      </c>
      <c r="L517" s="22">
        <v>10</v>
      </c>
      <c r="M517" s="22">
        <v>30</v>
      </c>
      <c r="N517" s="22">
        <v>111444</v>
      </c>
      <c r="O517" s="22" t="str">
        <f>VLOOKUP(N517,$AL$1285:$AM$1310,2,FALSE)</f>
        <v>001006</v>
      </c>
      <c r="P517" s="22">
        <f>VLOOKUP(N517,AC$2:AD$1905,2,FALSE)</f>
        <v>34</v>
      </c>
      <c r="Q517" s="22"/>
      <c r="R517" s="23" t="s">
        <v>153</v>
      </c>
      <c r="S517" s="22">
        <f>VLOOKUP(R517,AC$2:AD$1905,2,FALSE)</f>
        <v>0.56999999999999995</v>
      </c>
      <c r="T517" s="24">
        <f>(H517*I517)+P517*Q517+S517*K517</f>
        <v>0</v>
      </c>
      <c r="U517" s="25">
        <f>IF(TRIM(N517&amp;"")="111444",
    IF(ROUNDUP(MAX(0,K517-(MAX(1,Q517)-1)*10)/10,0)=1,3,2),
    IF(TRIM(N517&amp;"")="VWPAL",
        IF(TRIM(R517&amp;"")="004147",1,2),
        ""
    )
)</f>
        <v>2</v>
      </c>
      <c r="V517" s="26" t="str">
        <f>IF(OR(TRIM(N517&amp;"")="111444",TRIM(N517&amp;"")="VWPAL"),
    IF(K517&lt;=0,"",
        IF(
            MIN(3,ROUNDUP(MAX(0,K517-(MAX(1,Q517)-1)*IF(TRIM(N517&amp;"")="111444",10,20))/IF(TRIM(N517&amp;"")="111444",10,20),0))=1,
            300,
            IF(
                MIN(3,ROUNDUP(MAX(0,K517-(MAX(1,Q517)-1)*IF(TRIM(N517&amp;"")="111444",10,20))/IF(TRIM(N517&amp;"")="111444",10,20),0))=2,
                450,
                600
            )
        )
    ),
    ""
)</f>
        <v/>
      </c>
    </row>
    <row r="518" spans="1:22" ht="48.2" customHeight="1" x14ac:dyDescent="0.25">
      <c r="A518" s="17">
        <f>VLOOKUP(C518,[1]Werke!$A$1:$C$168,3,0)</f>
        <v>24</v>
      </c>
      <c r="B518" s="17" t="str">
        <f>VLOOKUP(C518,[1]Werke!$A$1:$C$168,2,0)</f>
        <v>CKS</v>
      </c>
      <c r="C518" s="18" t="s">
        <v>245</v>
      </c>
      <c r="D518" s="17" t="str">
        <f>VLOOKUP(C518,[1]Maliteslimalan!$A$1:$B$210,2,0)</f>
        <v>8000012647</v>
      </c>
      <c r="E518" s="19" t="str">
        <f>VLOOKUP(C518,[1]Bestellnr.!$A$1:$B$174,2,0)</f>
        <v>000006</v>
      </c>
      <c r="F518" s="20" t="str">
        <f>VLOOKUP(G518,$U$1:$V$1730,2,0)</f>
        <v>WHT 008 666</v>
      </c>
      <c r="G518" s="21">
        <v>937557000</v>
      </c>
      <c r="H518" s="17">
        <f>VLOOKUP(G518,Z$2:AA$1905,2,FALSE)</f>
        <v>7.0400000000000004E-2</v>
      </c>
      <c r="I518" s="20"/>
      <c r="J518" s="17">
        <f>VLOOKUP(G518,W$2:X$1905,2,FALSE)</f>
        <v>150</v>
      </c>
      <c r="K518" s="17">
        <f>I518/J518</f>
        <v>0</v>
      </c>
      <c r="L518" s="22">
        <v>20</v>
      </c>
      <c r="M518" s="22">
        <v>60</v>
      </c>
      <c r="N518" s="22" t="s">
        <v>155</v>
      </c>
      <c r="O518" s="22" t="str">
        <f>VLOOKUP(N518,$AL$1285:$AM$1310,2,FALSE)</f>
        <v>001210</v>
      </c>
      <c r="P518" s="22">
        <f>VLOOKUP(N518,AC$2:AD$1905,2,FALSE)</f>
        <v>55</v>
      </c>
      <c r="Q518" s="22"/>
      <c r="R518" s="23" t="s">
        <v>153</v>
      </c>
      <c r="S518" s="22">
        <f>VLOOKUP(R518,AC$2:AD$1905,2,FALSE)</f>
        <v>0.56999999999999995</v>
      </c>
      <c r="T518" s="24">
        <f>(H518*I518)+P518*Q518+S518*K518</f>
        <v>0</v>
      </c>
      <c r="U518" s="25">
        <f>IF(TRIM(N518&amp;"")="111444",
    IF(ROUNDUP(MAX(0,K518-(MAX(1,Q518)-1)*10)/10,0)=1,3,2),
    IF(TRIM(N518&amp;"")="VWPAL",
        IF(TRIM(R518&amp;"")="004147",1,2),
        ""
    )
)</f>
        <v>2</v>
      </c>
      <c r="V518" s="26" t="str">
        <f>IF(OR(TRIM(N518&amp;"")="111444",TRIM(N518&amp;"")="VWPAL"),
    IF(K518&lt;=0,"",
        IF(
            MIN(3,ROUNDUP(MAX(0,K518-(MAX(1,Q518)-1)*IF(TRIM(N518&amp;"")="111444",10,20))/IF(TRIM(N518&amp;"")="111444",10,20),0))=1,
            300,
            IF(
                MIN(3,ROUNDUP(MAX(0,K518-(MAX(1,Q518)-1)*IF(TRIM(N518&amp;"")="111444",10,20))/IF(TRIM(N518&amp;"")="111444",10,20),0))=2,
                450,
                600
            )
        )
    ),
    ""
)</f>
        <v/>
      </c>
    </row>
    <row r="519" spans="1:22" ht="48.2" customHeight="1" x14ac:dyDescent="0.25">
      <c r="A519" s="17"/>
      <c r="B519" s="17"/>
      <c r="C519" s="18"/>
      <c r="D519" s="17"/>
      <c r="E519" s="19"/>
      <c r="F519" s="20"/>
      <c r="G519" s="21"/>
      <c r="H519" s="17"/>
      <c r="I519" s="20"/>
      <c r="J519" s="17"/>
      <c r="K519" s="17"/>
      <c r="L519" s="22"/>
      <c r="M519" s="22"/>
      <c r="N519" s="22"/>
      <c r="O519" s="22"/>
      <c r="P519" s="22"/>
      <c r="Q519" s="22"/>
      <c r="R519" s="23"/>
      <c r="S519" s="22"/>
      <c r="T519" s="24"/>
      <c r="U519" s="25"/>
    </row>
    <row r="520" spans="1:22" ht="48.2" customHeight="1" x14ac:dyDescent="0.25">
      <c r="A520" s="17">
        <f>VLOOKUP(C520,[1]Werke!$A$1:$C$168,3,0)</f>
        <v>14</v>
      </c>
      <c r="B520" s="17" t="str">
        <f>VLOOKUP(C520,[1]Werke!$A$1:$C$168,2,0)</f>
        <v>D85</v>
      </c>
      <c r="C520" s="18" t="s">
        <v>239</v>
      </c>
      <c r="D520" s="17" t="str">
        <f>VLOOKUP(C520,[1]Maliteslimalan!$A$1:$B$210,2,0)</f>
        <v>8000012682</v>
      </c>
      <c r="E520" s="19">
        <f>VLOOKUP(C520,[1]Bestellnr.!$A$1:$B$174,2,0)</f>
        <v>0</v>
      </c>
      <c r="F520" s="20" t="str">
        <f>VLOOKUP(G520,$U$1:$V$1730,2,0)</f>
        <v>N   010 239 29</v>
      </c>
      <c r="G520" s="21">
        <v>925195000</v>
      </c>
      <c r="H520" s="17">
        <f>VLOOKUP(G520,Z$2:AA$1905,2,FALSE)</f>
        <v>1.1039999999999999E-2</v>
      </c>
      <c r="I520" s="20"/>
      <c r="J520" s="17">
        <f>VLOOKUP(G520,W$2:X$1905,2,FALSE)</f>
        <v>1000</v>
      </c>
      <c r="K520" s="17">
        <f>I520/J520</f>
        <v>0</v>
      </c>
      <c r="L520" s="22">
        <v>10</v>
      </c>
      <c r="M520" s="22">
        <v>10</v>
      </c>
      <c r="N520" s="22">
        <v>111444</v>
      </c>
      <c r="O520" s="22" t="str">
        <f>VLOOKUP(N520,$AL$1285:$AM$1310,2,FALSE)</f>
        <v>001006</v>
      </c>
      <c r="P520" s="22">
        <f>VLOOKUP(N520,AC$2:AD$1905,2,FALSE)</f>
        <v>34</v>
      </c>
      <c r="Q520" s="22"/>
      <c r="R520" s="23" t="s">
        <v>153</v>
      </c>
      <c r="S520" s="22">
        <f>VLOOKUP(R520,AC$2:AD$1905,2,FALSE)</f>
        <v>0.56999999999999995</v>
      </c>
      <c r="T520" s="24">
        <f>(H520*I520)+P520*Q520+S520*K520</f>
        <v>0</v>
      </c>
      <c r="U520" s="25">
        <f>IF(TRIM(N520&amp;"")="111444",
    IF(ROUNDUP(MAX(0,K520-(MAX(1,Q520)-1)*10)/10,0)=1,3,2),
    IF(TRIM(N520&amp;"")="VWPAL",
        IF(TRIM(R520&amp;"")="004147",1,2),
        ""
    )
)</f>
        <v>2</v>
      </c>
      <c r="V520" s="26" t="str">
        <f>IF(OR(TRIM(N520&amp;"")="111444",TRIM(N520&amp;"")="VWPAL"),
    IF(K520&lt;=0,"",
        IF(
            MIN(3,ROUNDUP(MAX(0,K520-(MAX(1,Q520)-1)*IF(TRIM(N520&amp;"")="111444",10,20))/IF(TRIM(N520&amp;"")="111444",10,20),0))=1,
            300,
            IF(
                MIN(3,ROUNDUP(MAX(0,K520-(MAX(1,Q520)-1)*IF(TRIM(N520&amp;"")="111444",10,20))/IF(TRIM(N520&amp;"")="111444",10,20),0))=2,
                450,
                600
            )
        )
    ),
    ""
)</f>
        <v/>
      </c>
    </row>
    <row r="521" spans="1:22" ht="48.2" customHeight="1" x14ac:dyDescent="0.25">
      <c r="A521" s="17"/>
      <c r="B521" s="17"/>
      <c r="C521" s="18"/>
      <c r="D521" s="17"/>
      <c r="E521" s="19"/>
      <c r="F521" s="20"/>
      <c r="G521" s="21"/>
      <c r="H521" s="17"/>
      <c r="I521" s="20"/>
      <c r="J521" s="17"/>
      <c r="K521" s="17"/>
      <c r="L521" s="22"/>
      <c r="M521" s="22"/>
      <c r="N521" s="22"/>
      <c r="O521" s="22"/>
      <c r="P521" s="22"/>
      <c r="Q521" s="22"/>
      <c r="R521" s="23"/>
      <c r="S521" s="22"/>
      <c r="T521" s="24"/>
      <c r="U521" s="25"/>
    </row>
    <row r="522" spans="1:22" ht="48.2" customHeight="1" x14ac:dyDescent="0.25">
      <c r="A522" s="17">
        <f>VLOOKUP(C522,[1]Werke!$A$1:$C$168,3,0)</f>
        <v>12</v>
      </c>
      <c r="B522" s="17" t="str">
        <f>VLOOKUP(C522,[1]Werke!$A$1:$C$168,2,0)</f>
        <v>AKL</v>
      </c>
      <c r="C522" s="18" t="s">
        <v>298</v>
      </c>
      <c r="D522" s="17" t="str">
        <f>VLOOKUP(C522,[1]Maliteslimalan!$A$1:$B$210,2,0)</f>
        <v>8000012700</v>
      </c>
      <c r="E522" s="19" t="str">
        <f>VLOOKUP(C522,[1]Bestellnr.!$A$1:$B$174,2,0)</f>
        <v>000006</v>
      </c>
      <c r="F522" s="20" t="str">
        <f>VLOOKUP(G522,$U$1:$V$1730,2,0)</f>
        <v>N   108 194 01</v>
      </c>
      <c r="G522" s="21">
        <v>934702000</v>
      </c>
      <c r="H522" s="17">
        <f>VLOOKUP(G522,Z$2:AA$1905,2,FALSE)</f>
        <v>0.03</v>
      </c>
      <c r="I522" s="20"/>
      <c r="J522" s="17">
        <f>VLOOKUP(G522,W$2:X$1905,2,FALSE)</f>
        <v>230</v>
      </c>
      <c r="K522" s="17">
        <f>I522/J522</f>
        <v>0</v>
      </c>
      <c r="L522" s="22">
        <v>10</v>
      </c>
      <c r="M522" s="22">
        <v>30</v>
      </c>
      <c r="N522" s="22">
        <v>111444</v>
      </c>
      <c r="O522" s="22" t="str">
        <f>VLOOKUP(N522,$AL$1285:$AM$1310,2,FALSE)</f>
        <v>001006</v>
      </c>
      <c r="P522" s="22">
        <f>VLOOKUP(N522,AC$2:AD$1905,2,FALSE)</f>
        <v>34</v>
      </c>
      <c r="Q522" s="22"/>
      <c r="R522" s="23" t="s">
        <v>153</v>
      </c>
      <c r="S522" s="22">
        <f>VLOOKUP(R522,AC$2:AD$1905,2,FALSE)</f>
        <v>0.56999999999999995</v>
      </c>
      <c r="T522" s="24">
        <f>(H522*I522)+P522*Q522+S522*K522</f>
        <v>0</v>
      </c>
      <c r="U522" s="25">
        <f>IF(TRIM(N522&amp;"")="111444",
    IF(ROUNDUP(MAX(0,K522-(MAX(1,Q522)-1)*10)/10,0)=1,3,2),
    IF(TRIM(N522&amp;"")="VWPAL",
        IF(TRIM(R522&amp;"")="004147",1,2),
        ""
    )
)</f>
        <v>2</v>
      </c>
      <c r="V522" s="26" t="str">
        <f>IF(OR(TRIM(N522&amp;"")="111444",TRIM(N522&amp;"")="VWPAL"),
    IF(K522&lt;=0,"",
        IF(
            MIN(3,ROUNDUP(MAX(0,K522-(MAX(1,Q522)-1)*IF(TRIM(N522&amp;"")="111444",10,20))/IF(TRIM(N522&amp;"")="111444",10,20),0))=1,
            300,
            IF(
                MIN(3,ROUNDUP(MAX(0,K522-(MAX(1,Q522)-1)*IF(TRIM(N522&amp;"")="111444",10,20))/IF(TRIM(N522&amp;"")="111444",10,20),0))=2,
                450,
                600
            )
        )
    ),
    ""
)</f>
        <v/>
      </c>
    </row>
    <row r="523" spans="1:22" ht="48.2" customHeight="1" x14ac:dyDescent="0.25">
      <c r="A523" s="17">
        <f>VLOOKUP(C523,[1]Werke!$A$1:$C$168,3,0)</f>
        <v>14</v>
      </c>
      <c r="B523" s="17" t="str">
        <f>VLOOKUP(C523,[1]Werke!$A$1:$C$168,2,0)</f>
        <v>D85</v>
      </c>
      <c r="C523" s="18" t="s">
        <v>239</v>
      </c>
      <c r="D523" s="17" t="str">
        <f>VLOOKUP(C523,[1]Maliteslimalan!$A$1:$B$210,2,0)</f>
        <v>8000012682</v>
      </c>
      <c r="E523" s="19">
        <f>VLOOKUP(C523,[1]Bestellnr.!$A$1:$B$174,2,0)</f>
        <v>0</v>
      </c>
      <c r="F523" s="20" t="str">
        <f>VLOOKUP(G523,$U$1:$V$1730,2,0)</f>
        <v>N   108 194 01</v>
      </c>
      <c r="G523" s="21">
        <v>934702000</v>
      </c>
      <c r="H523" s="17">
        <f>VLOOKUP(G523,Z$2:AA$1905,2,FALSE)</f>
        <v>0.03</v>
      </c>
      <c r="I523" s="20"/>
      <c r="J523" s="17">
        <f>VLOOKUP(G523,W$2:X$1905,2,FALSE)</f>
        <v>230</v>
      </c>
      <c r="K523" s="17">
        <f>I523/J523</f>
        <v>0</v>
      </c>
      <c r="L523" s="22">
        <v>10</v>
      </c>
      <c r="M523" s="22">
        <v>30</v>
      </c>
      <c r="N523" s="22">
        <v>111444</v>
      </c>
      <c r="O523" s="22" t="str">
        <f>VLOOKUP(N523,$AL$1285:$AM$1310,2,FALSE)</f>
        <v>001006</v>
      </c>
      <c r="P523" s="22">
        <f>VLOOKUP(N523,AC$2:AD$1905,2,FALSE)</f>
        <v>34</v>
      </c>
      <c r="Q523" s="22"/>
      <c r="R523" s="23" t="s">
        <v>153</v>
      </c>
      <c r="S523" s="22">
        <f>VLOOKUP(R523,AC$2:AD$1905,2,FALSE)</f>
        <v>0.56999999999999995</v>
      </c>
      <c r="T523" s="24">
        <f>(H523*I523)+P523*Q523+S523*K523</f>
        <v>0</v>
      </c>
      <c r="U523" s="25">
        <f>IF(TRIM(N523&amp;"")="111444",
    IF(ROUNDUP(MAX(0,K523-(MAX(1,Q523)-1)*10)/10,0)=1,3,2),
    IF(TRIM(N523&amp;"")="VWPAL",
        IF(TRIM(R523&amp;"")="004147",1,2),
        ""
    )
)</f>
        <v>2</v>
      </c>
      <c r="V523" s="26" t="str">
        <f>IF(OR(TRIM(N523&amp;"")="111444",TRIM(N523&amp;"")="VWPAL"),
    IF(K523&lt;=0,"",
        IF(
            MIN(3,ROUNDUP(MAX(0,K523-(MAX(1,Q523)-1)*IF(TRIM(N523&amp;"")="111444",10,20))/IF(TRIM(N523&amp;"")="111444",10,20),0))=1,
            300,
            IF(
                MIN(3,ROUNDUP(MAX(0,K523-(MAX(1,Q523)-1)*IF(TRIM(N523&amp;"")="111444",10,20))/IF(TRIM(N523&amp;"")="111444",10,20),0))=2,
                450,
                600
            )
        )
    ),
    ""
)</f>
        <v/>
      </c>
    </row>
    <row r="524" spans="1:22" ht="48.2" customHeight="1" x14ac:dyDescent="0.25">
      <c r="A524" s="17"/>
      <c r="B524" s="17"/>
      <c r="C524" s="18"/>
      <c r="D524" s="17"/>
      <c r="E524" s="19"/>
      <c r="F524" s="20"/>
      <c r="G524" s="21"/>
      <c r="H524" s="17"/>
      <c r="I524" s="20"/>
      <c r="J524" s="17"/>
      <c r="K524" s="17"/>
      <c r="L524" s="22"/>
      <c r="M524" s="22"/>
      <c r="N524" s="22"/>
      <c r="O524" s="22"/>
      <c r="P524" s="22"/>
      <c r="Q524" s="22"/>
      <c r="R524" s="23"/>
      <c r="S524" s="22"/>
      <c r="T524" s="24"/>
      <c r="U524" s="25"/>
    </row>
    <row r="525" spans="1:22" ht="48.2" customHeight="1" x14ac:dyDescent="0.25">
      <c r="A525" s="17">
        <f>VLOOKUP(C525,[1]Werke!$A$1:$C$168,3,0)</f>
        <v>14</v>
      </c>
      <c r="B525" s="17" t="str">
        <f>VLOOKUP(C525,[1]Werke!$A$1:$C$168,2,0)</f>
        <v>D85</v>
      </c>
      <c r="C525" s="18" t="s">
        <v>239</v>
      </c>
      <c r="D525" s="17" t="str">
        <f>VLOOKUP(C525,[1]Maliteslimalan!$A$1:$B$210,2,0)</f>
        <v>8000012682</v>
      </c>
      <c r="E525" s="19">
        <f>VLOOKUP(C525,[1]Bestellnr.!$A$1:$B$174,2,0)</f>
        <v>0</v>
      </c>
      <c r="F525" s="20" t="str">
        <f>VLOOKUP(G525,$U$1:$V$1730,2,0)</f>
        <v>N   911 746 01</v>
      </c>
      <c r="G525" s="21">
        <v>933878000</v>
      </c>
      <c r="H525" s="17">
        <f>VLOOKUP(G525,Z$2:AA$1905,2,FALSE)</f>
        <v>6.234E-2</v>
      </c>
      <c r="I525" s="20"/>
      <c r="J525" s="17">
        <f>VLOOKUP(G525,W$2:X$1905,2,FALSE)</f>
        <v>230</v>
      </c>
      <c r="K525" s="17">
        <f>I525/J525</f>
        <v>0</v>
      </c>
      <c r="L525" s="22">
        <v>10</v>
      </c>
      <c r="M525" s="22">
        <v>30</v>
      </c>
      <c r="N525" s="22">
        <v>111444</v>
      </c>
      <c r="O525" s="22" t="str">
        <f>VLOOKUP(N525,$AL$1285:$AM$1310,2,FALSE)</f>
        <v>001006</v>
      </c>
      <c r="P525" s="22">
        <f>VLOOKUP(N525,AC$2:AD$1905,2,FALSE)</f>
        <v>34</v>
      </c>
      <c r="Q525" s="22"/>
      <c r="R525" s="23" t="s">
        <v>153</v>
      </c>
      <c r="S525" s="22">
        <f>VLOOKUP(R525,AC$2:AD$1905,2,FALSE)</f>
        <v>0.56999999999999995</v>
      </c>
      <c r="T525" s="24">
        <f>(H525*I525)+P525*Q525+S525*K525</f>
        <v>0</v>
      </c>
      <c r="U525" s="25">
        <f>IF(TRIM(N525&amp;"")="111444",
    IF(ROUNDUP(MAX(0,K525-(MAX(1,Q525)-1)*10)/10,0)=1,3,2),
    IF(TRIM(N525&amp;"")="VWPAL",
        IF(TRIM(R525&amp;"")="004147",1,2),
        ""
    )
)</f>
        <v>2</v>
      </c>
      <c r="V525" s="26" t="str">
        <f>IF(OR(TRIM(N525&amp;"")="111444",TRIM(N525&amp;"")="VWPAL"),
    IF(K525&lt;=0,"",
        IF(
            MIN(3,ROUNDUP(MAX(0,K525-(MAX(1,Q525)-1)*IF(TRIM(N525&amp;"")="111444",10,20))/IF(TRIM(N525&amp;"")="111444",10,20),0))=1,
            300,
            IF(
                MIN(3,ROUNDUP(MAX(0,K525-(MAX(1,Q525)-1)*IF(TRIM(N525&amp;"")="111444",10,20))/IF(TRIM(N525&amp;"")="111444",10,20),0))=2,
                450,
                600
            )
        )
    ),
    ""
)</f>
        <v/>
      </c>
    </row>
    <row r="526" spans="1:22" ht="48.2" customHeight="1" x14ac:dyDescent="0.25">
      <c r="A526" s="17"/>
      <c r="B526" s="17"/>
      <c r="C526" s="18"/>
      <c r="D526" s="17"/>
      <c r="E526" s="19"/>
      <c r="F526" s="20"/>
      <c r="G526" s="21"/>
      <c r="H526" s="17"/>
      <c r="I526" s="20"/>
      <c r="J526" s="17"/>
      <c r="K526" s="17"/>
      <c r="L526" s="22"/>
      <c r="M526" s="22"/>
      <c r="N526" s="22"/>
      <c r="O526" s="22"/>
      <c r="P526" s="22"/>
      <c r="Q526" s="22"/>
      <c r="R526" s="23"/>
      <c r="S526" s="22"/>
      <c r="T526" s="24"/>
      <c r="U526" s="25"/>
    </row>
    <row r="527" spans="1:22" ht="48.2" customHeight="1" x14ac:dyDescent="0.25">
      <c r="A527" s="17">
        <f>VLOOKUP(C527,[1]Werke!$A$1:$C$168,3,0)</f>
        <v>35</v>
      </c>
      <c r="B527" s="17" t="str">
        <f>VLOOKUP(C527,[1]Werke!$A$1:$C$168,2,0)</f>
        <v>G02</v>
      </c>
      <c r="C527" s="18" t="s">
        <v>299</v>
      </c>
      <c r="D527" s="17">
        <f>VLOOKUP(C527,[1]Maliteslimalan!$A$1:$B$210,2,0)</f>
        <v>8000018022</v>
      </c>
      <c r="E527" s="19">
        <v>6</v>
      </c>
      <c r="F527" s="20" t="str">
        <f>VLOOKUP(G527,$U$1:$V$1730,2,0)</f>
        <v>N   912 566 01</v>
      </c>
      <c r="G527" s="21">
        <v>936369000</v>
      </c>
      <c r="H527" s="17">
        <f>VLOOKUP(G527,Z$2:AA$1905,2,FALSE)</f>
        <v>2.5000000000000001E-2</v>
      </c>
      <c r="I527" s="20"/>
      <c r="J527" s="17">
        <f>VLOOKUP(G527,W$2:X$1905,2,FALSE)</f>
        <v>400</v>
      </c>
      <c r="K527" s="17">
        <f>I527/J527</f>
        <v>0</v>
      </c>
      <c r="L527" s="22">
        <v>10</v>
      </c>
      <c r="M527" s="22">
        <v>30</v>
      </c>
      <c r="N527" s="22" t="s">
        <v>155</v>
      </c>
      <c r="O527" s="22" t="str">
        <f>VLOOKUP(N527,$AL$1285:$AM$1310,2,FALSE)</f>
        <v>001210</v>
      </c>
      <c r="P527" s="22">
        <f>VLOOKUP(N527,AC$2:AD$1905,2,FALSE)</f>
        <v>55</v>
      </c>
      <c r="Q527" s="22"/>
      <c r="R527" s="23" t="s">
        <v>175</v>
      </c>
      <c r="S527" s="22">
        <f>VLOOKUP(R527,AC$2:AD$1905,2,FALSE)</f>
        <v>1.08</v>
      </c>
      <c r="T527" s="24">
        <f>(H527*I527)+P527*Q527+S527*K527</f>
        <v>0</v>
      </c>
      <c r="U527" s="25">
        <f>IF(TRIM(N527&amp;"")="111444",
    IF(ROUNDUP(MAX(0,K527-(MAX(1,Q527)-1)*10)/10,0)=1,3,2),
    IF(TRIM(N527&amp;"")="VWPAL",
        IF(TRIM(R527&amp;"")="004147",1,2),
        ""
    )
)</f>
        <v>1</v>
      </c>
      <c r="V527" s="26" t="str">
        <f>IF(OR(TRIM(N527&amp;"")="111444",TRIM(N527&amp;"")="VWPAL"),
    IF(K527&lt;=0,"",
        IF(
            MIN(3,ROUNDUP(MAX(0,K527-(MAX(1,Q527)-1)*IF(TRIM(N527&amp;"")="111444",10,20))/IF(TRIM(N527&amp;"")="111444",10,20),0))=1,
            300,
            IF(
                MIN(3,ROUNDUP(MAX(0,K527-(MAX(1,Q527)-1)*IF(TRIM(N527&amp;"")="111444",10,20))/IF(TRIM(N527&amp;"")="111444",10,20),0))=2,
                450,
                600
            )
        )
    ),
    ""
)</f>
        <v/>
      </c>
    </row>
    <row r="528" spans="1:22" ht="48.2" customHeight="1" x14ac:dyDescent="0.25">
      <c r="A528" s="17"/>
      <c r="B528" s="17"/>
      <c r="C528" s="18"/>
      <c r="D528" s="17"/>
      <c r="E528" s="19"/>
      <c r="F528" s="20"/>
      <c r="G528" s="21"/>
      <c r="H528" s="17"/>
      <c r="I528" s="20"/>
      <c r="J528" s="17"/>
      <c r="K528" s="17"/>
      <c r="L528" s="22"/>
      <c r="M528" s="22"/>
      <c r="N528" s="22"/>
      <c r="O528" s="22"/>
      <c r="P528" s="22"/>
      <c r="Q528" s="22"/>
      <c r="R528" s="23"/>
      <c r="S528" s="22"/>
      <c r="T528" s="24"/>
      <c r="U528" s="25"/>
    </row>
    <row r="529" spans="1:22" ht="48.2" customHeight="1" x14ac:dyDescent="0.25">
      <c r="A529" s="17" t="str">
        <f>VLOOKUP(C529,[1]Werke!$A$1:$C$168,3,0)</f>
        <v>26D</v>
      </c>
      <c r="B529" s="17" t="str">
        <f>VLOOKUP(C529,[1]Werke!$A$1:$C$168,2,0)</f>
        <v>G18</v>
      </c>
      <c r="C529" s="18" t="s">
        <v>257</v>
      </c>
      <c r="D529" s="17" t="str">
        <f>VLOOKUP(C529,[1]Maliteslimalan!$A$1:$B$210,2,0)</f>
        <v>8000012600</v>
      </c>
      <c r="E529" s="19">
        <f>VLOOKUP(C529,[1]Bestellnr.!$A$1:$B$174,2,0)</f>
        <v>0</v>
      </c>
      <c r="F529" s="20" t="str">
        <f>VLOOKUP(G529,$U$1:$V$1730,2,0)</f>
        <v>N   913 012 01</v>
      </c>
      <c r="G529" s="21">
        <v>100449600</v>
      </c>
      <c r="H529" s="17">
        <f>VLOOKUP(G529,Z$2:AA$1905,2,FALSE)</f>
        <v>3.7499999999999999E-2</v>
      </c>
      <c r="I529" s="20"/>
      <c r="J529" s="17" t="str">
        <f>VLOOKUP(G529,W$2:X$1905,2,FALSE)</f>
        <v>250</v>
      </c>
      <c r="K529" s="17">
        <f>I529/J529</f>
        <v>0</v>
      </c>
      <c r="L529" s="22">
        <v>10</v>
      </c>
      <c r="M529" s="22">
        <v>10</v>
      </c>
      <c r="N529" s="22">
        <v>111444</v>
      </c>
      <c r="O529" s="22" t="str">
        <f>VLOOKUP(N529,$AL$1285:$AM$1310,2,FALSE)</f>
        <v>001006</v>
      </c>
      <c r="P529" s="22">
        <f>VLOOKUP(N529,AC$2:AD$1905,2,FALSE)</f>
        <v>34</v>
      </c>
      <c r="Q529" s="22"/>
      <c r="R529" s="23" t="s">
        <v>153</v>
      </c>
      <c r="S529" s="22">
        <f>VLOOKUP(R529,AC$2:AD$1905,2,FALSE)</f>
        <v>0.56999999999999995</v>
      </c>
      <c r="T529" s="24">
        <f>(H529*I529)+P529*Q529+S529*K529</f>
        <v>0</v>
      </c>
      <c r="U529" s="25">
        <f>IF(TRIM(N529&amp;"")="111444",
    IF(ROUNDUP(MAX(0,K529-(MAX(1,Q529)-1)*10)/10,0)=1,3,2),
    IF(TRIM(N529&amp;"")="VWPAL",
        IF(TRIM(R529&amp;"")="004147",1,2),
        ""
    )
)</f>
        <v>2</v>
      </c>
      <c r="V529" s="26" t="str">
        <f>IF(OR(TRIM(N529&amp;"")="111444",TRIM(N529&amp;"")="VWPAL"),
    IF(K529&lt;=0,"",
        IF(
            MIN(3,ROUNDUP(MAX(0,K529-(MAX(1,Q529)-1)*IF(TRIM(N529&amp;"")="111444",10,20))/IF(TRIM(N529&amp;"")="111444",10,20),0))=1,
            300,
            IF(
                MIN(3,ROUNDUP(MAX(0,K529-(MAX(1,Q529)-1)*IF(TRIM(N529&amp;"")="111444",10,20))/IF(TRIM(N529&amp;"")="111444",10,20),0))=2,
                450,
                600
            )
        )
    ),
    ""
)</f>
        <v/>
      </c>
    </row>
    <row r="530" spans="1:22" ht="48.2" customHeight="1" x14ac:dyDescent="0.25">
      <c r="A530" s="17" t="str">
        <f>VLOOKUP(C530,[1]Werke!$A$1:$C$168,3,0)</f>
        <v>26C</v>
      </c>
      <c r="B530" s="17" t="str">
        <f>VLOOKUP(C530,[1]Werke!$A$1:$C$168,2,0)</f>
        <v>CKD</v>
      </c>
      <c r="C530" s="18" t="s">
        <v>258</v>
      </c>
      <c r="D530" s="17" t="str">
        <f>VLOOKUP(C530,[1]Maliteslimalan!$A$1:$B$210,2,0)</f>
        <v>8000012767</v>
      </c>
      <c r="E530" s="19">
        <f>VLOOKUP(C530,[1]Bestellnr.!$A$1:$B$174,2,0)</f>
        <v>0</v>
      </c>
      <c r="F530" s="20" t="str">
        <f>VLOOKUP(G530,$U$1:$V$1730,2,0)</f>
        <v>N   913 012 01</v>
      </c>
      <c r="G530" s="21">
        <v>100449600</v>
      </c>
      <c r="H530" s="17">
        <f>VLOOKUP(G530,Z$2:AA$1905,2,FALSE)</f>
        <v>3.7499999999999999E-2</v>
      </c>
      <c r="I530" s="20"/>
      <c r="J530" s="17" t="str">
        <f>VLOOKUP(G530,W$2:X$1905,2,FALSE)</f>
        <v>250</v>
      </c>
      <c r="K530" s="17">
        <f>I530/J530</f>
        <v>0</v>
      </c>
      <c r="L530" s="22">
        <v>10</v>
      </c>
      <c r="M530" s="22">
        <v>30</v>
      </c>
      <c r="N530" s="22">
        <v>111444</v>
      </c>
      <c r="O530" s="22" t="str">
        <f>VLOOKUP(N530,$AL$1285:$AM$1310,2,FALSE)</f>
        <v>001006</v>
      </c>
      <c r="P530" s="22">
        <f>VLOOKUP(N530,AC$2:AD$1905,2,FALSE)</f>
        <v>34</v>
      </c>
      <c r="Q530" s="22"/>
      <c r="R530" s="23" t="s">
        <v>153</v>
      </c>
      <c r="S530" s="22">
        <f>VLOOKUP(R530,AC$2:AD$1905,2,FALSE)</f>
        <v>0.56999999999999995</v>
      </c>
      <c r="T530" s="24">
        <f>(H530*I530)+P530*Q530+S530*K530</f>
        <v>0</v>
      </c>
      <c r="U530" s="25">
        <f>IF(TRIM(N530&amp;"")="111444",
    IF(ROUNDUP(MAX(0,K530-(MAX(1,Q530)-1)*10)/10,0)=1,3,2),
    IF(TRIM(N530&amp;"")="VWPAL",
        IF(TRIM(R530&amp;"")="004147",1,2),
        ""
    )
)</f>
        <v>2</v>
      </c>
      <c r="V530" s="26" t="str">
        <f>IF(OR(TRIM(N530&amp;"")="111444",TRIM(N530&amp;"")="VWPAL"),
    IF(K530&lt;=0,"",
        IF(
            MIN(3,ROUNDUP(MAX(0,K530-(MAX(1,Q530)-1)*IF(TRIM(N530&amp;"")="111444",10,20))/IF(TRIM(N530&amp;"")="111444",10,20),0))=1,
            300,
            IF(
                MIN(3,ROUNDUP(MAX(0,K530-(MAX(1,Q530)-1)*IF(TRIM(N530&amp;"")="111444",10,20))/IF(TRIM(N530&amp;"")="111444",10,20),0))=2,
                450,
                600
            )
        )
    ),
    ""
)</f>
        <v/>
      </c>
    </row>
    <row r="531" spans="1:22" ht="48.2" customHeight="1" x14ac:dyDescent="0.25">
      <c r="A531" s="17">
        <f>VLOOKUP(C531,[1]Werke!$A$1:$C$168,3,0)</f>
        <v>14</v>
      </c>
      <c r="B531" s="17" t="str">
        <f>VLOOKUP(C531,[1]Werke!$A$1:$C$168,2,0)</f>
        <v>D72</v>
      </c>
      <c r="C531" s="18" t="s">
        <v>220</v>
      </c>
      <c r="D531" s="17" t="str">
        <f>VLOOKUP(C531,[1]Maliteslimalan!$A$1:$B$210,2,0)</f>
        <v>8000013493</v>
      </c>
      <c r="E531" s="19">
        <f>VLOOKUP(C531,[1]Bestellnr.!$A$1:$B$174,2,0)</f>
        <v>0</v>
      </c>
      <c r="F531" s="20" t="str">
        <f>VLOOKUP(G531,$U$1:$V$1730,2,0)</f>
        <v>N   913 012 01</v>
      </c>
      <c r="G531" s="21">
        <v>100449600</v>
      </c>
      <c r="H531" s="17">
        <f>VLOOKUP(G531,Z$2:AA$1905,2,FALSE)</f>
        <v>3.7499999999999999E-2</v>
      </c>
      <c r="I531" s="20"/>
      <c r="J531" s="17" t="str">
        <f>VLOOKUP(G531,W$2:X$1905,2,FALSE)</f>
        <v>250</v>
      </c>
      <c r="K531" s="17">
        <f>I531/J531</f>
        <v>0</v>
      </c>
      <c r="L531" s="22">
        <v>10</v>
      </c>
      <c r="M531" s="22">
        <v>30</v>
      </c>
      <c r="N531" s="22">
        <v>111444</v>
      </c>
      <c r="O531" s="22" t="str">
        <f>VLOOKUP(N531,$AL$1285:$AM$1310,2,FALSE)</f>
        <v>001006</v>
      </c>
      <c r="P531" s="22">
        <f>VLOOKUP(N531,AC$2:AD$1905,2,FALSE)</f>
        <v>34</v>
      </c>
      <c r="Q531" s="22"/>
      <c r="R531" s="23" t="s">
        <v>153</v>
      </c>
      <c r="S531" s="22">
        <f>VLOOKUP(R531,AC$2:AD$1905,2,FALSE)</f>
        <v>0.56999999999999995</v>
      </c>
      <c r="T531" s="24">
        <f>(H531*I531)+P531*Q531+S531*K531</f>
        <v>0</v>
      </c>
      <c r="U531" s="25">
        <f>IF(TRIM(N531&amp;"")="111444",
    IF(ROUNDUP(MAX(0,K531-(MAX(1,Q531)-1)*10)/10,0)=1,3,2),
    IF(TRIM(N531&amp;"")="VWPAL",
        IF(TRIM(R531&amp;"")="004147",1,2),
        ""
    )
)</f>
        <v>2</v>
      </c>
      <c r="V531" s="26" t="str">
        <f>IF(OR(TRIM(N531&amp;"")="111444",TRIM(N531&amp;"")="VWPAL"),
    IF(K531&lt;=0,"",
        IF(
            MIN(3,ROUNDUP(MAX(0,K531-(MAX(1,Q531)-1)*IF(TRIM(N531&amp;"")="111444",10,20))/IF(TRIM(N531&amp;"")="111444",10,20),0))=1,
            300,
            IF(
                MIN(3,ROUNDUP(MAX(0,K531-(MAX(1,Q531)-1)*IF(TRIM(N531&amp;"")="111444",10,20))/IF(TRIM(N531&amp;"")="111444",10,20),0))=2,
                450,
                600
            )
        )
    ),
    ""
)</f>
        <v/>
      </c>
    </row>
    <row r="532" spans="1:22" ht="48.2" customHeight="1" x14ac:dyDescent="0.25">
      <c r="A532" s="17" t="str">
        <f>VLOOKUP(C532,[1]Werke!$A$1:$C$168,3,0)</f>
        <v>26D</v>
      </c>
      <c r="B532" s="17" t="str">
        <f>VLOOKUP(C532,[1]Werke!$A$1:$C$168,2,0)</f>
        <v>G18</v>
      </c>
      <c r="C532" s="18" t="s">
        <v>275</v>
      </c>
      <c r="D532" s="17" t="str">
        <f>VLOOKUP(C532,[1]Maliteslimalan!$A$1:$B$210,2,0)</f>
        <v>8000012880</v>
      </c>
      <c r="E532" s="19">
        <f>VLOOKUP(C532,[1]Bestellnr.!$A$1:$B$174,2,0)</f>
        <v>0</v>
      </c>
      <c r="F532" s="20" t="str">
        <f>VLOOKUP(G532,$U$1:$V$1730,2,0)</f>
        <v>N   913 012 01</v>
      </c>
      <c r="G532" s="21">
        <v>100449600</v>
      </c>
      <c r="H532" s="17">
        <f>VLOOKUP(G532,Z$2:AA$1905,2,FALSE)</f>
        <v>3.7499999999999999E-2</v>
      </c>
      <c r="I532" s="20"/>
      <c r="J532" s="17" t="str">
        <f>VLOOKUP(G532,W$2:X$1905,2,FALSE)</f>
        <v>250</v>
      </c>
      <c r="K532" s="17">
        <f>I532/J532</f>
        <v>0</v>
      </c>
      <c r="L532" s="22">
        <v>10</v>
      </c>
      <c r="M532" s="22">
        <v>10</v>
      </c>
      <c r="N532" s="22">
        <v>111444</v>
      </c>
      <c r="O532" s="22" t="str">
        <f>VLOOKUP(N532,$AL$1285:$AM$1310,2,FALSE)</f>
        <v>001006</v>
      </c>
      <c r="P532" s="22">
        <f>VLOOKUP(N532,AC$2:AD$1905,2,FALSE)</f>
        <v>34</v>
      </c>
      <c r="Q532" s="22"/>
      <c r="R532" s="23" t="s">
        <v>153</v>
      </c>
      <c r="S532" s="22">
        <f>VLOOKUP(R532,AC$2:AD$1905,2,FALSE)</f>
        <v>0.56999999999999995</v>
      </c>
      <c r="T532" s="24">
        <f>(H532*I532)+P532*Q532+S532*K532</f>
        <v>0</v>
      </c>
      <c r="U532" s="25">
        <f>IF(TRIM(N532&amp;"")="111444",
    IF(ROUNDUP(MAX(0,K532-(MAX(1,Q532)-1)*10)/10,0)=1,3,2),
    IF(TRIM(N532&amp;"")="VWPAL",
        IF(TRIM(R532&amp;"")="004147",1,2),
        ""
    )
)</f>
        <v>2</v>
      </c>
      <c r="V532" s="26" t="str">
        <f>IF(OR(TRIM(N532&amp;"")="111444",TRIM(N532&amp;"")="VWPAL"),
    IF(K532&lt;=0,"",
        IF(
            MIN(3,ROUNDUP(MAX(0,K532-(MAX(1,Q532)-1)*IF(TRIM(N532&amp;"")="111444",10,20))/IF(TRIM(N532&amp;"")="111444",10,20),0))=1,
            300,
            IF(
                MIN(3,ROUNDUP(MAX(0,K532-(MAX(1,Q532)-1)*IF(TRIM(N532&amp;"")="111444",10,20))/IF(TRIM(N532&amp;"")="111444",10,20),0))=2,
                450,
                600
            )
        )
    ),
    ""
)</f>
        <v/>
      </c>
    </row>
    <row r="533" spans="1:22" ht="48" customHeight="1" x14ac:dyDescent="0.25">
      <c r="A533" s="17"/>
      <c r="B533" s="17"/>
      <c r="C533" s="18"/>
      <c r="D533" s="17"/>
      <c r="E533" s="19"/>
      <c r="F533" s="20"/>
      <c r="G533" s="21"/>
      <c r="H533" s="17"/>
      <c r="I533" s="20"/>
      <c r="J533" s="17"/>
      <c r="K533" s="17"/>
      <c r="L533" s="22"/>
      <c r="M533" s="22"/>
      <c r="N533" s="22"/>
      <c r="O533" s="22"/>
      <c r="P533" s="22"/>
      <c r="Q533" s="22"/>
      <c r="R533" s="23"/>
      <c r="S533" s="22"/>
      <c r="T533" s="24"/>
      <c r="U533" s="25"/>
    </row>
    <row r="534" spans="1:22" ht="48.2" customHeight="1" x14ac:dyDescent="0.25">
      <c r="A534" s="17">
        <f>VLOOKUP(C534,[1]Werke!$A$1:$C$168,3,0)</f>
        <v>24</v>
      </c>
      <c r="B534" s="17" t="str">
        <f>VLOOKUP(C534,[1]Werke!$A$1:$C$168,2,0)</f>
        <v>CKH</v>
      </c>
      <c r="C534" s="18" t="s">
        <v>224</v>
      </c>
      <c r="D534" s="17">
        <f>VLOOKUP(C534,[1]Maliteslimalan!$A$1:$B$210,2,0)</f>
        <v>8000013551</v>
      </c>
      <c r="E534" s="19">
        <v>6</v>
      </c>
      <c r="F534" s="20" t="str">
        <f t="shared" ref="F534:F540" si="265">VLOOKUP(G534,$U$1:$V$1730,2,0)</f>
        <v>N   912 817 01</v>
      </c>
      <c r="G534" s="21">
        <v>940993000</v>
      </c>
      <c r="H534" s="17">
        <f t="shared" ref="H534:H540" si="266">VLOOKUP(G534,Z$2:AA$1905,2,FALSE)</f>
        <v>0.18709999999999999</v>
      </c>
      <c r="I534" s="20"/>
      <c r="J534" s="17">
        <f t="shared" ref="J534:J540" si="267">VLOOKUP(G534,W$2:X$1905,2,FALSE)</f>
        <v>50</v>
      </c>
      <c r="K534" s="17">
        <f t="shared" ref="K534:K540" si="268">I534/J534</f>
        <v>0</v>
      </c>
      <c r="L534" s="22">
        <v>10</v>
      </c>
      <c r="M534" s="22">
        <v>30</v>
      </c>
      <c r="N534" s="22">
        <v>111444</v>
      </c>
      <c r="O534" s="22" t="str">
        <f t="shared" ref="O534:O540" si="269">VLOOKUP(N534,$AL$1285:$AM$1310,2,FALSE)</f>
        <v>001006</v>
      </c>
      <c r="P534" s="22">
        <f t="shared" ref="P534:P540" si="270">VLOOKUP(N534,AC$2:AD$1905,2,FALSE)</f>
        <v>34</v>
      </c>
      <c r="Q534" s="22"/>
      <c r="R534" s="23" t="s">
        <v>153</v>
      </c>
      <c r="S534" s="22">
        <f t="shared" ref="S534:S540" si="271">VLOOKUP(R534,AC$2:AD$1905,2,FALSE)</f>
        <v>0.56999999999999995</v>
      </c>
      <c r="T534" s="24">
        <f t="shared" ref="T534:T540" si="272">(H534*I534)+P534*Q534+S534*K534</f>
        <v>0</v>
      </c>
      <c r="U534" s="25">
        <f t="shared" ref="U534:U540" si="273">IF(TRIM(N534&amp;"")="111444",
    IF(ROUNDUP(MAX(0,K534-(MAX(1,Q534)-1)*10)/10,0)=1,3,2),
    IF(TRIM(N534&amp;"")="VWPAL",
        IF(TRIM(R534&amp;"")="004147",1,2),
        ""
    )
)</f>
        <v>2</v>
      </c>
      <c r="V534" s="26" t="str">
        <f t="shared" ref="V534:V540" si="274">IF(OR(TRIM(N534&amp;"")="111444",TRIM(N534&amp;"")="VWPAL"),
    IF(K534&lt;=0,"",
        IF(
            MIN(3,ROUNDUP(MAX(0,K534-(MAX(1,Q534)-1)*IF(TRIM(N534&amp;"")="111444",10,20))/IF(TRIM(N534&amp;"")="111444",10,20),0))=1,
            300,
            IF(
                MIN(3,ROUNDUP(MAX(0,K534-(MAX(1,Q534)-1)*IF(TRIM(N534&amp;"")="111444",10,20))/IF(TRIM(N534&amp;"")="111444",10,20),0))=2,
                450,
                600
            )
        )
    ),
    ""
)</f>
        <v/>
      </c>
    </row>
    <row r="535" spans="1:22" ht="48.2" customHeight="1" x14ac:dyDescent="0.25">
      <c r="A535" s="17">
        <f>VLOOKUP(C535,[1]Werke!$A$1:$C$168,3,0)</f>
        <v>22</v>
      </c>
      <c r="B535" s="17" t="str">
        <f>VLOOKUP(C535,[1]Werke!$A$1:$C$168,2,0)</f>
        <v>13P</v>
      </c>
      <c r="C535" s="18" t="s">
        <v>215</v>
      </c>
      <c r="D535" s="17" t="str">
        <f>VLOOKUP(C535,[1]Maliteslimalan!$A$1:$B$210,2,0)</f>
        <v>8000014259</v>
      </c>
      <c r="E535" s="19" t="str">
        <f>VLOOKUP(C535,[1]Bestellnr.!$A$1:$B$174,2,0)</f>
        <v>000006</v>
      </c>
      <c r="F535" s="20" t="str">
        <f t="shared" si="265"/>
        <v>N   912 817 01</v>
      </c>
      <c r="G535" s="21">
        <v>940993000</v>
      </c>
      <c r="H535" s="17">
        <f t="shared" si="266"/>
        <v>0.18709999999999999</v>
      </c>
      <c r="I535" s="20"/>
      <c r="J535" s="17">
        <f t="shared" si="267"/>
        <v>50</v>
      </c>
      <c r="K535" s="17">
        <f t="shared" si="268"/>
        <v>0</v>
      </c>
      <c r="L535" s="22">
        <v>10</v>
      </c>
      <c r="M535" s="22">
        <v>30</v>
      </c>
      <c r="N535" s="22">
        <v>111444</v>
      </c>
      <c r="O535" s="22" t="str">
        <f t="shared" si="269"/>
        <v>001006</v>
      </c>
      <c r="P535" s="22">
        <f t="shared" si="270"/>
        <v>34</v>
      </c>
      <c r="Q535" s="22"/>
      <c r="R535" s="23" t="s">
        <v>153</v>
      </c>
      <c r="S535" s="22">
        <f t="shared" si="271"/>
        <v>0.56999999999999995</v>
      </c>
      <c r="T535" s="24">
        <f t="shared" si="272"/>
        <v>0</v>
      </c>
      <c r="U535" s="25">
        <f t="shared" si="273"/>
        <v>2</v>
      </c>
      <c r="V535" s="26" t="str">
        <f t="shared" si="274"/>
        <v/>
      </c>
    </row>
    <row r="536" spans="1:22" ht="48.2" customHeight="1" x14ac:dyDescent="0.25">
      <c r="A536" s="17">
        <f>VLOOKUP(C536,[1]Werke!$A$1:$C$168,3,0)</f>
        <v>37</v>
      </c>
      <c r="B536" s="17" t="str">
        <f>VLOOKUP(C536,[1]Werke!$A$1:$C$168,2,0)</f>
        <v>AKL</v>
      </c>
      <c r="C536" s="18" t="s">
        <v>232</v>
      </c>
      <c r="D536" s="17" t="str">
        <f>VLOOKUP(C536,[1]Maliteslimalan!$A$1:$B$210,2,0)</f>
        <v>8000012562</v>
      </c>
      <c r="E536" s="19" t="str">
        <f>VLOOKUP(C536,[1]Bestellnr.!$A$1:$B$174,2,0)</f>
        <v>000006</v>
      </c>
      <c r="F536" s="20" t="str">
        <f t="shared" si="265"/>
        <v>N   912 817 01</v>
      </c>
      <c r="G536" s="21">
        <v>940993000</v>
      </c>
      <c r="H536" s="17">
        <f t="shared" si="266"/>
        <v>0.18709999999999999</v>
      </c>
      <c r="I536" s="20"/>
      <c r="J536" s="17">
        <f t="shared" si="267"/>
        <v>50</v>
      </c>
      <c r="K536" s="17">
        <f t="shared" si="268"/>
        <v>0</v>
      </c>
      <c r="L536" s="22">
        <v>10</v>
      </c>
      <c r="M536" s="22">
        <v>30</v>
      </c>
      <c r="N536" s="22">
        <v>111444</v>
      </c>
      <c r="O536" s="22" t="str">
        <f t="shared" si="269"/>
        <v>001006</v>
      </c>
      <c r="P536" s="22">
        <f t="shared" si="270"/>
        <v>34</v>
      </c>
      <c r="Q536" s="22"/>
      <c r="R536" s="23" t="s">
        <v>153</v>
      </c>
      <c r="S536" s="22">
        <f t="shared" si="271"/>
        <v>0.56999999999999995</v>
      </c>
      <c r="T536" s="24">
        <f t="shared" si="272"/>
        <v>0</v>
      </c>
      <c r="U536" s="25">
        <f t="shared" si="273"/>
        <v>2</v>
      </c>
      <c r="V536" s="26" t="str">
        <f t="shared" si="274"/>
        <v/>
      </c>
    </row>
    <row r="537" spans="1:22" ht="48.2" customHeight="1" x14ac:dyDescent="0.25">
      <c r="A537" s="17">
        <f>VLOOKUP(C537,[1]Werke!$A$1:$C$168,3,0)</f>
        <v>34</v>
      </c>
      <c r="B537" s="17" t="str">
        <f>VLOOKUP(C537,[1]Werke!$A$1:$C$168,2,0)</f>
        <v>01</v>
      </c>
      <c r="C537" s="18" t="s">
        <v>280</v>
      </c>
      <c r="D537" s="17" t="str">
        <f>VLOOKUP(C537,[1]Maliteslimalan!$A$1:$B$210,2,0)</f>
        <v>8000012622</v>
      </c>
      <c r="E537" s="19">
        <f>VLOOKUP(C537,[1]Bestellnr.!$A$1:$B$174,2,0)</f>
        <v>0</v>
      </c>
      <c r="F537" s="20" t="str">
        <f t="shared" si="265"/>
        <v>N   912 817 01</v>
      </c>
      <c r="G537" s="21">
        <v>940993000</v>
      </c>
      <c r="H537" s="17">
        <f t="shared" si="266"/>
        <v>0.18709999999999999</v>
      </c>
      <c r="I537" s="20"/>
      <c r="J537" s="17">
        <f t="shared" si="267"/>
        <v>50</v>
      </c>
      <c r="K537" s="17">
        <f t="shared" si="268"/>
        <v>0</v>
      </c>
      <c r="L537" s="22">
        <v>10</v>
      </c>
      <c r="M537" s="22">
        <v>30</v>
      </c>
      <c r="N537" s="22">
        <v>111444</v>
      </c>
      <c r="O537" s="22" t="str">
        <f t="shared" si="269"/>
        <v>001006</v>
      </c>
      <c r="P537" s="22">
        <f t="shared" si="270"/>
        <v>34</v>
      </c>
      <c r="Q537" s="22"/>
      <c r="R537" s="23" t="s">
        <v>153</v>
      </c>
      <c r="S537" s="22">
        <f t="shared" si="271"/>
        <v>0.56999999999999995</v>
      </c>
      <c r="T537" s="24">
        <f t="shared" si="272"/>
        <v>0</v>
      </c>
      <c r="U537" s="25">
        <f t="shared" si="273"/>
        <v>2</v>
      </c>
      <c r="V537" s="26" t="str">
        <f t="shared" si="274"/>
        <v/>
      </c>
    </row>
    <row r="538" spans="1:22" ht="48.2" customHeight="1" x14ac:dyDescent="0.25">
      <c r="A538" s="17">
        <f>VLOOKUP(C538,[1]Werke!$A$1:$C$168,3,0)</f>
        <v>24</v>
      </c>
      <c r="B538" s="17" t="str">
        <f>VLOOKUP(C538,[1]Werke!$A$1:$C$168,2,0)</f>
        <v>CKS</v>
      </c>
      <c r="C538" s="18" t="s">
        <v>245</v>
      </c>
      <c r="D538" s="17" t="str">
        <f>VLOOKUP(C538,[1]Maliteslimalan!$A$1:$B$210,2,0)</f>
        <v>8000012647</v>
      </c>
      <c r="E538" s="19" t="str">
        <f>VLOOKUP(C538,[1]Bestellnr.!$A$1:$B$174,2,0)</f>
        <v>000006</v>
      </c>
      <c r="F538" s="20" t="str">
        <f t="shared" si="265"/>
        <v>N   912 817 01</v>
      </c>
      <c r="G538" s="21">
        <v>940993000</v>
      </c>
      <c r="H538" s="17">
        <f t="shared" si="266"/>
        <v>0.18709999999999999</v>
      </c>
      <c r="I538" s="20"/>
      <c r="J538" s="17">
        <f t="shared" si="267"/>
        <v>50</v>
      </c>
      <c r="K538" s="17">
        <f t="shared" si="268"/>
        <v>0</v>
      </c>
      <c r="L538" s="22">
        <v>10</v>
      </c>
      <c r="M538" s="22">
        <v>30</v>
      </c>
      <c r="N538" s="22">
        <v>111444</v>
      </c>
      <c r="O538" s="22" t="str">
        <f t="shared" si="269"/>
        <v>001006</v>
      </c>
      <c r="P538" s="22">
        <f t="shared" si="270"/>
        <v>34</v>
      </c>
      <c r="Q538" s="22"/>
      <c r="R538" s="23" t="s">
        <v>153</v>
      </c>
      <c r="S538" s="22">
        <f t="shared" si="271"/>
        <v>0.56999999999999995</v>
      </c>
      <c r="T538" s="24">
        <f t="shared" si="272"/>
        <v>0</v>
      </c>
      <c r="U538" s="25">
        <f t="shared" si="273"/>
        <v>2</v>
      </c>
      <c r="V538" s="26" t="str">
        <f t="shared" si="274"/>
        <v/>
      </c>
    </row>
    <row r="539" spans="1:22" ht="48.2" customHeight="1" x14ac:dyDescent="0.25">
      <c r="A539" s="17">
        <f>VLOOKUP(C539,[1]Werke!$A$1:$C$168,3,0)</f>
        <v>24</v>
      </c>
      <c r="B539" s="17" t="str">
        <f>VLOOKUP(C539,[1]Werke!$A$1:$C$168,2,0)</f>
        <v>CKV</v>
      </c>
      <c r="C539" s="18" t="s">
        <v>243</v>
      </c>
      <c r="D539" s="17" t="str">
        <f>VLOOKUP(C539,[1]Maliteslimalan!$A$1:$B$210,2,0)</f>
        <v>8000013217</v>
      </c>
      <c r="E539" s="19" t="str">
        <f>VLOOKUP(C539,[1]Bestellnr.!$A$1:$B$174,2,0)</f>
        <v>000006</v>
      </c>
      <c r="F539" s="20" t="str">
        <f t="shared" si="265"/>
        <v>N   912 817 01</v>
      </c>
      <c r="G539" s="21">
        <v>940993000</v>
      </c>
      <c r="H539" s="17">
        <f t="shared" si="266"/>
        <v>0.18709999999999999</v>
      </c>
      <c r="I539" s="20"/>
      <c r="J539" s="17">
        <f t="shared" si="267"/>
        <v>50</v>
      </c>
      <c r="K539" s="17">
        <f t="shared" si="268"/>
        <v>0</v>
      </c>
      <c r="L539" s="22">
        <v>10</v>
      </c>
      <c r="M539" s="22">
        <v>30</v>
      </c>
      <c r="N539" s="22">
        <v>111444</v>
      </c>
      <c r="O539" s="22" t="str">
        <f t="shared" si="269"/>
        <v>001006</v>
      </c>
      <c r="P539" s="22">
        <f t="shared" si="270"/>
        <v>34</v>
      </c>
      <c r="Q539" s="22"/>
      <c r="R539" s="23" t="s">
        <v>153</v>
      </c>
      <c r="S539" s="22">
        <f t="shared" si="271"/>
        <v>0.56999999999999995</v>
      </c>
      <c r="T539" s="24">
        <f t="shared" si="272"/>
        <v>0</v>
      </c>
      <c r="U539" s="25">
        <f t="shared" si="273"/>
        <v>2</v>
      </c>
      <c r="V539" s="26" t="str">
        <f t="shared" si="274"/>
        <v/>
      </c>
    </row>
    <row r="540" spans="1:22" ht="48.2" customHeight="1" x14ac:dyDescent="0.25">
      <c r="A540" s="17" t="str">
        <f>VLOOKUP(C540,[1]Werke!$A$1:$C$168,3,0)</f>
        <v>26D</v>
      </c>
      <c r="B540" s="17" t="str">
        <f>VLOOKUP(C540,[1]Werke!$A$1:$C$168,2,0)</f>
        <v>G18</v>
      </c>
      <c r="C540" s="18" t="s">
        <v>272</v>
      </c>
      <c r="D540" s="17" t="str">
        <f>VLOOKUP(C540,[1]Maliteslimalan!$A$1:$B$210,2,0)</f>
        <v>8000012580</v>
      </c>
      <c r="E540" s="19">
        <f>VLOOKUP(C540,[1]Bestellnr.!$A$1:$B$174,2,0)</f>
        <v>0</v>
      </c>
      <c r="F540" s="20" t="str">
        <f t="shared" si="265"/>
        <v>N   912 817 01</v>
      </c>
      <c r="G540" s="21">
        <v>940993000</v>
      </c>
      <c r="H540" s="17">
        <f t="shared" si="266"/>
        <v>0.18709999999999999</v>
      </c>
      <c r="I540" s="20"/>
      <c r="J540" s="17">
        <f t="shared" si="267"/>
        <v>50</v>
      </c>
      <c r="K540" s="17">
        <f t="shared" si="268"/>
        <v>0</v>
      </c>
      <c r="L540" s="22">
        <v>10</v>
      </c>
      <c r="M540" s="22">
        <v>10</v>
      </c>
      <c r="N540" s="22">
        <v>111444</v>
      </c>
      <c r="O540" s="22" t="str">
        <f t="shared" si="269"/>
        <v>001006</v>
      </c>
      <c r="P540" s="22">
        <f t="shared" si="270"/>
        <v>34</v>
      </c>
      <c r="Q540" s="22"/>
      <c r="R540" s="23" t="s">
        <v>153</v>
      </c>
      <c r="S540" s="22">
        <f t="shared" si="271"/>
        <v>0.56999999999999995</v>
      </c>
      <c r="T540" s="24">
        <f t="shared" si="272"/>
        <v>0</v>
      </c>
      <c r="U540" s="25">
        <f t="shared" si="273"/>
        <v>2</v>
      </c>
      <c r="V540" s="26" t="str">
        <f t="shared" si="274"/>
        <v/>
      </c>
    </row>
    <row r="541" spans="1:22" ht="48.2" customHeight="1" x14ac:dyDescent="0.25">
      <c r="A541" s="17"/>
      <c r="B541" s="17"/>
      <c r="C541" s="18"/>
      <c r="D541" s="17"/>
      <c r="E541" s="19"/>
      <c r="F541" s="20"/>
      <c r="G541" s="21"/>
      <c r="H541" s="17"/>
      <c r="I541" s="20"/>
      <c r="J541" s="17"/>
      <c r="K541" s="17"/>
      <c r="L541" s="22"/>
      <c r="M541" s="22"/>
      <c r="N541" s="22"/>
      <c r="O541" s="22"/>
      <c r="P541" s="22"/>
      <c r="Q541" s="22"/>
      <c r="R541" s="23"/>
      <c r="S541" s="22"/>
      <c r="T541" s="24"/>
      <c r="U541" s="25"/>
    </row>
    <row r="542" spans="1:22" ht="48" customHeight="1" x14ac:dyDescent="0.25">
      <c r="A542" s="17" t="str">
        <f>VLOOKUP(C542,[1]Werke!$A$1:$C$168,3,0)</f>
        <v>K3</v>
      </c>
      <c r="B542" s="17">
        <f>VLOOKUP(C542,[1]Werke!$A$1:$C$168,2,0)</f>
        <v>501</v>
      </c>
      <c r="C542" s="18">
        <v>15501</v>
      </c>
      <c r="D542" s="17">
        <f>VLOOKUP(C542,[1]Maliteslimalan!$A$1:$B$210,2,0)</f>
        <v>8000012800</v>
      </c>
      <c r="E542" s="19">
        <v>6</v>
      </c>
      <c r="F542" s="20" t="str">
        <f>VLOOKUP(G542,$U$1:$V$1730,2,0)</f>
        <v>N   102 861 08</v>
      </c>
      <c r="G542" s="21">
        <v>970691000</v>
      </c>
      <c r="H542" s="17">
        <f>VLOOKUP(G542,Z$2:AA$1905,2,FALSE)</f>
        <v>1.4970000000000001E-2</v>
      </c>
      <c r="I542" s="20"/>
      <c r="J542" s="17">
        <f>VLOOKUP(G542,W$2:X$1905,2,FALSE)</f>
        <v>700</v>
      </c>
      <c r="K542" s="17">
        <f>I542/J542</f>
        <v>0</v>
      </c>
      <c r="L542" s="22">
        <v>10</v>
      </c>
      <c r="M542" s="22">
        <v>30</v>
      </c>
      <c r="N542" s="22">
        <v>111444</v>
      </c>
      <c r="O542" s="22" t="str">
        <f>VLOOKUP(N542,$AL$1285:$AM$1310,2,FALSE)</f>
        <v>001006</v>
      </c>
      <c r="P542" s="22">
        <f>VLOOKUP(N542,AC$2:AD$1905,2,FALSE)</f>
        <v>34</v>
      </c>
      <c r="Q542" s="22"/>
      <c r="R542" s="23" t="s">
        <v>153</v>
      </c>
      <c r="S542" s="22">
        <f>VLOOKUP(R542,AC$2:AD$1905,2,FALSE)</f>
        <v>0.56999999999999995</v>
      </c>
      <c r="T542" s="24">
        <f>(H542*I542)+P542*Q542+S542*K542</f>
        <v>0</v>
      </c>
      <c r="U542" s="25">
        <f>IF(TRIM(N542&amp;"")="111444",
    IF(ROUNDUP(MAX(0,K542-(MAX(1,Q542)-1)*10)/10,0)=1,3,2),
    IF(TRIM(N542&amp;"")="VWPAL",
        IF(TRIM(R542&amp;"")="004147",1,2),
        ""
    )
)</f>
        <v>2</v>
      </c>
      <c r="V542" s="26" t="str">
        <f>IF(OR(TRIM(N542&amp;"")="111444",TRIM(N542&amp;"")="VWPAL"),
    IF(K542&lt;=0,"",
        IF(
            MIN(3,ROUNDUP(MAX(0,K542-(MAX(1,Q542)-1)*IF(TRIM(N542&amp;"")="111444",10,20))/IF(TRIM(N542&amp;"")="111444",10,20),0))=1,
            300,
            IF(
                MIN(3,ROUNDUP(MAX(0,K542-(MAX(1,Q542)-1)*IF(TRIM(N542&amp;"")="111444",10,20))/IF(TRIM(N542&amp;"")="111444",10,20),0))=2,
                450,
                600
            )
        )
    ),
    ""
)</f>
        <v/>
      </c>
    </row>
    <row r="543" spans="1:22" ht="48" customHeight="1" x14ac:dyDescent="0.25">
      <c r="A543" s="17">
        <f>VLOOKUP(C543,[1]Werke!$A$1:$C$168,3,0)</f>
        <v>14</v>
      </c>
      <c r="B543" s="17" t="str">
        <f>VLOOKUP(C543,[1]Werke!$A$1:$C$168,2,0)</f>
        <v>D72</v>
      </c>
      <c r="C543" s="18" t="s">
        <v>220</v>
      </c>
      <c r="D543" s="17" t="str">
        <f>VLOOKUP(C543,[1]Maliteslimalan!$A$1:$B$210,2,0)</f>
        <v>8000013493</v>
      </c>
      <c r="E543" s="19">
        <f>VLOOKUP(C543,[1]Bestellnr.!$A$1:$B$174,2,0)</f>
        <v>0</v>
      </c>
      <c r="F543" s="20" t="str">
        <f>VLOOKUP(G543,$U$1:$V$1730,2,0)</f>
        <v>N   102 861 08</v>
      </c>
      <c r="G543" s="21">
        <v>970691000</v>
      </c>
      <c r="H543" s="17">
        <f>VLOOKUP(G543,Z$2:AA$1905,2,FALSE)</f>
        <v>1.4970000000000001E-2</v>
      </c>
      <c r="I543" s="20"/>
      <c r="J543" s="17">
        <f>VLOOKUP(G543,W$2:X$1905,2,FALSE)</f>
        <v>700</v>
      </c>
      <c r="K543" s="17">
        <f>I543/J543</f>
        <v>0</v>
      </c>
      <c r="L543" s="22">
        <v>10</v>
      </c>
      <c r="M543" s="22">
        <v>30</v>
      </c>
      <c r="N543" s="22">
        <v>111444</v>
      </c>
      <c r="O543" s="22" t="str">
        <f>VLOOKUP(N543,$AL$1285:$AM$1310,2,FALSE)</f>
        <v>001006</v>
      </c>
      <c r="P543" s="22">
        <f>VLOOKUP(N543,AC$2:AD$1905,2,FALSE)</f>
        <v>34</v>
      </c>
      <c r="Q543" s="22"/>
      <c r="R543" s="23" t="s">
        <v>153</v>
      </c>
      <c r="S543" s="22">
        <f>VLOOKUP(R543,AC$2:AD$1905,2,FALSE)</f>
        <v>0.56999999999999995</v>
      </c>
      <c r="T543" s="24">
        <f>(H543*I543)+P543*Q543+S543*K543</f>
        <v>0</v>
      </c>
      <c r="U543" s="25">
        <f>IF(TRIM(N543&amp;"")="111444",
    IF(ROUNDUP(MAX(0,K543-(MAX(1,Q543)-1)*10)/10,0)=1,3,2),
    IF(TRIM(N543&amp;"")="VWPAL",
        IF(TRIM(R543&amp;"")="004147",1,2),
        ""
    )
)</f>
        <v>2</v>
      </c>
      <c r="V543" s="26" t="str">
        <f>IF(OR(TRIM(N543&amp;"")="111444",TRIM(N543&amp;"")="VWPAL"),
    IF(K543&lt;=0,"",
        IF(
            MIN(3,ROUNDUP(MAX(0,K543-(MAX(1,Q543)-1)*IF(TRIM(N543&amp;"")="111444",10,20))/IF(TRIM(N543&amp;"")="111444",10,20),0))=1,
            300,
            IF(
                MIN(3,ROUNDUP(MAX(0,K543-(MAX(1,Q543)-1)*IF(TRIM(N543&amp;"")="111444",10,20))/IF(TRIM(N543&amp;"")="111444",10,20),0))=2,
                450,
                600
            )
        )
    ),
    ""
)</f>
        <v/>
      </c>
    </row>
    <row r="544" spans="1:22" ht="48.2" customHeight="1" x14ac:dyDescent="0.25">
      <c r="A544" s="17"/>
      <c r="B544" s="17"/>
      <c r="C544" s="18"/>
      <c r="D544" s="17"/>
      <c r="E544" s="19"/>
      <c r="F544" s="20"/>
      <c r="G544" s="21"/>
      <c r="H544" s="17"/>
      <c r="I544" s="20"/>
      <c r="J544" s="17"/>
      <c r="K544" s="17"/>
      <c r="L544" s="22"/>
      <c r="M544" s="22"/>
      <c r="N544" s="22"/>
      <c r="O544" s="22"/>
      <c r="P544" s="22"/>
      <c r="Q544" s="22"/>
      <c r="R544" s="23"/>
      <c r="S544" s="22"/>
      <c r="T544" s="24"/>
      <c r="U544" s="25"/>
    </row>
    <row r="545" spans="1:22" ht="48.2" customHeight="1" x14ac:dyDescent="0.25">
      <c r="A545" s="17">
        <f>VLOOKUP(C545,[1]Werke!$A$1:$C$168,3,0)</f>
        <v>40</v>
      </c>
      <c r="B545" s="17">
        <f>VLOOKUP(C545,[1]Werke!$A$1:$C$168,2,0)</f>
        <v>908</v>
      </c>
      <c r="C545" s="18" t="s">
        <v>247</v>
      </c>
      <c r="D545" s="17" t="str">
        <f>VLOOKUP(C545,[1]Maliteslimalan!$A$1:$B$210,2,0)</f>
        <v>8000012582</v>
      </c>
      <c r="E545" s="19" t="str">
        <f>VLOOKUP(C545,[1]Bestellnr.!$A$1:$B$174,2,0)</f>
        <v>000001</v>
      </c>
      <c r="F545" s="20" t="str">
        <f>VLOOKUP(G545,$U$1:$V$1730,2,0)</f>
        <v>N   903 471 03</v>
      </c>
      <c r="G545" s="21">
        <v>970694000</v>
      </c>
      <c r="H545" s="17">
        <f>VLOOKUP(G545,Z$2:AA$1905,2,FALSE)</f>
        <v>1.17E-2</v>
      </c>
      <c r="I545" s="20"/>
      <c r="J545" s="17">
        <v>1200</v>
      </c>
      <c r="K545" s="17">
        <f>I545/J545</f>
        <v>0</v>
      </c>
      <c r="L545" s="22">
        <v>10</v>
      </c>
      <c r="M545" s="22">
        <v>10</v>
      </c>
      <c r="N545" s="22">
        <v>111444</v>
      </c>
      <c r="O545" s="22" t="str">
        <f>VLOOKUP(N545,$AL$1285:$AM$1310,2,FALSE)</f>
        <v>001006</v>
      </c>
      <c r="P545" s="22">
        <f>VLOOKUP(N545,AC$2:AD$1905,2,FALSE)</f>
        <v>34</v>
      </c>
      <c r="Q545" s="22"/>
      <c r="R545" s="23" t="s">
        <v>153</v>
      </c>
      <c r="S545" s="22">
        <f>VLOOKUP(R545,AC$2:AD$1905,2,FALSE)</f>
        <v>0.56999999999999995</v>
      </c>
      <c r="T545" s="24">
        <f>(H545*I545)+P545*Q545+S545*K545</f>
        <v>0</v>
      </c>
      <c r="U545" s="25">
        <f>IF(TRIM(N545&amp;"")="111444",
    IF(ROUNDUP(MAX(0,K545-(MAX(1,Q545)-1)*10)/10,0)=1,3,2),
    IF(TRIM(N545&amp;"")="VWPAL",
        IF(TRIM(R545&amp;"")="004147",1,2),
        ""
    )
)</f>
        <v>2</v>
      </c>
      <c r="V545" s="26" t="str">
        <f>IF(OR(TRIM(N545&amp;"")="111444",TRIM(N545&amp;"")="VWPAL"),
    IF(K545&lt;=0,"",
        IF(
            MIN(3,ROUNDUP(MAX(0,K545-(MAX(1,Q545)-1)*IF(TRIM(N545&amp;"")="111444",10,20))/IF(TRIM(N545&amp;"")="111444",10,20),0))=1,
            300,
            IF(
                MIN(3,ROUNDUP(MAX(0,K545-(MAX(1,Q545)-1)*IF(TRIM(N545&amp;"")="111444",10,20))/IF(TRIM(N545&amp;"")="111444",10,20),0))=2,
                450,
                600
            )
        )
    ),
    ""
)</f>
        <v/>
      </c>
    </row>
    <row r="546" spans="1:22" ht="48.2" customHeight="1" x14ac:dyDescent="0.25">
      <c r="A546" s="17"/>
      <c r="B546" s="17"/>
      <c r="C546" s="18"/>
      <c r="D546" s="17"/>
      <c r="E546" s="19"/>
      <c r="F546" s="20"/>
      <c r="G546" s="21"/>
      <c r="H546" s="17"/>
      <c r="I546" s="20"/>
      <c r="J546" s="17"/>
      <c r="K546" s="17"/>
      <c r="L546" s="22"/>
      <c r="M546" s="22"/>
      <c r="N546" s="22"/>
      <c r="O546" s="22"/>
      <c r="P546" s="22"/>
      <c r="Q546" s="22"/>
      <c r="R546" s="23"/>
      <c r="S546" s="22"/>
      <c r="T546" s="24"/>
      <c r="U546" s="25"/>
    </row>
    <row r="547" spans="1:22" ht="48.2" customHeight="1" x14ac:dyDescent="0.25">
      <c r="A547" s="17" t="str">
        <f>VLOOKUP(C547,[1]Werke!$A$1:$C$168,3,0)</f>
        <v>CP</v>
      </c>
      <c r="B547" s="17" t="str">
        <f>VLOOKUP(C547,[1]Werke!$A$1:$C$168,2,0)</f>
        <v>BAE</v>
      </c>
      <c r="C547" s="18" t="s">
        <v>300</v>
      </c>
      <c r="D547" s="17" t="str">
        <f>VLOOKUP(C547,[1]Maliteslimalan!$A$1:$B$210,2,0)</f>
        <v>8000012884</v>
      </c>
      <c r="E547" s="19" t="str">
        <f>VLOOKUP(C547,[1]Bestellnr.!$A$1:$B$174,2,0)</f>
        <v>000006</v>
      </c>
      <c r="F547" s="20" t="str">
        <f t="shared" ref="F547:F555" si="275">VLOOKUP(G547,$U$1:$V$1730,2,0)</f>
        <v>N   910 216 02</v>
      </c>
      <c r="G547" s="21">
        <v>970652000</v>
      </c>
      <c r="H547" s="17">
        <f t="shared" ref="H547:H555" si="276">VLOOKUP(G547,Z$2:AA$1905,2,FALSE)</f>
        <v>2.8289999999999999E-2</v>
      </c>
      <c r="I547" s="20"/>
      <c r="J547" s="17">
        <f t="shared" ref="J547:J555" si="277">VLOOKUP(G547,W$2:X$1905,2,FALSE)</f>
        <v>460</v>
      </c>
      <c r="K547" s="17">
        <f t="shared" ref="K547:K555" si="278">I547/J547</f>
        <v>0</v>
      </c>
      <c r="L547" s="22">
        <v>20</v>
      </c>
      <c r="M547" s="22">
        <v>60</v>
      </c>
      <c r="N547" s="22" t="s">
        <v>155</v>
      </c>
      <c r="O547" s="22" t="str">
        <f t="shared" ref="O547:O555" si="279">VLOOKUP(N547,$AL$1285:$AM$1310,2,FALSE)</f>
        <v>001210</v>
      </c>
      <c r="P547" s="22">
        <f t="shared" ref="P547:P555" si="280">VLOOKUP(N547,AC$2:AD$1905,2,FALSE)</f>
        <v>55</v>
      </c>
      <c r="Q547" s="22"/>
      <c r="R547" s="23" t="s">
        <v>153</v>
      </c>
      <c r="S547" s="22">
        <f t="shared" ref="S547:S555" si="281">VLOOKUP(R547,AC$2:AD$1905,2,FALSE)</f>
        <v>0.56999999999999995</v>
      </c>
      <c r="T547" s="24">
        <f t="shared" ref="T547:T555" si="282">(H547*I547)+P547*Q547+S547*K547</f>
        <v>0</v>
      </c>
      <c r="U547" s="25">
        <f t="shared" ref="U547:U555" si="283">IF(TRIM(N547&amp;"")="111444",
    IF(ROUNDUP(MAX(0,K547-(MAX(1,Q547)-1)*10)/10,0)=1,3,2),
    IF(TRIM(N547&amp;"")="VWPAL",
        IF(TRIM(R547&amp;"")="004147",1,2),
        ""
    )
)</f>
        <v>2</v>
      </c>
      <c r="V547" s="26" t="str">
        <f t="shared" ref="V547:V555" si="284">IF(OR(TRIM(N547&amp;"")="111444",TRIM(N547&amp;"")="VWPAL"),
    IF(K547&lt;=0,"",
        IF(
            MIN(3,ROUNDUP(MAX(0,K547-(MAX(1,Q547)-1)*IF(TRIM(N547&amp;"")="111444",10,20))/IF(TRIM(N547&amp;"")="111444",10,20),0))=1,
            300,
            IF(
                MIN(3,ROUNDUP(MAX(0,K547-(MAX(1,Q547)-1)*IF(TRIM(N547&amp;"")="111444",10,20))/IF(TRIM(N547&amp;"")="111444",10,20),0))=2,
                450,
                600
            )
        )
    ),
    ""
)</f>
        <v/>
      </c>
    </row>
    <row r="548" spans="1:22" ht="48.2" customHeight="1" x14ac:dyDescent="0.25">
      <c r="A548" s="17">
        <f>VLOOKUP(C548,[1]Werke!$A$1:$C$168,3,0)</f>
        <v>31</v>
      </c>
      <c r="B548" s="17" t="str">
        <f>VLOOKUP(C548,[1]Werke!$A$1:$C$168,2,0)</f>
        <v>BH7</v>
      </c>
      <c r="C548" s="18" t="s">
        <v>250</v>
      </c>
      <c r="D548" s="17">
        <f>VLOOKUP(C548,[1]Maliteslimalan!$A$1:$B$210,2,0)</f>
        <v>8000015577</v>
      </c>
      <c r="E548" s="19">
        <v>6</v>
      </c>
      <c r="F548" s="20" t="str">
        <f t="shared" si="275"/>
        <v>N   910 216 02</v>
      </c>
      <c r="G548" s="21">
        <v>970652000</v>
      </c>
      <c r="H548" s="17">
        <f t="shared" si="276"/>
        <v>2.8289999999999999E-2</v>
      </c>
      <c r="I548" s="20"/>
      <c r="J548" s="17">
        <f t="shared" si="277"/>
        <v>460</v>
      </c>
      <c r="K548" s="17">
        <f t="shared" si="278"/>
        <v>0</v>
      </c>
      <c r="L548" s="22">
        <v>10</v>
      </c>
      <c r="M548" s="22">
        <v>10</v>
      </c>
      <c r="N548" s="22">
        <v>111444</v>
      </c>
      <c r="O548" s="22" t="str">
        <f t="shared" si="279"/>
        <v>001006</v>
      </c>
      <c r="P548" s="22">
        <f t="shared" si="280"/>
        <v>34</v>
      </c>
      <c r="Q548" s="22"/>
      <c r="R548" s="23" t="s">
        <v>153</v>
      </c>
      <c r="S548" s="22">
        <f t="shared" si="281"/>
        <v>0.56999999999999995</v>
      </c>
      <c r="T548" s="24">
        <f t="shared" si="282"/>
        <v>0</v>
      </c>
      <c r="U548" s="25">
        <f t="shared" si="283"/>
        <v>2</v>
      </c>
      <c r="V548" s="26" t="str">
        <f t="shared" si="284"/>
        <v/>
      </c>
    </row>
    <row r="549" spans="1:22" ht="48.2" customHeight="1" x14ac:dyDescent="0.25">
      <c r="A549" s="17" t="str">
        <f>VLOOKUP(C549,[1]Werke!$A$1:$C$168,3,0)</f>
        <v>UN</v>
      </c>
      <c r="B549" s="17" t="str">
        <f>VLOOKUP(C549,[1]Werke!$A$1:$C$168,2,0)</f>
        <v>MMM</v>
      </c>
      <c r="C549" s="18" t="s">
        <v>301</v>
      </c>
      <c r="D549" s="17" t="str">
        <f>VLOOKUP(C549,[1]Maliteslimalan!$A$1:$B$210,2,0)</f>
        <v>8000012900</v>
      </c>
      <c r="E549" s="19" t="str">
        <f>VLOOKUP(C549,[1]Bestellnr.!$A$1:$B$174,2,0)</f>
        <v>000006</v>
      </c>
      <c r="F549" s="20" t="str">
        <f t="shared" si="275"/>
        <v>N   910 216 02</v>
      </c>
      <c r="G549" s="21">
        <v>970652000</v>
      </c>
      <c r="H549" s="17">
        <f t="shared" si="276"/>
        <v>2.8289999999999999E-2</v>
      </c>
      <c r="I549" s="20"/>
      <c r="J549" s="17">
        <f t="shared" si="277"/>
        <v>460</v>
      </c>
      <c r="K549" s="17">
        <f t="shared" si="278"/>
        <v>0</v>
      </c>
      <c r="L549" s="22">
        <v>20</v>
      </c>
      <c r="M549" s="22">
        <v>60</v>
      </c>
      <c r="N549" s="22" t="s">
        <v>155</v>
      </c>
      <c r="O549" s="22" t="str">
        <f t="shared" si="279"/>
        <v>001210</v>
      </c>
      <c r="P549" s="22">
        <f t="shared" si="280"/>
        <v>55</v>
      </c>
      <c r="Q549" s="22"/>
      <c r="R549" s="23" t="s">
        <v>153</v>
      </c>
      <c r="S549" s="22">
        <f t="shared" si="281"/>
        <v>0.56999999999999995</v>
      </c>
      <c r="T549" s="24">
        <f t="shared" si="282"/>
        <v>0</v>
      </c>
      <c r="U549" s="25">
        <f t="shared" si="283"/>
        <v>2</v>
      </c>
      <c r="V549" s="26" t="str">
        <f t="shared" si="284"/>
        <v/>
      </c>
    </row>
    <row r="550" spans="1:22" ht="48.2" customHeight="1" x14ac:dyDescent="0.25">
      <c r="A550" s="17">
        <f>VLOOKUP(C550,[1]Werke!$A$1:$C$168,3,0)</f>
        <v>21</v>
      </c>
      <c r="B550" s="17" t="str">
        <f>VLOOKUP(C550,[1]Werke!$A$1:$C$168,2,0)</f>
        <v>GZD</v>
      </c>
      <c r="C550" s="18" t="s">
        <v>223</v>
      </c>
      <c r="D550" s="17" t="str">
        <f>VLOOKUP(C550,[1]Maliteslimalan!$A$1:$B$210,2,0)</f>
        <v>8000012572</v>
      </c>
      <c r="E550" s="19" t="str">
        <f>VLOOKUP(C550,[1]Bestellnr.!$A$1:$B$174,2,0)</f>
        <v>000006</v>
      </c>
      <c r="F550" s="20" t="str">
        <f t="shared" si="275"/>
        <v>N   910 216 02</v>
      </c>
      <c r="G550" s="21">
        <v>970652000</v>
      </c>
      <c r="H550" s="17">
        <f t="shared" si="276"/>
        <v>2.8289999999999999E-2</v>
      </c>
      <c r="I550" s="20"/>
      <c r="J550" s="17">
        <f t="shared" si="277"/>
        <v>460</v>
      </c>
      <c r="K550" s="17">
        <f t="shared" si="278"/>
        <v>0</v>
      </c>
      <c r="L550" s="22">
        <v>20</v>
      </c>
      <c r="M550" s="22">
        <v>20</v>
      </c>
      <c r="N550" s="22" t="s">
        <v>155</v>
      </c>
      <c r="O550" s="22" t="str">
        <f t="shared" si="279"/>
        <v>001210</v>
      </c>
      <c r="P550" s="22">
        <f t="shared" si="280"/>
        <v>55</v>
      </c>
      <c r="Q550" s="22"/>
      <c r="R550" s="23" t="s">
        <v>153</v>
      </c>
      <c r="S550" s="22">
        <f t="shared" si="281"/>
        <v>0.56999999999999995</v>
      </c>
      <c r="T550" s="24">
        <f t="shared" si="282"/>
        <v>0</v>
      </c>
      <c r="U550" s="25">
        <f t="shared" si="283"/>
        <v>2</v>
      </c>
      <c r="V550" s="26" t="str">
        <f t="shared" si="284"/>
        <v/>
      </c>
    </row>
    <row r="551" spans="1:22" ht="48.2" customHeight="1" x14ac:dyDescent="0.25">
      <c r="A551" s="17">
        <f>VLOOKUP(C551,[1]Werke!$A$1:$C$168,3,0)</f>
        <v>49</v>
      </c>
      <c r="B551" s="17" t="str">
        <f>VLOOKUP(C551,[1]Werke!$A$1:$C$168,2,0)</f>
        <v>CT</v>
      </c>
      <c r="C551" s="18" t="s">
        <v>217</v>
      </c>
      <c r="D551" s="17" t="str">
        <f>VLOOKUP(C551,[1]Maliteslimalan!$A$1:$B$210,2,0)</f>
        <v>8000012574</v>
      </c>
      <c r="E551" s="19" t="str">
        <f>VLOOKUP(C551,[1]Bestellnr.!$A$1:$B$174,2,0)</f>
        <v>000001</v>
      </c>
      <c r="F551" s="20" t="str">
        <f t="shared" si="275"/>
        <v>N   910 216 02</v>
      </c>
      <c r="G551" s="21">
        <v>970652000</v>
      </c>
      <c r="H551" s="17">
        <f t="shared" si="276"/>
        <v>2.8289999999999999E-2</v>
      </c>
      <c r="I551" s="20"/>
      <c r="J551" s="17">
        <f t="shared" si="277"/>
        <v>460</v>
      </c>
      <c r="K551" s="17">
        <f t="shared" si="278"/>
        <v>0</v>
      </c>
      <c r="L551" s="22">
        <v>20</v>
      </c>
      <c r="M551" s="22">
        <v>20</v>
      </c>
      <c r="N551" s="22" t="s">
        <v>155</v>
      </c>
      <c r="O551" s="22" t="str">
        <f t="shared" si="279"/>
        <v>001210</v>
      </c>
      <c r="P551" s="22">
        <f t="shared" si="280"/>
        <v>55</v>
      </c>
      <c r="Q551" s="22"/>
      <c r="R551" s="23" t="s">
        <v>153</v>
      </c>
      <c r="S551" s="22">
        <f t="shared" si="281"/>
        <v>0.56999999999999995</v>
      </c>
      <c r="T551" s="24">
        <f t="shared" si="282"/>
        <v>0</v>
      </c>
      <c r="U551" s="25">
        <f t="shared" si="283"/>
        <v>2</v>
      </c>
      <c r="V551" s="26" t="str">
        <f t="shared" si="284"/>
        <v/>
      </c>
    </row>
    <row r="552" spans="1:22" ht="48.2" customHeight="1" x14ac:dyDescent="0.25">
      <c r="A552" s="17" t="str">
        <f>VLOOKUP(C552,[1]Werke!$A$1:$C$168,3,0)</f>
        <v>MU</v>
      </c>
      <c r="B552" s="17">
        <f>VLOOKUP(C552,[1]Werke!$A$1:$C$168,2,0)</f>
        <v>188</v>
      </c>
      <c r="C552" s="18" t="s">
        <v>302</v>
      </c>
      <c r="D552" s="17">
        <f>VLOOKUP(C552,[1]Maliteslimalan!$A$1:$B$210,2,0)</f>
        <v>8000014056</v>
      </c>
      <c r="E552" s="19">
        <v>6</v>
      </c>
      <c r="F552" s="20" t="str">
        <f t="shared" si="275"/>
        <v>N   910 216 02</v>
      </c>
      <c r="G552" s="21">
        <v>970652000</v>
      </c>
      <c r="H552" s="17">
        <f t="shared" si="276"/>
        <v>2.8289999999999999E-2</v>
      </c>
      <c r="I552" s="20"/>
      <c r="J552" s="17">
        <f t="shared" si="277"/>
        <v>460</v>
      </c>
      <c r="K552" s="17">
        <f t="shared" si="278"/>
        <v>0</v>
      </c>
      <c r="L552" s="22">
        <v>10</v>
      </c>
      <c r="M552" s="22">
        <v>30</v>
      </c>
      <c r="N552" s="22">
        <v>111444</v>
      </c>
      <c r="O552" s="22" t="str">
        <f t="shared" si="279"/>
        <v>001006</v>
      </c>
      <c r="P552" s="22">
        <f t="shared" si="280"/>
        <v>34</v>
      </c>
      <c r="Q552" s="22"/>
      <c r="R552" s="23" t="s">
        <v>153</v>
      </c>
      <c r="S552" s="22">
        <f t="shared" si="281"/>
        <v>0.56999999999999995</v>
      </c>
      <c r="T552" s="24">
        <f t="shared" si="282"/>
        <v>0</v>
      </c>
      <c r="U552" s="25">
        <f t="shared" si="283"/>
        <v>2</v>
      </c>
      <c r="V552" s="26" t="str">
        <f t="shared" si="284"/>
        <v/>
      </c>
    </row>
    <row r="553" spans="1:22" ht="48.2" customHeight="1" x14ac:dyDescent="0.25">
      <c r="A553" s="17">
        <f>VLOOKUP(C553,[1]Werke!$A$1:$C$168,3,0)</f>
        <v>13</v>
      </c>
      <c r="B553" s="17" t="str">
        <f>VLOOKUP(C553,[1]Werke!$A$1:$C$168,2,0)</f>
        <v>H09</v>
      </c>
      <c r="C553" s="18" t="s">
        <v>303</v>
      </c>
      <c r="D553" s="17">
        <f>VLOOKUP(C553,[1]Maliteslimalan!$A$1:$B$210,2,0)</f>
        <v>8000017842</v>
      </c>
      <c r="E553" s="19" t="str">
        <f>VLOOKUP(C553,[1]Bestellnr.!$A$1:$B$174,2,0)</f>
        <v>000006</v>
      </c>
      <c r="F553" s="20" t="str">
        <f t="shared" si="275"/>
        <v>N   910 216 02</v>
      </c>
      <c r="G553" s="21">
        <v>970652000</v>
      </c>
      <c r="H553" s="17">
        <f t="shared" si="276"/>
        <v>2.8289999999999999E-2</v>
      </c>
      <c r="I553" s="20"/>
      <c r="J553" s="17">
        <f t="shared" si="277"/>
        <v>460</v>
      </c>
      <c r="K553" s="17">
        <f t="shared" si="278"/>
        <v>0</v>
      </c>
      <c r="L553" s="22">
        <v>20</v>
      </c>
      <c r="M553" s="22">
        <v>60</v>
      </c>
      <c r="N553" s="22" t="s">
        <v>155</v>
      </c>
      <c r="O553" s="22" t="str">
        <f t="shared" si="279"/>
        <v>001210</v>
      </c>
      <c r="P553" s="22">
        <f t="shared" si="280"/>
        <v>55</v>
      </c>
      <c r="Q553" s="22"/>
      <c r="R553" s="23" t="s">
        <v>153</v>
      </c>
      <c r="S553" s="22">
        <f t="shared" si="281"/>
        <v>0.56999999999999995</v>
      </c>
      <c r="T553" s="24">
        <f t="shared" si="282"/>
        <v>0</v>
      </c>
      <c r="U553" s="25">
        <f t="shared" si="283"/>
        <v>2</v>
      </c>
      <c r="V553" s="26" t="str">
        <f t="shared" si="284"/>
        <v/>
      </c>
    </row>
    <row r="554" spans="1:22" ht="48.2" customHeight="1" x14ac:dyDescent="0.25">
      <c r="A554" s="17">
        <f>VLOOKUP(C554,[1]Werke!$A$1:$C$168,3,0)</f>
        <v>14</v>
      </c>
      <c r="B554" s="17" t="str">
        <f>VLOOKUP(C554,[1]Werke!$A$1:$C$168,2,0)</f>
        <v>D85</v>
      </c>
      <c r="C554" s="18" t="s">
        <v>239</v>
      </c>
      <c r="D554" s="17" t="str">
        <f>VLOOKUP(C554,[1]Maliteslimalan!$A$1:$B$210,2,0)</f>
        <v>8000012682</v>
      </c>
      <c r="E554" s="19">
        <f>VLOOKUP(C554,[1]Bestellnr.!$A$1:$B$174,2,0)</f>
        <v>0</v>
      </c>
      <c r="F554" s="20" t="str">
        <f t="shared" si="275"/>
        <v>N   910 216 02</v>
      </c>
      <c r="G554" s="21">
        <v>970652000</v>
      </c>
      <c r="H554" s="17">
        <f t="shared" si="276"/>
        <v>2.8289999999999999E-2</v>
      </c>
      <c r="I554" s="20"/>
      <c r="J554" s="17">
        <f t="shared" si="277"/>
        <v>460</v>
      </c>
      <c r="K554" s="17">
        <f t="shared" si="278"/>
        <v>0</v>
      </c>
      <c r="L554" s="22">
        <v>10</v>
      </c>
      <c r="M554" s="22">
        <v>30</v>
      </c>
      <c r="N554" s="22">
        <v>111444</v>
      </c>
      <c r="O554" s="22" t="str">
        <f t="shared" si="279"/>
        <v>001006</v>
      </c>
      <c r="P554" s="22">
        <f t="shared" si="280"/>
        <v>34</v>
      </c>
      <c r="Q554" s="22"/>
      <c r="R554" s="23" t="s">
        <v>153</v>
      </c>
      <c r="S554" s="22">
        <f t="shared" si="281"/>
        <v>0.56999999999999995</v>
      </c>
      <c r="T554" s="24">
        <f t="shared" si="282"/>
        <v>0</v>
      </c>
      <c r="U554" s="25">
        <f t="shared" si="283"/>
        <v>2</v>
      </c>
      <c r="V554" s="26" t="str">
        <f t="shared" si="284"/>
        <v/>
      </c>
    </row>
    <row r="555" spans="1:22" ht="48.2" customHeight="1" x14ac:dyDescent="0.25">
      <c r="A555" s="17">
        <f>VLOOKUP(C555,[1]Werke!$A$1:$C$168,3,0)</f>
        <v>49</v>
      </c>
      <c r="B555" s="17" t="str">
        <f>VLOOKUP(C555,[1]Werke!$A$1:$C$168,2,0)</f>
        <v>T03</v>
      </c>
      <c r="C555" s="18" t="s">
        <v>222</v>
      </c>
      <c r="D555" s="17" t="str">
        <f>VLOOKUP(C555,[1]Maliteslimalan!$A$1:$B$210,2,0)</f>
        <v>8000013725</v>
      </c>
      <c r="E555" s="19">
        <f>VLOOKUP(C555,[1]Bestellnr.!$A$1:$B$174,2,0)</f>
        <v>0</v>
      </c>
      <c r="F555" s="20" t="str">
        <f t="shared" si="275"/>
        <v>N   910 216 02</v>
      </c>
      <c r="G555" s="21">
        <v>970652000</v>
      </c>
      <c r="H555" s="17">
        <f t="shared" si="276"/>
        <v>2.8289999999999999E-2</v>
      </c>
      <c r="I555" s="20"/>
      <c r="J555" s="17">
        <f t="shared" si="277"/>
        <v>460</v>
      </c>
      <c r="K555" s="17">
        <f t="shared" si="278"/>
        <v>0</v>
      </c>
      <c r="L555" s="22">
        <v>20</v>
      </c>
      <c r="M555" s="22">
        <v>20</v>
      </c>
      <c r="N555" s="22" t="s">
        <v>155</v>
      </c>
      <c r="O555" s="22" t="str">
        <f t="shared" si="279"/>
        <v>001210</v>
      </c>
      <c r="P555" s="22">
        <f t="shared" si="280"/>
        <v>55</v>
      </c>
      <c r="Q555" s="22"/>
      <c r="R555" s="23" t="s">
        <v>153</v>
      </c>
      <c r="S555" s="22">
        <f t="shared" si="281"/>
        <v>0.56999999999999995</v>
      </c>
      <c r="T555" s="24">
        <f t="shared" si="282"/>
        <v>0</v>
      </c>
      <c r="U555" s="25">
        <f t="shared" si="283"/>
        <v>2</v>
      </c>
      <c r="V555" s="26" t="str">
        <f t="shared" si="284"/>
        <v/>
      </c>
    </row>
    <row r="556" spans="1:22" ht="48.2" customHeight="1" x14ac:dyDescent="0.25">
      <c r="A556" s="17"/>
      <c r="B556" s="17"/>
      <c r="C556" s="18"/>
      <c r="D556" s="17"/>
      <c r="E556" s="19"/>
      <c r="F556" s="20"/>
      <c r="G556" s="21"/>
      <c r="H556" s="17"/>
      <c r="I556" s="20"/>
      <c r="J556" s="17"/>
      <c r="K556" s="17"/>
      <c r="L556" s="22"/>
      <c r="M556" s="22"/>
      <c r="N556" s="22"/>
      <c r="O556" s="22"/>
      <c r="P556" s="22"/>
      <c r="Q556" s="22"/>
      <c r="R556" s="23"/>
      <c r="S556" s="22"/>
      <c r="T556" s="24"/>
      <c r="U556" s="25"/>
    </row>
    <row r="557" spans="1:22" ht="48.2" customHeight="1" x14ac:dyDescent="0.25">
      <c r="A557" s="17">
        <f>VLOOKUP(C557,[1]Werke!$A$1:$C$168,3,0)</f>
        <v>49</v>
      </c>
      <c r="B557" s="17" t="str">
        <f>VLOOKUP(C557,[1]Werke!$A$1:$C$168,2,0)</f>
        <v>CT</v>
      </c>
      <c r="C557" s="18" t="s">
        <v>217</v>
      </c>
      <c r="D557" s="17" t="str">
        <f>VLOOKUP(C557,[1]Maliteslimalan!$A$1:$B$210,2,0)</f>
        <v>8000012574</v>
      </c>
      <c r="E557" s="19" t="str">
        <f>VLOOKUP(C557,[1]Bestellnr.!$A$1:$B$174,2,0)</f>
        <v>000001</v>
      </c>
      <c r="F557" s="20" t="str">
        <f t="shared" ref="F557:F564" si="285">VLOOKUP(G557,$U$1:$V$1730,2,0)</f>
        <v>N   103 320 02</v>
      </c>
      <c r="G557" s="21">
        <v>970698000</v>
      </c>
      <c r="H557" s="17">
        <f t="shared" ref="H557:H564" si="286">VLOOKUP(G557,Z$2:AA$1905,2,FALSE)</f>
        <v>1.345E-2</v>
      </c>
      <c r="I557" s="20"/>
      <c r="J557" s="17">
        <f>VLOOKUP(G557,W$2:X$1905,2,FALSE)</f>
        <v>1000</v>
      </c>
      <c r="K557" s="17">
        <f t="shared" ref="K557:K564" si="287">I557/J557</f>
        <v>0</v>
      </c>
      <c r="L557" s="22">
        <v>20</v>
      </c>
      <c r="M557" s="22">
        <v>60</v>
      </c>
      <c r="N557" s="22" t="s">
        <v>155</v>
      </c>
      <c r="O557" s="22" t="str">
        <f t="shared" ref="O557:O564" si="288">VLOOKUP(N557,$AL$1285:$AM$1310,2,FALSE)</f>
        <v>001210</v>
      </c>
      <c r="P557" s="22">
        <f t="shared" ref="P557:P564" si="289">VLOOKUP(N557,AC$2:AD$1905,2,FALSE)</f>
        <v>55</v>
      </c>
      <c r="Q557" s="22"/>
      <c r="R557" s="23" t="s">
        <v>153</v>
      </c>
      <c r="S557" s="22">
        <f t="shared" ref="S557:S564" si="290">VLOOKUP(R557,AC$2:AD$1905,2,FALSE)</f>
        <v>0.56999999999999995</v>
      </c>
      <c r="T557" s="24">
        <f t="shared" ref="T557:T564" si="291">(H557*I557)+P557*Q557+S557*K557</f>
        <v>0</v>
      </c>
      <c r="U557" s="25">
        <f t="shared" ref="U557:U564" si="292">IF(TRIM(N557&amp;"")="111444",
    IF(ROUNDUP(MAX(0,K557-(MAX(1,Q557)-1)*10)/10,0)=1,3,2),
    IF(TRIM(N557&amp;"")="VWPAL",
        IF(TRIM(R557&amp;"")="004147",1,2),
        ""
    )
)</f>
        <v>2</v>
      </c>
      <c r="V557" s="26" t="str">
        <f t="shared" ref="V557:V564" si="293">IF(OR(TRIM(N557&amp;"")="111444",TRIM(N557&amp;"")="VWPAL"),
    IF(K557&lt;=0,"",
        IF(
            MIN(3,ROUNDUP(MAX(0,K557-(MAX(1,Q557)-1)*IF(TRIM(N557&amp;"")="111444",10,20))/IF(TRIM(N557&amp;"")="111444",10,20),0))=1,
            300,
            IF(
                MIN(3,ROUNDUP(MAX(0,K557-(MAX(1,Q557)-1)*IF(TRIM(N557&amp;"")="111444",10,20))/IF(TRIM(N557&amp;"")="111444",10,20),0))=2,
                450,
                600
            )
        )
    ),
    ""
)</f>
        <v/>
      </c>
    </row>
    <row r="558" spans="1:22" ht="48.2" customHeight="1" x14ac:dyDescent="0.25">
      <c r="A558" s="17" t="str">
        <f>VLOOKUP(C558,[1]Werke!$A$1:$C$168,3,0)</f>
        <v>IM</v>
      </c>
      <c r="B558" s="17">
        <f>VLOOKUP(C558,[1]Werke!$A$1:$C$168,2,0)</f>
        <v>889</v>
      </c>
      <c r="C558" s="18" t="s">
        <v>225</v>
      </c>
      <c r="D558" s="17">
        <f>VLOOKUP(C558,[1]Maliteslimalan!$A$1:$B$210,2,0)</f>
        <v>8000017117</v>
      </c>
      <c r="E558" s="19">
        <v>6</v>
      </c>
      <c r="F558" s="20" t="str">
        <f t="shared" si="285"/>
        <v>N   103 320 02</v>
      </c>
      <c r="G558" s="21">
        <v>970698000</v>
      </c>
      <c r="H558" s="17">
        <f t="shared" si="286"/>
        <v>1.345E-2</v>
      </c>
      <c r="I558" s="20"/>
      <c r="J558" s="17">
        <f>VLOOKUP(G558,W$2:X$1905,2,FALSE)</f>
        <v>1000</v>
      </c>
      <c r="K558" s="17">
        <f t="shared" si="287"/>
        <v>0</v>
      </c>
      <c r="L558" s="22">
        <v>20</v>
      </c>
      <c r="M558" s="22">
        <v>20</v>
      </c>
      <c r="N558" s="22" t="s">
        <v>155</v>
      </c>
      <c r="O558" s="22" t="str">
        <f t="shared" si="288"/>
        <v>001210</v>
      </c>
      <c r="P558" s="22">
        <f t="shared" si="289"/>
        <v>55</v>
      </c>
      <c r="Q558" s="22"/>
      <c r="R558" s="23" t="s">
        <v>153</v>
      </c>
      <c r="S558" s="22">
        <f t="shared" si="290"/>
        <v>0.56999999999999995</v>
      </c>
      <c r="T558" s="24">
        <f t="shared" si="291"/>
        <v>0</v>
      </c>
      <c r="U558" s="25">
        <f t="shared" si="292"/>
        <v>2</v>
      </c>
      <c r="V558" s="26" t="str">
        <f t="shared" si="293"/>
        <v/>
      </c>
    </row>
    <row r="559" spans="1:22" ht="48.2" customHeight="1" x14ac:dyDescent="0.25">
      <c r="A559" s="17" t="str">
        <f>VLOOKUP(C559,[1]Werke!$A$1:$C$168,3,0)</f>
        <v>LD</v>
      </c>
      <c r="B559" s="17" t="str">
        <f>VLOOKUP(C559,[1]Werke!$A$1:$C$168,2,0)</f>
        <v>SLD</v>
      </c>
      <c r="C559" s="18">
        <v>83630</v>
      </c>
      <c r="D559" s="17" t="str">
        <f>VLOOKUP(C559,[1]Maliteslimalan!$A$1:$B$210,2,0)</f>
        <v>8000012862</v>
      </c>
      <c r="E559" s="19" t="str">
        <f>VLOOKUP(C559,[1]Bestellnr.!$A$1:$B$174,2,0)</f>
        <v>000006</v>
      </c>
      <c r="F559" s="20" t="str">
        <f t="shared" si="285"/>
        <v>N   103 320 02</v>
      </c>
      <c r="G559" s="21">
        <v>970698000</v>
      </c>
      <c r="H559" s="17">
        <f t="shared" si="286"/>
        <v>1.345E-2</v>
      </c>
      <c r="I559" s="20"/>
      <c r="J559" s="17">
        <f>VLOOKUP(G559,W$2:X$1905,2,FALSE)</f>
        <v>1000</v>
      </c>
      <c r="K559" s="17">
        <f t="shared" si="287"/>
        <v>0</v>
      </c>
      <c r="L559" s="22">
        <v>10</v>
      </c>
      <c r="M559" s="22">
        <v>30</v>
      </c>
      <c r="N559" s="22">
        <v>111444</v>
      </c>
      <c r="O559" s="22" t="str">
        <f t="shared" si="288"/>
        <v>001006</v>
      </c>
      <c r="P559" s="22">
        <f t="shared" si="289"/>
        <v>34</v>
      </c>
      <c r="Q559" s="22"/>
      <c r="R559" s="23" t="s">
        <v>153</v>
      </c>
      <c r="S559" s="22">
        <f t="shared" si="290"/>
        <v>0.56999999999999995</v>
      </c>
      <c r="T559" s="24">
        <f t="shared" si="291"/>
        <v>0</v>
      </c>
      <c r="U559" s="25">
        <f t="shared" si="292"/>
        <v>2</v>
      </c>
      <c r="V559" s="26" t="str">
        <f t="shared" si="293"/>
        <v/>
      </c>
    </row>
    <row r="560" spans="1:22" ht="48.2" customHeight="1" x14ac:dyDescent="0.25">
      <c r="A560" s="17">
        <f>VLOOKUP(C560,[1]Werke!$A$1:$C$168,3,0)</f>
        <v>11</v>
      </c>
      <c r="B560" s="17" t="str">
        <f>VLOOKUP(C560,[1]Werke!$A$1:$C$168,2,0)</f>
        <v>AKL</v>
      </c>
      <c r="C560" s="18" t="s">
        <v>227</v>
      </c>
      <c r="D560" s="17" t="str">
        <f>VLOOKUP(C560,[1]Maliteslimalan!$A$1:$B$210,2,0)</f>
        <v>8000012570</v>
      </c>
      <c r="E560" s="19" t="str">
        <f>VLOOKUP(C560,[1]Bestellnr.!$A$1:$B$174,2,0)</f>
        <v>000006</v>
      </c>
      <c r="F560" s="20" t="str">
        <f t="shared" si="285"/>
        <v>N   103 320 02</v>
      </c>
      <c r="G560" s="21">
        <v>970698000</v>
      </c>
      <c r="H560" s="17">
        <f t="shared" si="286"/>
        <v>1.345E-2</v>
      </c>
      <c r="I560" s="20"/>
      <c r="J560" s="17">
        <f>VLOOKUP(G560,W$2:X$1905,2,FALSE)</f>
        <v>1000</v>
      </c>
      <c r="K560" s="17">
        <f t="shared" si="287"/>
        <v>0</v>
      </c>
      <c r="L560" s="22">
        <v>20</v>
      </c>
      <c r="M560" s="22">
        <v>20</v>
      </c>
      <c r="N560" s="22" t="s">
        <v>155</v>
      </c>
      <c r="O560" s="22" t="str">
        <f t="shared" si="288"/>
        <v>001210</v>
      </c>
      <c r="P560" s="22">
        <f t="shared" si="289"/>
        <v>55</v>
      </c>
      <c r="Q560" s="22"/>
      <c r="R560" s="23" t="s">
        <v>153</v>
      </c>
      <c r="S560" s="22">
        <f t="shared" si="290"/>
        <v>0.56999999999999995</v>
      </c>
      <c r="T560" s="24">
        <f t="shared" si="291"/>
        <v>0</v>
      </c>
      <c r="U560" s="25">
        <f t="shared" si="292"/>
        <v>2</v>
      </c>
      <c r="V560" s="26" t="str">
        <f t="shared" si="293"/>
        <v/>
      </c>
    </row>
    <row r="561" spans="1:22" ht="48.2" customHeight="1" x14ac:dyDescent="0.25">
      <c r="A561" s="17">
        <f>VLOOKUP(C561,[1]Werke!$A$1:$C$168,3,0)</f>
        <v>31</v>
      </c>
      <c r="B561" s="17" t="str">
        <f>VLOOKUP(C561,[1]Werke!$A$1:$C$168,2,0)</f>
        <v>B62</v>
      </c>
      <c r="C561" s="18">
        <v>10362</v>
      </c>
      <c r="D561" s="17" t="str">
        <f>VLOOKUP(C561,[1]Maliteslimalan!$A$1:$B$210,2,0)</f>
        <v>8000012742</v>
      </c>
      <c r="E561" s="19">
        <v>6</v>
      </c>
      <c r="F561" s="20" t="str">
        <f t="shared" si="285"/>
        <v>N   103 320 02</v>
      </c>
      <c r="G561" s="21">
        <v>970698000</v>
      </c>
      <c r="H561" s="17">
        <f t="shared" si="286"/>
        <v>1.345E-2</v>
      </c>
      <c r="I561" s="20"/>
      <c r="J561" s="17">
        <f>VLOOKUP(G561,W$2:X$1905,2,FALSE)</f>
        <v>1000</v>
      </c>
      <c r="K561" s="17">
        <f t="shared" si="287"/>
        <v>0</v>
      </c>
      <c r="L561" s="22">
        <v>20</v>
      </c>
      <c r="M561" s="22">
        <v>20</v>
      </c>
      <c r="N561" s="22" t="s">
        <v>155</v>
      </c>
      <c r="O561" s="22" t="str">
        <f t="shared" si="288"/>
        <v>001210</v>
      </c>
      <c r="P561" s="22">
        <f t="shared" si="289"/>
        <v>55</v>
      </c>
      <c r="Q561" s="22"/>
      <c r="R561" s="23" t="s">
        <v>153</v>
      </c>
      <c r="S561" s="22">
        <f t="shared" si="290"/>
        <v>0.56999999999999995</v>
      </c>
      <c r="T561" s="24">
        <f t="shared" si="291"/>
        <v>0</v>
      </c>
      <c r="U561" s="25">
        <f t="shared" si="292"/>
        <v>2</v>
      </c>
      <c r="V561" s="26" t="str">
        <f t="shared" si="293"/>
        <v/>
      </c>
    </row>
    <row r="562" spans="1:22" ht="48.2" customHeight="1" x14ac:dyDescent="0.25">
      <c r="A562" s="17">
        <f>VLOOKUP(C562,[1]Werke!$A$1:$C$168,3,0)</f>
        <v>33</v>
      </c>
      <c r="B562" s="17" t="str">
        <f>VLOOKUP(C562,[1]Werke!$A$1:$C$168,2,0)</f>
        <v>KK2</v>
      </c>
      <c r="C562" s="18" t="s">
        <v>233</v>
      </c>
      <c r="D562" s="17" t="str">
        <f>VLOOKUP(C562,[1]Maliteslimalan!$A$1:$B$210,2,0)</f>
        <v>8000012709</v>
      </c>
      <c r="E562" s="19" t="str">
        <f>VLOOKUP(C562,[1]Bestellnr.!$A$1:$B$174,2,0)</f>
        <v>000055</v>
      </c>
      <c r="F562" s="20" t="str">
        <f t="shared" si="285"/>
        <v>N   103 320 02</v>
      </c>
      <c r="G562" s="21">
        <v>970698000</v>
      </c>
      <c r="H562" s="17">
        <f t="shared" si="286"/>
        <v>1.345E-2</v>
      </c>
      <c r="I562" s="20"/>
      <c r="J562" s="17">
        <v>1100</v>
      </c>
      <c r="K562" s="17">
        <f t="shared" si="287"/>
        <v>0</v>
      </c>
      <c r="L562" s="22">
        <v>20</v>
      </c>
      <c r="M562" s="22">
        <v>20</v>
      </c>
      <c r="N562" s="22" t="s">
        <v>155</v>
      </c>
      <c r="O562" s="22" t="str">
        <f t="shared" si="288"/>
        <v>001210</v>
      </c>
      <c r="P562" s="22">
        <f t="shared" si="289"/>
        <v>55</v>
      </c>
      <c r="Q562" s="22"/>
      <c r="R562" s="23" t="s">
        <v>153</v>
      </c>
      <c r="S562" s="22">
        <f t="shared" si="290"/>
        <v>0.56999999999999995</v>
      </c>
      <c r="T562" s="24">
        <f t="shared" si="291"/>
        <v>0</v>
      </c>
      <c r="U562" s="25">
        <f t="shared" si="292"/>
        <v>2</v>
      </c>
      <c r="V562" s="26" t="str">
        <f t="shared" si="293"/>
        <v/>
      </c>
    </row>
    <row r="563" spans="1:22" ht="48.2" customHeight="1" x14ac:dyDescent="0.25">
      <c r="A563" s="17">
        <f>VLOOKUP(C563,[1]Werke!$A$1:$C$168,3,0)</f>
        <v>14</v>
      </c>
      <c r="B563" s="17" t="str">
        <f>VLOOKUP(C563,[1]Werke!$A$1:$C$168,2,0)</f>
        <v>D66</v>
      </c>
      <c r="C563" s="18" t="s">
        <v>248</v>
      </c>
      <c r="D563" s="17" t="str">
        <f>VLOOKUP(C563,[1]Maliteslimalan!$A$1:$B$210,2,0)</f>
        <v>8000012561</v>
      </c>
      <c r="E563" s="19">
        <f>VLOOKUP(C563,[1]Bestellnr.!$A$1:$B$174,2,0)</f>
        <v>0</v>
      </c>
      <c r="F563" s="20" t="str">
        <f t="shared" si="285"/>
        <v>N   103 320 02</v>
      </c>
      <c r="G563" s="21">
        <v>970698000</v>
      </c>
      <c r="H563" s="17">
        <f t="shared" si="286"/>
        <v>1.345E-2</v>
      </c>
      <c r="I563" s="20"/>
      <c r="J563" s="17">
        <f>VLOOKUP(G563,W$2:X$1905,2,FALSE)</f>
        <v>1000</v>
      </c>
      <c r="K563" s="17">
        <f t="shared" si="287"/>
        <v>0</v>
      </c>
      <c r="L563" s="22">
        <v>10</v>
      </c>
      <c r="M563" s="22">
        <v>30</v>
      </c>
      <c r="N563" s="22">
        <v>111444</v>
      </c>
      <c r="O563" s="22" t="str">
        <f t="shared" si="288"/>
        <v>001006</v>
      </c>
      <c r="P563" s="22">
        <f t="shared" si="289"/>
        <v>34</v>
      </c>
      <c r="Q563" s="22"/>
      <c r="R563" s="23" t="s">
        <v>153</v>
      </c>
      <c r="S563" s="22">
        <f t="shared" si="290"/>
        <v>0.56999999999999995</v>
      </c>
      <c r="T563" s="24">
        <f t="shared" si="291"/>
        <v>0</v>
      </c>
      <c r="U563" s="25">
        <f t="shared" si="292"/>
        <v>2</v>
      </c>
      <c r="V563" s="26" t="str">
        <f t="shared" si="293"/>
        <v/>
      </c>
    </row>
    <row r="564" spans="1:22" ht="48.2" customHeight="1" x14ac:dyDescent="0.25">
      <c r="A564" s="17">
        <f>VLOOKUP(C564,[1]Werke!$A$1:$C$168,3,0)</f>
        <v>42</v>
      </c>
      <c r="B564" s="17" t="str">
        <f>VLOOKUP(C564,[1]Werke!$A$1:$C$168,2,0)</f>
        <v>CC1</v>
      </c>
      <c r="C564" s="18" t="s">
        <v>241</v>
      </c>
      <c r="D564" s="17" t="str">
        <f>VLOOKUP(C564,[1]Maliteslimalan!$A$1:$B$210,2,0)</f>
        <v>8000012577</v>
      </c>
      <c r="E564" s="19" t="str">
        <f>VLOOKUP(C564,[1]Bestellnr.!$A$1:$B$174,2,0)</f>
        <v>000001</v>
      </c>
      <c r="F564" s="20" t="str">
        <f t="shared" si="285"/>
        <v>N   103 320 02</v>
      </c>
      <c r="G564" s="21">
        <v>970698000</v>
      </c>
      <c r="H564" s="17">
        <f t="shared" si="286"/>
        <v>1.345E-2</v>
      </c>
      <c r="I564" s="20"/>
      <c r="J564" s="17">
        <v>1050</v>
      </c>
      <c r="K564" s="17">
        <f t="shared" si="287"/>
        <v>0</v>
      </c>
      <c r="L564" s="22">
        <v>20</v>
      </c>
      <c r="M564" s="22">
        <v>60</v>
      </c>
      <c r="N564" s="22" t="s">
        <v>155</v>
      </c>
      <c r="O564" s="22" t="str">
        <f t="shared" si="288"/>
        <v>001210</v>
      </c>
      <c r="P564" s="22">
        <f t="shared" si="289"/>
        <v>55</v>
      </c>
      <c r="Q564" s="22"/>
      <c r="R564" s="23" t="s">
        <v>153</v>
      </c>
      <c r="S564" s="22">
        <f t="shared" si="290"/>
        <v>0.56999999999999995</v>
      </c>
      <c r="T564" s="24">
        <f t="shared" si="291"/>
        <v>0</v>
      </c>
      <c r="U564" s="25">
        <f t="shared" si="292"/>
        <v>2</v>
      </c>
      <c r="V564" s="26" t="str">
        <f t="shared" si="293"/>
        <v/>
      </c>
    </row>
    <row r="565" spans="1:22" ht="48.2" customHeight="1" x14ac:dyDescent="0.25">
      <c r="A565" s="17"/>
      <c r="B565" s="17"/>
      <c r="C565" s="18"/>
      <c r="D565" s="17"/>
      <c r="E565" s="19"/>
      <c r="F565" s="20"/>
      <c r="G565" s="21"/>
      <c r="H565" s="17"/>
      <c r="I565" s="20"/>
      <c r="J565" s="17"/>
      <c r="K565" s="17"/>
      <c r="L565" s="22"/>
      <c r="M565" s="22"/>
      <c r="N565" s="22"/>
      <c r="O565" s="22"/>
      <c r="P565" s="22"/>
      <c r="Q565" s="22"/>
      <c r="R565" s="23"/>
      <c r="S565" s="22"/>
      <c r="T565" s="24"/>
      <c r="U565" s="25"/>
    </row>
    <row r="566" spans="1:22" ht="48" customHeight="1" x14ac:dyDescent="0.25">
      <c r="A566" s="17">
        <f>VLOOKUP(C566,[1]Werke!$A$1:$C$168,3,0)</f>
        <v>24</v>
      </c>
      <c r="B566" s="17" t="str">
        <f>VLOOKUP(C566,[1]Werke!$A$1:$C$168,2,0)</f>
        <v>CKV</v>
      </c>
      <c r="C566" s="18" t="s">
        <v>243</v>
      </c>
      <c r="D566" s="17" t="str">
        <f>VLOOKUP(C566,[1]Maliteslimalan!$A$1:$B$210,2,0)</f>
        <v>8000013217</v>
      </c>
      <c r="E566" s="19" t="str">
        <f>VLOOKUP(C566,[1]Bestellnr.!$A$1:$B$174,2,0)</f>
        <v>000006</v>
      </c>
      <c r="F566" s="20" t="str">
        <f t="shared" ref="F566:F578" si="294">VLOOKUP(G566,$U$1:$V$1730,2,0)</f>
        <v>N   912 184 01</v>
      </c>
      <c r="G566" s="21">
        <v>970695000</v>
      </c>
      <c r="H566" s="17">
        <f t="shared" ref="H566:H578" si="295">VLOOKUP(G566,Z$2:AA$1905,2,FALSE)</f>
        <v>1.7250000000000001E-2</v>
      </c>
      <c r="I566" s="20"/>
      <c r="J566" s="17">
        <f t="shared" ref="J566:J577" si="296">VLOOKUP(G566,W$2:X$1905,2,FALSE)</f>
        <v>800</v>
      </c>
      <c r="K566" s="17">
        <f t="shared" ref="K566:K578" si="297">I566/J566</f>
        <v>0</v>
      </c>
      <c r="L566" s="22">
        <v>10</v>
      </c>
      <c r="M566" s="22">
        <v>30</v>
      </c>
      <c r="N566" s="22">
        <v>111444</v>
      </c>
      <c r="O566" s="22" t="str">
        <f t="shared" ref="O566:O578" si="298">VLOOKUP(N566,$AL$1285:$AM$1310,2,FALSE)</f>
        <v>001006</v>
      </c>
      <c r="P566" s="22">
        <f t="shared" ref="P566:P578" si="299">VLOOKUP(N566,AC$2:AD$1905,2,FALSE)</f>
        <v>34</v>
      </c>
      <c r="Q566" s="22"/>
      <c r="R566" s="23" t="s">
        <v>153</v>
      </c>
      <c r="S566" s="22">
        <f t="shared" ref="S566:S578" si="300">VLOOKUP(R566,AC$2:AD$1905,2,FALSE)</f>
        <v>0.56999999999999995</v>
      </c>
      <c r="T566" s="24">
        <f t="shared" ref="T566:T578" si="301">(H566*I566)+P566*Q566+S566*K566</f>
        <v>0</v>
      </c>
      <c r="U566" s="25">
        <f t="shared" ref="U566:U578" si="302">IF(TRIM(N566&amp;"")="111444",
    IF(ROUNDUP(MAX(0,K566-(MAX(1,Q566)-1)*10)/10,0)=1,3,2),
    IF(TRIM(N566&amp;"")="VWPAL",
        IF(TRIM(R566&amp;"")="004147",1,2),
        ""
    )
)</f>
        <v>2</v>
      </c>
      <c r="V566" s="26" t="str">
        <f t="shared" ref="V566:V578" si="303">IF(OR(TRIM(N566&amp;"")="111444",TRIM(N566&amp;"")="VWPAL"),
    IF(K566&lt;=0,"",
        IF(
            MIN(3,ROUNDUP(MAX(0,K566-(MAX(1,Q566)-1)*IF(TRIM(N566&amp;"")="111444",10,20))/IF(TRIM(N566&amp;"")="111444",10,20),0))=1,
            300,
            IF(
                MIN(3,ROUNDUP(MAX(0,K566-(MAX(1,Q566)-1)*IF(TRIM(N566&amp;"")="111444",10,20))/IF(TRIM(N566&amp;"")="111444",10,20),0))=2,
                450,
                600
            )
        )
    ),
    ""
)</f>
        <v/>
      </c>
    </row>
    <row r="567" spans="1:22" ht="48" customHeight="1" x14ac:dyDescent="0.25">
      <c r="A567" s="17">
        <f>VLOOKUP(C567,[1]Werke!$A$1:$C$168,3,0)</f>
        <v>49</v>
      </c>
      <c r="B567" s="17" t="str">
        <f>VLOOKUP(C567,[1]Werke!$A$1:$C$168,2,0)</f>
        <v>CT</v>
      </c>
      <c r="C567" s="18" t="s">
        <v>217</v>
      </c>
      <c r="D567" s="17" t="str">
        <f>VLOOKUP(C567,[1]Maliteslimalan!$A$1:$B$210,2,0)</f>
        <v>8000012574</v>
      </c>
      <c r="E567" s="19" t="str">
        <f>VLOOKUP(C567,[1]Bestellnr.!$A$1:$B$174,2,0)</f>
        <v>000001</v>
      </c>
      <c r="F567" s="20" t="str">
        <f t="shared" si="294"/>
        <v>N   912 184 01</v>
      </c>
      <c r="G567" s="21">
        <v>970695000</v>
      </c>
      <c r="H567" s="17">
        <f t="shared" si="295"/>
        <v>1.7250000000000001E-2</v>
      </c>
      <c r="I567" s="20"/>
      <c r="J567" s="17">
        <f t="shared" si="296"/>
        <v>800</v>
      </c>
      <c r="K567" s="17">
        <f t="shared" si="297"/>
        <v>0</v>
      </c>
      <c r="L567" s="22">
        <v>20</v>
      </c>
      <c r="M567" s="22">
        <v>20</v>
      </c>
      <c r="N567" s="22" t="s">
        <v>155</v>
      </c>
      <c r="O567" s="22" t="str">
        <f t="shared" si="298"/>
        <v>001210</v>
      </c>
      <c r="P567" s="22">
        <f t="shared" si="299"/>
        <v>55</v>
      </c>
      <c r="Q567" s="22"/>
      <c r="R567" s="23" t="s">
        <v>153</v>
      </c>
      <c r="S567" s="22">
        <f t="shared" si="300"/>
        <v>0.56999999999999995</v>
      </c>
      <c r="T567" s="24">
        <f t="shared" si="301"/>
        <v>0</v>
      </c>
      <c r="U567" s="25">
        <f t="shared" si="302"/>
        <v>2</v>
      </c>
      <c r="V567" s="26" t="str">
        <f t="shared" si="303"/>
        <v/>
      </c>
    </row>
    <row r="568" spans="1:22" ht="48" customHeight="1" x14ac:dyDescent="0.25">
      <c r="A568" s="17" t="str">
        <f>VLOOKUP(C568,[1]Werke!$A$1:$C$168,3,0)</f>
        <v>LD</v>
      </c>
      <c r="B568" s="17" t="str">
        <f>VLOOKUP(C568,[1]Werke!$A$1:$C$168,2,0)</f>
        <v>SLD</v>
      </c>
      <c r="C568" s="18">
        <v>83630</v>
      </c>
      <c r="D568" s="17" t="str">
        <f>VLOOKUP(C568,[1]Maliteslimalan!$A$1:$B$210,2,0)</f>
        <v>8000012862</v>
      </c>
      <c r="E568" s="19" t="str">
        <f>VLOOKUP(C568,[1]Bestellnr.!$A$1:$B$174,2,0)</f>
        <v>000006</v>
      </c>
      <c r="F568" s="20" t="str">
        <f t="shared" si="294"/>
        <v>N   912 184 01</v>
      </c>
      <c r="G568" s="21">
        <v>970695000</v>
      </c>
      <c r="H568" s="17">
        <f t="shared" si="295"/>
        <v>1.7250000000000001E-2</v>
      </c>
      <c r="I568" s="20"/>
      <c r="J568" s="17">
        <f t="shared" si="296"/>
        <v>800</v>
      </c>
      <c r="K568" s="17">
        <f t="shared" si="297"/>
        <v>0</v>
      </c>
      <c r="L568" s="22">
        <v>10</v>
      </c>
      <c r="M568" s="22">
        <v>30</v>
      </c>
      <c r="N568" s="22">
        <v>111444</v>
      </c>
      <c r="O568" s="22" t="str">
        <f t="shared" si="298"/>
        <v>001006</v>
      </c>
      <c r="P568" s="22">
        <f t="shared" si="299"/>
        <v>34</v>
      </c>
      <c r="Q568" s="22"/>
      <c r="R568" s="23" t="s">
        <v>153</v>
      </c>
      <c r="S568" s="22">
        <f t="shared" si="300"/>
        <v>0.56999999999999995</v>
      </c>
      <c r="T568" s="24">
        <f t="shared" si="301"/>
        <v>0</v>
      </c>
      <c r="U568" s="25">
        <f t="shared" si="302"/>
        <v>2</v>
      </c>
      <c r="V568" s="26" t="str">
        <f t="shared" si="303"/>
        <v/>
      </c>
    </row>
    <row r="569" spans="1:22" ht="48" customHeight="1" x14ac:dyDescent="0.25">
      <c r="A569" s="17">
        <f>VLOOKUP(C569,[1]Werke!$A$1:$C$168,3,0)</f>
        <v>11</v>
      </c>
      <c r="B569" s="17" t="str">
        <f>VLOOKUP(C569,[1]Werke!$A$1:$C$168,2,0)</f>
        <v>03A</v>
      </c>
      <c r="C569" s="18" t="s">
        <v>277</v>
      </c>
      <c r="D569" s="17" t="str">
        <f>VLOOKUP(C569,[1]Maliteslimalan!$A$1:$B$210,2,0)</f>
        <v>8000012601</v>
      </c>
      <c r="E569" s="19" t="str">
        <f>VLOOKUP(C569,[1]Bestellnr.!$A$1:$B$174,2,0)</f>
        <v>000006</v>
      </c>
      <c r="F569" s="20" t="str">
        <f t="shared" si="294"/>
        <v>N   912 184 01</v>
      </c>
      <c r="G569" s="21">
        <v>970695000</v>
      </c>
      <c r="H569" s="17">
        <f t="shared" si="295"/>
        <v>1.7250000000000001E-2</v>
      </c>
      <c r="I569" s="20"/>
      <c r="J569" s="17">
        <f t="shared" si="296"/>
        <v>800</v>
      </c>
      <c r="K569" s="17">
        <f t="shared" si="297"/>
        <v>0</v>
      </c>
      <c r="L569" s="22">
        <v>20</v>
      </c>
      <c r="M569" s="22">
        <v>40</v>
      </c>
      <c r="N569" s="22" t="s">
        <v>155</v>
      </c>
      <c r="O569" s="22" t="str">
        <f t="shared" si="298"/>
        <v>001210</v>
      </c>
      <c r="P569" s="22">
        <f t="shared" si="299"/>
        <v>55</v>
      </c>
      <c r="Q569" s="22"/>
      <c r="R569" s="23" t="s">
        <v>153</v>
      </c>
      <c r="S569" s="22">
        <f t="shared" si="300"/>
        <v>0.56999999999999995</v>
      </c>
      <c r="T569" s="24">
        <f t="shared" si="301"/>
        <v>0</v>
      </c>
      <c r="U569" s="25">
        <f t="shared" si="302"/>
        <v>2</v>
      </c>
      <c r="V569" s="26" t="str">
        <f t="shared" si="303"/>
        <v/>
      </c>
    </row>
    <row r="570" spans="1:22" ht="48" customHeight="1" x14ac:dyDescent="0.25">
      <c r="A570" s="17">
        <f>VLOOKUP(C570,[1]Werke!$A$1:$C$168,3,0)</f>
        <v>12</v>
      </c>
      <c r="B570" s="17" t="str">
        <f>VLOOKUP(C570,[1]Werke!$A$1:$C$168,2,0)</f>
        <v>AKL</v>
      </c>
      <c r="C570" s="18" t="s">
        <v>228</v>
      </c>
      <c r="D570" s="17" t="str">
        <f>VLOOKUP(C570,[1]Maliteslimalan!$A$1:$B$210,2,0)</f>
        <v>8000012700</v>
      </c>
      <c r="E570" s="19" t="str">
        <f>VLOOKUP(C570,[1]Bestellnr.!$A$1:$B$174,2,0)</f>
        <v>000006</v>
      </c>
      <c r="F570" s="20" t="str">
        <f t="shared" si="294"/>
        <v>N   912 184 01</v>
      </c>
      <c r="G570" s="21">
        <v>970695000</v>
      </c>
      <c r="H570" s="17">
        <f t="shared" si="295"/>
        <v>1.7250000000000001E-2</v>
      </c>
      <c r="I570" s="20"/>
      <c r="J570" s="17">
        <f t="shared" si="296"/>
        <v>800</v>
      </c>
      <c r="K570" s="17">
        <f t="shared" si="297"/>
        <v>0</v>
      </c>
      <c r="L570" s="22">
        <v>10</v>
      </c>
      <c r="M570" s="22">
        <v>10</v>
      </c>
      <c r="N570" s="22">
        <v>111444</v>
      </c>
      <c r="O570" s="22" t="str">
        <f t="shared" si="298"/>
        <v>001006</v>
      </c>
      <c r="P570" s="22">
        <f t="shared" si="299"/>
        <v>34</v>
      </c>
      <c r="Q570" s="22"/>
      <c r="R570" s="23" t="s">
        <v>153</v>
      </c>
      <c r="S570" s="22">
        <f t="shared" si="300"/>
        <v>0.56999999999999995</v>
      </c>
      <c r="T570" s="24">
        <f t="shared" si="301"/>
        <v>0</v>
      </c>
      <c r="U570" s="25">
        <f t="shared" si="302"/>
        <v>2</v>
      </c>
      <c r="V570" s="26" t="str">
        <f t="shared" si="303"/>
        <v/>
      </c>
    </row>
    <row r="571" spans="1:22" ht="48" customHeight="1" x14ac:dyDescent="0.25">
      <c r="A571" s="17">
        <f>VLOOKUP(C571,[1]Werke!$A$1:$C$168,3,0)</f>
        <v>22</v>
      </c>
      <c r="B571" s="17" t="str">
        <f>VLOOKUP(C571,[1]Werke!$A$1:$C$168,2,0)</f>
        <v>13P</v>
      </c>
      <c r="C571" s="18" t="s">
        <v>215</v>
      </c>
      <c r="D571" s="17" t="str">
        <f>VLOOKUP(C571,[1]Maliteslimalan!$A$1:$B$210,2,0)</f>
        <v>8000014259</v>
      </c>
      <c r="E571" s="19" t="str">
        <f>VLOOKUP(C571,[1]Bestellnr.!$A$1:$B$174,2,0)</f>
        <v>000006</v>
      </c>
      <c r="F571" s="20" t="str">
        <f t="shared" si="294"/>
        <v>N   912 184 01</v>
      </c>
      <c r="G571" s="21">
        <v>970695000</v>
      </c>
      <c r="H571" s="17">
        <f t="shared" si="295"/>
        <v>1.7250000000000001E-2</v>
      </c>
      <c r="I571" s="20"/>
      <c r="J571" s="17">
        <f t="shared" si="296"/>
        <v>800</v>
      </c>
      <c r="K571" s="17">
        <f t="shared" si="297"/>
        <v>0</v>
      </c>
      <c r="L571" s="22">
        <v>10</v>
      </c>
      <c r="M571" s="22">
        <v>30</v>
      </c>
      <c r="N571" s="22">
        <v>111444</v>
      </c>
      <c r="O571" s="22" t="str">
        <f t="shared" si="298"/>
        <v>001006</v>
      </c>
      <c r="P571" s="22">
        <f t="shared" si="299"/>
        <v>34</v>
      </c>
      <c r="Q571" s="22"/>
      <c r="R571" s="23" t="s">
        <v>153</v>
      </c>
      <c r="S571" s="22">
        <f t="shared" si="300"/>
        <v>0.56999999999999995</v>
      </c>
      <c r="T571" s="24">
        <f t="shared" si="301"/>
        <v>0</v>
      </c>
      <c r="U571" s="25">
        <f t="shared" si="302"/>
        <v>2</v>
      </c>
      <c r="V571" s="26" t="str">
        <f t="shared" si="303"/>
        <v/>
      </c>
    </row>
    <row r="572" spans="1:22" ht="48" customHeight="1" x14ac:dyDescent="0.25">
      <c r="A572" s="17" t="str">
        <f>VLOOKUP(C572,[1]Werke!$A$1:$C$168,3,0)</f>
        <v>3P</v>
      </c>
      <c r="B572" s="17" t="str">
        <f>VLOOKUP(C572,[1]Werke!$A$1:$C$168,2,0)</f>
        <v>BP4</v>
      </c>
      <c r="C572" s="18" t="s">
        <v>234</v>
      </c>
      <c r="D572" s="17" t="str">
        <f>VLOOKUP(C572,[1]Maliteslimalan!$A$1:$B$210,2,0)</f>
        <v>8000012617</v>
      </c>
      <c r="E572" s="19" t="str">
        <f>VLOOKUP(C572,[1]Bestellnr.!$A$1:$B$174,2,0)</f>
        <v>000055</v>
      </c>
      <c r="F572" s="20" t="str">
        <f t="shared" si="294"/>
        <v>N   912 184 01</v>
      </c>
      <c r="G572" s="21">
        <v>970695000</v>
      </c>
      <c r="H572" s="17">
        <f t="shared" si="295"/>
        <v>1.7250000000000001E-2</v>
      </c>
      <c r="I572" s="20"/>
      <c r="J572" s="17">
        <f t="shared" si="296"/>
        <v>800</v>
      </c>
      <c r="K572" s="17">
        <f t="shared" si="297"/>
        <v>0</v>
      </c>
      <c r="L572" s="22">
        <v>10</v>
      </c>
      <c r="M572" s="22">
        <v>30</v>
      </c>
      <c r="N572" s="22">
        <v>111444</v>
      </c>
      <c r="O572" s="22" t="str">
        <f t="shared" si="298"/>
        <v>001006</v>
      </c>
      <c r="P572" s="22">
        <f t="shared" si="299"/>
        <v>34</v>
      </c>
      <c r="Q572" s="22"/>
      <c r="R572" s="23" t="s">
        <v>153</v>
      </c>
      <c r="S572" s="22">
        <f t="shared" si="300"/>
        <v>0.56999999999999995</v>
      </c>
      <c r="T572" s="24">
        <f t="shared" si="301"/>
        <v>0</v>
      </c>
      <c r="U572" s="25">
        <f t="shared" si="302"/>
        <v>2</v>
      </c>
      <c r="V572" s="26" t="str">
        <f t="shared" si="303"/>
        <v/>
      </c>
    </row>
    <row r="573" spans="1:22" ht="48" customHeight="1" x14ac:dyDescent="0.25">
      <c r="A573" s="17">
        <f>VLOOKUP(C573,[1]Werke!$A$1:$C$168,3,0)</f>
        <v>43</v>
      </c>
      <c r="B573" s="17" t="str">
        <f>VLOOKUP(C573,[1]Werke!$A$1:$C$168,2,0)</f>
        <v>BGG</v>
      </c>
      <c r="C573" s="18" t="s">
        <v>259</v>
      </c>
      <c r="D573" s="17" t="str">
        <f>VLOOKUP(C573,[1]Maliteslimalan!$A$1:$B$210,2,0)</f>
        <v>8000012671</v>
      </c>
      <c r="E573" s="19" t="str">
        <f>VLOOKUP(C573,[1]Bestellnr.!$A$1:$B$174,2,0)</f>
        <v>000006</v>
      </c>
      <c r="F573" s="20" t="str">
        <f t="shared" si="294"/>
        <v>N   912 184 01</v>
      </c>
      <c r="G573" s="21">
        <v>970695000</v>
      </c>
      <c r="H573" s="17">
        <f t="shared" si="295"/>
        <v>1.7250000000000001E-2</v>
      </c>
      <c r="I573" s="20"/>
      <c r="J573" s="17">
        <f t="shared" si="296"/>
        <v>800</v>
      </c>
      <c r="K573" s="17">
        <f t="shared" si="297"/>
        <v>0</v>
      </c>
      <c r="L573" s="22">
        <v>10</v>
      </c>
      <c r="M573" s="22">
        <v>10</v>
      </c>
      <c r="N573" s="22">
        <v>111444</v>
      </c>
      <c r="O573" s="22" t="str">
        <f t="shared" si="298"/>
        <v>001006</v>
      </c>
      <c r="P573" s="22">
        <f t="shared" si="299"/>
        <v>34</v>
      </c>
      <c r="Q573" s="22"/>
      <c r="R573" s="23" t="s">
        <v>153</v>
      </c>
      <c r="S573" s="22">
        <f t="shared" si="300"/>
        <v>0.56999999999999995</v>
      </c>
      <c r="T573" s="24">
        <f t="shared" si="301"/>
        <v>0</v>
      </c>
      <c r="U573" s="25">
        <f t="shared" si="302"/>
        <v>2</v>
      </c>
      <c r="V573" s="26" t="str">
        <f t="shared" si="303"/>
        <v/>
      </c>
    </row>
    <row r="574" spans="1:22" ht="48" customHeight="1" x14ac:dyDescent="0.25">
      <c r="A574" s="17" t="str">
        <f>VLOOKUP(C574,[1]Werke!$A$1:$C$168,3,0)</f>
        <v>HT</v>
      </c>
      <c r="B574" s="17">
        <f>VLOOKUP(C574,[1]Werke!$A$1:$C$168,2,0)</f>
        <v>34</v>
      </c>
      <c r="C574" s="18">
        <v>80245</v>
      </c>
      <c r="D574" s="17">
        <f>VLOOKUP(C574,[1]Maliteslimalan!$A$1:$B$210,2,0)</f>
        <v>8000012604</v>
      </c>
      <c r="E574" s="19">
        <v>6</v>
      </c>
      <c r="F574" s="20" t="str">
        <f t="shared" si="294"/>
        <v>N   912 184 01</v>
      </c>
      <c r="G574" s="21">
        <v>970695000</v>
      </c>
      <c r="H574" s="17">
        <f t="shared" si="295"/>
        <v>1.7250000000000001E-2</v>
      </c>
      <c r="I574" s="20"/>
      <c r="J574" s="17">
        <f t="shared" si="296"/>
        <v>800</v>
      </c>
      <c r="K574" s="17">
        <f t="shared" si="297"/>
        <v>0</v>
      </c>
      <c r="L574" s="22">
        <v>10</v>
      </c>
      <c r="M574" s="22">
        <v>30</v>
      </c>
      <c r="N574" s="22">
        <v>111444</v>
      </c>
      <c r="O574" s="22" t="str">
        <f t="shared" si="298"/>
        <v>001006</v>
      </c>
      <c r="P574" s="22">
        <f t="shared" si="299"/>
        <v>34</v>
      </c>
      <c r="Q574" s="22"/>
      <c r="R574" s="23" t="s">
        <v>153</v>
      </c>
      <c r="S574" s="22">
        <f t="shared" si="300"/>
        <v>0.56999999999999995</v>
      </c>
      <c r="T574" s="24">
        <f t="shared" si="301"/>
        <v>0</v>
      </c>
      <c r="U574" s="25">
        <f t="shared" si="302"/>
        <v>2</v>
      </c>
      <c r="V574" s="26" t="str">
        <f t="shared" si="303"/>
        <v/>
      </c>
    </row>
    <row r="575" spans="1:22" ht="48" customHeight="1" x14ac:dyDescent="0.25">
      <c r="A575" s="17">
        <f>VLOOKUP(C575,[1]Werke!$A$1:$C$168,3,0)</f>
        <v>42</v>
      </c>
      <c r="B575" s="17" t="str">
        <f>VLOOKUP(C575,[1]Werke!$A$1:$C$168,2,0)</f>
        <v>C1B</v>
      </c>
      <c r="C575" s="18" t="s">
        <v>304</v>
      </c>
      <c r="D575" s="17">
        <f>VLOOKUP(C575,[1]Maliteslimalan!$A$1:$B$210,2,0)</f>
        <v>8000015497</v>
      </c>
      <c r="E575" s="19">
        <v>6</v>
      </c>
      <c r="F575" s="20" t="str">
        <f t="shared" si="294"/>
        <v>N   912 184 01</v>
      </c>
      <c r="G575" s="21">
        <v>970695000</v>
      </c>
      <c r="H575" s="17">
        <f t="shared" si="295"/>
        <v>1.7250000000000001E-2</v>
      </c>
      <c r="I575" s="20"/>
      <c r="J575" s="17">
        <f t="shared" si="296"/>
        <v>800</v>
      </c>
      <c r="K575" s="17">
        <f t="shared" si="297"/>
        <v>0</v>
      </c>
      <c r="L575" s="22">
        <v>20</v>
      </c>
      <c r="M575" s="22">
        <v>60</v>
      </c>
      <c r="N575" s="22" t="s">
        <v>155</v>
      </c>
      <c r="O575" s="22" t="str">
        <f t="shared" si="298"/>
        <v>001210</v>
      </c>
      <c r="P575" s="22">
        <f t="shared" si="299"/>
        <v>55</v>
      </c>
      <c r="Q575" s="22"/>
      <c r="R575" s="23" t="s">
        <v>153</v>
      </c>
      <c r="S575" s="22">
        <f t="shared" si="300"/>
        <v>0.56999999999999995</v>
      </c>
      <c r="T575" s="24">
        <f t="shared" si="301"/>
        <v>0</v>
      </c>
      <c r="U575" s="25">
        <f t="shared" si="302"/>
        <v>2</v>
      </c>
      <c r="V575" s="26" t="str">
        <f t="shared" si="303"/>
        <v/>
      </c>
    </row>
    <row r="576" spans="1:22" ht="48" customHeight="1" x14ac:dyDescent="0.25">
      <c r="A576" s="17" t="str">
        <f>VLOOKUP(C576,[1]Werke!$A$1:$C$168,3,0)</f>
        <v>3T</v>
      </c>
      <c r="B576" s="17" t="str">
        <f>VLOOKUP(C576,[1]Werke!$A$1:$C$168,2,0)</f>
        <v>BZ5</v>
      </c>
      <c r="C576" s="18" t="s">
        <v>242</v>
      </c>
      <c r="D576" s="17">
        <f>VLOOKUP(C576,[1]Maliteslimalan!$A$1:$B$210,2,0)</f>
        <v>8000012711</v>
      </c>
      <c r="E576" s="19">
        <v>6</v>
      </c>
      <c r="F576" s="20" t="str">
        <f t="shared" si="294"/>
        <v>N   912 184 01</v>
      </c>
      <c r="G576" s="21">
        <v>970695000</v>
      </c>
      <c r="H576" s="17">
        <f t="shared" si="295"/>
        <v>1.7250000000000001E-2</v>
      </c>
      <c r="I576" s="20"/>
      <c r="J576" s="17">
        <f t="shared" si="296"/>
        <v>800</v>
      </c>
      <c r="K576" s="17">
        <f t="shared" si="297"/>
        <v>0</v>
      </c>
      <c r="L576" s="22">
        <v>10</v>
      </c>
      <c r="M576" s="22">
        <v>30</v>
      </c>
      <c r="N576" s="22">
        <v>111444</v>
      </c>
      <c r="O576" s="22" t="str">
        <f t="shared" si="298"/>
        <v>001006</v>
      </c>
      <c r="P576" s="22">
        <f t="shared" si="299"/>
        <v>34</v>
      </c>
      <c r="Q576" s="22"/>
      <c r="R576" s="23" t="s">
        <v>153</v>
      </c>
      <c r="S576" s="22">
        <f t="shared" si="300"/>
        <v>0.56999999999999995</v>
      </c>
      <c r="T576" s="24">
        <f t="shared" si="301"/>
        <v>0</v>
      </c>
      <c r="U576" s="25">
        <f t="shared" si="302"/>
        <v>2</v>
      </c>
      <c r="V576" s="26" t="str">
        <f t="shared" si="303"/>
        <v/>
      </c>
    </row>
    <row r="577" spans="1:22" ht="48" customHeight="1" x14ac:dyDescent="0.25">
      <c r="A577" s="17">
        <f>VLOOKUP(C577,[1]Werke!$A$1:$C$168,3,0)</f>
        <v>49</v>
      </c>
      <c r="B577" s="17" t="str">
        <f>VLOOKUP(C577,[1]Werke!$A$1:$C$168,2,0)</f>
        <v>T03</v>
      </c>
      <c r="C577" s="18" t="s">
        <v>222</v>
      </c>
      <c r="D577" s="17" t="str">
        <f>VLOOKUP(C577,[1]Maliteslimalan!$A$1:$B$210,2,0)</f>
        <v>8000013725</v>
      </c>
      <c r="E577" s="19">
        <f>VLOOKUP(C577,[1]Bestellnr.!$A$1:$B$174,2,0)</f>
        <v>0</v>
      </c>
      <c r="F577" s="20" t="str">
        <f t="shared" si="294"/>
        <v>N   912 184 01</v>
      </c>
      <c r="G577" s="21">
        <v>970695000</v>
      </c>
      <c r="H577" s="17">
        <f t="shared" si="295"/>
        <v>1.7250000000000001E-2</v>
      </c>
      <c r="I577" s="20"/>
      <c r="J577" s="17">
        <f t="shared" si="296"/>
        <v>800</v>
      </c>
      <c r="K577" s="17">
        <f t="shared" si="297"/>
        <v>0</v>
      </c>
      <c r="L577" s="22">
        <v>20</v>
      </c>
      <c r="M577" s="22">
        <v>20</v>
      </c>
      <c r="N577" s="22" t="s">
        <v>155</v>
      </c>
      <c r="O577" s="22" t="str">
        <f t="shared" si="298"/>
        <v>001210</v>
      </c>
      <c r="P577" s="22">
        <f t="shared" si="299"/>
        <v>55</v>
      </c>
      <c r="Q577" s="22"/>
      <c r="R577" s="23" t="s">
        <v>153</v>
      </c>
      <c r="S577" s="22">
        <f t="shared" si="300"/>
        <v>0.56999999999999995</v>
      </c>
      <c r="T577" s="24">
        <f t="shared" si="301"/>
        <v>0</v>
      </c>
      <c r="U577" s="25">
        <f t="shared" si="302"/>
        <v>2</v>
      </c>
      <c r="V577" s="26" t="str">
        <f t="shared" si="303"/>
        <v/>
      </c>
    </row>
    <row r="578" spans="1:22" ht="48" customHeight="1" x14ac:dyDescent="0.25">
      <c r="A578" s="17">
        <f>VLOOKUP(C578,[1]Werke!$A$1:$C$168,3,0)</f>
        <v>14</v>
      </c>
      <c r="B578" s="17" t="str">
        <f>VLOOKUP(C578,[1]Werke!$A$1:$C$168,2,0)</f>
        <v>D72</v>
      </c>
      <c r="C578" s="18" t="s">
        <v>220</v>
      </c>
      <c r="D578" s="17" t="str">
        <f>VLOOKUP(C578,[1]Maliteslimalan!$A$1:$B$210,2,0)</f>
        <v>8000013493</v>
      </c>
      <c r="E578" s="19">
        <f>VLOOKUP(C578,[1]Bestellnr.!$A$1:$B$174,2,0)</f>
        <v>0</v>
      </c>
      <c r="F578" s="20" t="str">
        <f t="shared" si="294"/>
        <v>N   912 184 01</v>
      </c>
      <c r="G578" s="21">
        <v>970695000</v>
      </c>
      <c r="H578" s="17">
        <f t="shared" si="295"/>
        <v>1.7250000000000001E-2</v>
      </c>
      <c r="I578" s="20"/>
      <c r="J578" s="17">
        <v>600</v>
      </c>
      <c r="K578" s="17">
        <f t="shared" si="297"/>
        <v>0</v>
      </c>
      <c r="L578" s="22">
        <v>10</v>
      </c>
      <c r="M578" s="22">
        <v>20</v>
      </c>
      <c r="N578" s="22">
        <v>111444</v>
      </c>
      <c r="O578" s="22" t="str">
        <f t="shared" si="298"/>
        <v>001006</v>
      </c>
      <c r="P578" s="22">
        <f t="shared" si="299"/>
        <v>34</v>
      </c>
      <c r="Q578" s="22"/>
      <c r="R578" s="23" t="s">
        <v>153</v>
      </c>
      <c r="S578" s="22">
        <f t="shared" si="300"/>
        <v>0.56999999999999995</v>
      </c>
      <c r="T578" s="24">
        <f t="shared" si="301"/>
        <v>0</v>
      </c>
      <c r="U578" s="25">
        <f t="shared" si="302"/>
        <v>2</v>
      </c>
      <c r="V578" s="26" t="str">
        <f t="shared" si="303"/>
        <v/>
      </c>
    </row>
    <row r="579" spans="1:22" ht="48" customHeight="1" x14ac:dyDescent="0.25">
      <c r="A579" s="17"/>
      <c r="B579" s="17"/>
      <c r="C579" s="18"/>
      <c r="D579" s="17"/>
      <c r="E579" s="19"/>
      <c r="F579" s="20"/>
      <c r="G579" s="21"/>
      <c r="H579" s="17"/>
      <c r="I579" s="20"/>
      <c r="J579" s="17"/>
      <c r="K579" s="17"/>
      <c r="L579" s="22"/>
      <c r="M579" s="22"/>
      <c r="N579" s="22"/>
      <c r="O579" s="22"/>
      <c r="P579" s="22"/>
      <c r="Q579" s="22"/>
      <c r="R579" s="23"/>
      <c r="S579" s="22"/>
      <c r="T579" s="24"/>
      <c r="U579" s="25"/>
    </row>
    <row r="580" spans="1:22" ht="48.2" customHeight="1" x14ac:dyDescent="0.25">
      <c r="A580" s="17">
        <f>VLOOKUP(C580,[1]Werke!$A$1:$C$168,3,0)</f>
        <v>69</v>
      </c>
      <c r="B580" s="17" t="str">
        <f>VLOOKUP(C580,[1]Werke!$A$1:$C$168,2,0)</f>
        <v>AKL</v>
      </c>
      <c r="C580" s="18" t="s">
        <v>305</v>
      </c>
      <c r="D580" s="17">
        <f>VLOOKUP(C580,[1]Maliteslimalan!$A$1:$B$210,2,0)</f>
        <v>8000017492</v>
      </c>
      <c r="E580" s="19">
        <v>6</v>
      </c>
      <c r="F580" s="20" t="str">
        <f>VLOOKUP(G580,$U$1:$V$1730,2,0)</f>
        <v>N   106 296 01</v>
      </c>
      <c r="G580" s="21">
        <v>940893000</v>
      </c>
      <c r="H580" s="17">
        <f>VLOOKUP(G580,Z$2:AA$1905,2,FALSE)</f>
        <v>3.4320000000000003E-2</v>
      </c>
      <c r="I580" s="20"/>
      <c r="J580" s="17">
        <f>VLOOKUP(G580,W$2:X$1905,2,FALSE)</f>
        <v>400</v>
      </c>
      <c r="K580" s="17">
        <f>I580/J580</f>
        <v>0</v>
      </c>
      <c r="L580" s="22">
        <v>10</v>
      </c>
      <c r="M580" s="22">
        <v>10</v>
      </c>
      <c r="N580" s="22">
        <v>111444</v>
      </c>
      <c r="O580" s="22" t="str">
        <f>VLOOKUP(N580,$AL$1285:$AM$1310,2,FALSE)</f>
        <v>001006</v>
      </c>
      <c r="P580" s="22">
        <f>VLOOKUP(N580,AC$2:AD$1905,2,FALSE)</f>
        <v>34</v>
      </c>
      <c r="Q580" s="22"/>
      <c r="R580" s="23" t="s">
        <v>153</v>
      </c>
      <c r="S580" s="22">
        <f>VLOOKUP(R580,AC$2:AD$1905,2,FALSE)</f>
        <v>0.56999999999999995</v>
      </c>
      <c r="T580" s="24">
        <f>(H580*I580)+P580*Q580+S580*K580</f>
        <v>0</v>
      </c>
      <c r="U580" s="25">
        <f>IF(TRIM(N580&amp;"")="111444",
    IF(ROUNDUP(MAX(0,K580-(MAX(1,Q580)-1)*10)/10,0)=1,3,2),
    IF(TRIM(N580&amp;"")="VWPAL",
        IF(TRIM(R580&amp;"")="004147",1,2),
        ""
    )
)</f>
        <v>2</v>
      </c>
      <c r="V580" s="26" t="str">
        <f>IF(OR(TRIM(N580&amp;"")="111444",TRIM(N580&amp;"")="VWPAL"),
    IF(K580&lt;=0,"",
        IF(
            MIN(3,ROUNDUP(MAX(0,K580-(MAX(1,Q580)-1)*IF(TRIM(N580&amp;"")="111444",10,20))/IF(TRIM(N580&amp;"")="111444",10,20),0))=1,
            300,
            IF(
                MIN(3,ROUNDUP(MAX(0,K580-(MAX(1,Q580)-1)*IF(TRIM(N580&amp;"")="111444",10,20))/IF(TRIM(N580&amp;"")="111444",10,20),0))=2,
                450,
                600
            )
        )
    ),
    ""
)</f>
        <v/>
      </c>
    </row>
    <row r="581" spans="1:22" ht="48.2" customHeight="1" x14ac:dyDescent="0.25">
      <c r="A581" s="17">
        <f>VLOOKUP(C581,[1]Werke!$A$1:$C$168,3,0)</f>
        <v>34</v>
      </c>
      <c r="B581" s="17" t="str">
        <f>VLOOKUP(C581,[1]Werke!$A$1:$C$168,2,0)</f>
        <v>01</v>
      </c>
      <c r="C581" s="18" t="s">
        <v>280</v>
      </c>
      <c r="D581" s="17" t="str">
        <f>VLOOKUP(C581,[1]Maliteslimalan!$A$1:$B$210,2,0)</f>
        <v>8000012622</v>
      </c>
      <c r="E581" s="19">
        <f>VLOOKUP(C581,[1]Bestellnr.!$A$1:$B$174,2,0)</f>
        <v>0</v>
      </c>
      <c r="F581" s="20" t="str">
        <f>VLOOKUP(G581,$U$1:$V$1730,2,0)</f>
        <v>N   106 296 01</v>
      </c>
      <c r="G581" s="21">
        <v>940893000</v>
      </c>
      <c r="H581" s="17">
        <f>VLOOKUP(G581,Z$2:AA$1905,2,FALSE)</f>
        <v>3.4320000000000003E-2</v>
      </c>
      <c r="I581" s="20"/>
      <c r="J581" s="17">
        <f>VLOOKUP(G581,W$2:X$1905,2,FALSE)</f>
        <v>400</v>
      </c>
      <c r="K581" s="17">
        <f>I581/J581</f>
        <v>0</v>
      </c>
      <c r="L581" s="22">
        <v>10</v>
      </c>
      <c r="M581" s="22">
        <v>30</v>
      </c>
      <c r="N581" s="22">
        <v>111444</v>
      </c>
      <c r="O581" s="22" t="str">
        <f>VLOOKUP(N581,$AL$1285:$AM$1310,2,FALSE)</f>
        <v>001006</v>
      </c>
      <c r="P581" s="22">
        <f>VLOOKUP(N581,AC$2:AD$1905,2,FALSE)</f>
        <v>34</v>
      </c>
      <c r="Q581" s="22"/>
      <c r="R581" s="23" t="s">
        <v>153</v>
      </c>
      <c r="S581" s="22">
        <f>VLOOKUP(R581,AC$2:AD$1905,2,FALSE)</f>
        <v>0.56999999999999995</v>
      </c>
      <c r="T581" s="24">
        <f>(H581*I581)+P581*Q581+S581*K581</f>
        <v>0</v>
      </c>
      <c r="U581" s="25">
        <f>IF(TRIM(N581&amp;"")="111444",
    IF(ROUNDUP(MAX(0,K581-(MAX(1,Q581)-1)*10)/10,0)=1,3,2),
    IF(TRIM(N581&amp;"")="VWPAL",
        IF(TRIM(R581&amp;"")="004147",1,2),
        ""
    )
)</f>
        <v>2</v>
      </c>
      <c r="V581" s="26" t="str">
        <f>IF(OR(TRIM(N581&amp;"")="111444",TRIM(N581&amp;"")="VWPAL"),
    IF(K581&lt;=0,"",
        IF(
            MIN(3,ROUNDUP(MAX(0,K581-(MAX(1,Q581)-1)*IF(TRIM(N581&amp;"")="111444",10,20))/IF(TRIM(N581&amp;"")="111444",10,20),0))=1,
            300,
            IF(
                MIN(3,ROUNDUP(MAX(0,K581-(MAX(1,Q581)-1)*IF(TRIM(N581&amp;"")="111444",10,20))/IF(TRIM(N581&amp;"")="111444",10,20),0))=2,
                450,
                600
            )
        )
    ),
    ""
)</f>
        <v/>
      </c>
    </row>
    <row r="582" spans="1:22" ht="48.2" customHeight="1" x14ac:dyDescent="0.25">
      <c r="A582" s="17">
        <f>VLOOKUP(C582,[1]Werke!$A$1:$C$168,3,0)</f>
        <v>14</v>
      </c>
      <c r="B582" s="17" t="str">
        <f>VLOOKUP(C582,[1]Werke!$A$1:$C$168,2,0)</f>
        <v>D85</v>
      </c>
      <c r="C582" s="18" t="s">
        <v>239</v>
      </c>
      <c r="D582" s="17" t="str">
        <f>VLOOKUP(C582,[1]Maliteslimalan!$A$1:$B$210,2,0)</f>
        <v>8000012682</v>
      </c>
      <c r="E582" s="19">
        <f>VLOOKUP(C582,[1]Bestellnr.!$A$1:$B$174,2,0)</f>
        <v>0</v>
      </c>
      <c r="F582" s="20" t="str">
        <f>VLOOKUP(G582,$U$1:$V$1730,2,0)</f>
        <v>N   106 296 01</v>
      </c>
      <c r="G582" s="21">
        <v>940893000</v>
      </c>
      <c r="H582" s="17">
        <f>VLOOKUP(G582,Z$2:AA$1905,2,FALSE)</f>
        <v>3.4320000000000003E-2</v>
      </c>
      <c r="I582" s="20"/>
      <c r="J582" s="17">
        <v>300</v>
      </c>
      <c r="K582" s="17">
        <f>I582/J582</f>
        <v>0</v>
      </c>
      <c r="L582" s="22">
        <v>10</v>
      </c>
      <c r="M582" s="22">
        <v>30</v>
      </c>
      <c r="N582" s="22">
        <v>111444</v>
      </c>
      <c r="O582" s="22" t="str">
        <f>VLOOKUP(N582,$AL$1285:$AM$1310,2,FALSE)</f>
        <v>001006</v>
      </c>
      <c r="P582" s="22">
        <f>VLOOKUP(N582,AC$2:AD$1905,2,FALSE)</f>
        <v>34</v>
      </c>
      <c r="Q582" s="22"/>
      <c r="R582" s="23" t="s">
        <v>153</v>
      </c>
      <c r="S582" s="22">
        <f>VLOOKUP(R582,AC$2:AD$1905,2,FALSE)</f>
        <v>0.56999999999999995</v>
      </c>
      <c r="T582" s="24">
        <f>(H582*I582)+P582*Q582+S582*K582</f>
        <v>0</v>
      </c>
      <c r="U582" s="25">
        <f>IF(TRIM(N582&amp;"")="111444",
    IF(ROUNDUP(MAX(0,K582-(MAX(1,Q582)-1)*10)/10,0)=1,3,2),
    IF(TRIM(N582&amp;"")="VWPAL",
        IF(TRIM(R582&amp;"")="004147",1,2),
        ""
    )
)</f>
        <v>2</v>
      </c>
      <c r="V582" s="26" t="str">
        <f>IF(OR(TRIM(N582&amp;"")="111444",TRIM(N582&amp;"")="VWPAL"),
    IF(K582&lt;=0,"",
        IF(
            MIN(3,ROUNDUP(MAX(0,K582-(MAX(1,Q582)-1)*IF(TRIM(N582&amp;"")="111444",10,20))/IF(TRIM(N582&amp;"")="111444",10,20),0))=1,
            300,
            IF(
                MIN(3,ROUNDUP(MAX(0,K582-(MAX(1,Q582)-1)*IF(TRIM(N582&amp;"")="111444",10,20))/IF(TRIM(N582&amp;"")="111444",10,20),0))=2,
                450,
                600
            )
        )
    ),
    ""
)</f>
        <v/>
      </c>
    </row>
    <row r="583" spans="1:22" ht="48.2" customHeight="1" x14ac:dyDescent="0.25">
      <c r="A583" s="17" t="str">
        <f>VLOOKUP(C583,[1]Werke!$A$1:$C$168,3,0)</f>
        <v>14S</v>
      </c>
      <c r="B583" s="17" t="str">
        <f>VLOOKUP(C583,[1]Werke!$A$1:$C$168,2,0)</f>
        <v>H26</v>
      </c>
      <c r="C583" s="18" t="s">
        <v>288</v>
      </c>
      <c r="D583" s="17">
        <f>VLOOKUP(C583,[1]Maliteslimalan!$A$1:$B$210,2,0)</f>
        <v>8000012915</v>
      </c>
      <c r="E583" s="19">
        <v>6</v>
      </c>
      <c r="F583" s="20" t="str">
        <f>VLOOKUP(G583,$U$1:$V$1730,2,0)</f>
        <v>N   106 296 01</v>
      </c>
      <c r="G583" s="21">
        <v>940893000</v>
      </c>
      <c r="H583" s="17">
        <f>VLOOKUP(G583,Z$2:AA$1905,2,FALSE)</f>
        <v>3.4320000000000003E-2</v>
      </c>
      <c r="I583" s="20"/>
      <c r="J583" s="17">
        <f>VLOOKUP(G583,W$2:X$1905,2,FALSE)</f>
        <v>400</v>
      </c>
      <c r="K583" s="17">
        <f>I583/J583</f>
        <v>0</v>
      </c>
      <c r="L583" s="22">
        <v>10</v>
      </c>
      <c r="M583" s="22">
        <v>30</v>
      </c>
      <c r="N583" s="22">
        <v>111444</v>
      </c>
      <c r="O583" s="22" t="str">
        <f>VLOOKUP(N583,$AL$1285:$AM$1310,2,FALSE)</f>
        <v>001006</v>
      </c>
      <c r="P583" s="22">
        <f>VLOOKUP(N583,AC$2:AD$1905,2,FALSE)</f>
        <v>34</v>
      </c>
      <c r="Q583" s="22"/>
      <c r="R583" s="23" t="s">
        <v>153</v>
      </c>
      <c r="S583" s="22">
        <f>VLOOKUP(R583,AC$2:AD$1905,2,FALSE)</f>
        <v>0.56999999999999995</v>
      </c>
      <c r="T583" s="24">
        <f>(H583*I583)+P583*Q583+S583*K583</f>
        <v>0</v>
      </c>
      <c r="U583" s="25">
        <f>IF(TRIM(N583&amp;"")="111444",
    IF(ROUNDUP(MAX(0,K583-(MAX(1,Q583)-1)*10)/10,0)=1,3,2),
    IF(TRIM(N583&amp;"")="VWPAL",
        IF(TRIM(R583&amp;"")="004147",1,2),
        ""
    )
)</f>
        <v>2</v>
      </c>
      <c r="V583" s="26" t="str">
        <f>IF(OR(TRIM(N583&amp;"")="111444",TRIM(N583&amp;"")="VWPAL"),
    IF(K583&lt;=0,"",
        IF(
            MIN(3,ROUNDUP(MAX(0,K583-(MAX(1,Q583)-1)*IF(TRIM(N583&amp;"")="111444",10,20))/IF(TRIM(N583&amp;"")="111444",10,20),0))=1,
            300,
            IF(
                MIN(3,ROUNDUP(MAX(0,K583-(MAX(1,Q583)-1)*IF(TRIM(N583&amp;"")="111444",10,20))/IF(TRIM(N583&amp;"")="111444",10,20),0))=2,
                450,
                600
            )
        )
    ),
    ""
)</f>
        <v/>
      </c>
    </row>
    <row r="584" spans="1:22" ht="48.2" customHeight="1" x14ac:dyDescent="0.25">
      <c r="A584" s="17" t="str">
        <f>VLOOKUP(C584,[1]Werke!$A$1:$C$168,3,0)</f>
        <v>26D</v>
      </c>
      <c r="B584" s="17" t="str">
        <f>VLOOKUP(C584,[1]Werke!$A$1:$C$168,2,0)</f>
        <v>G18</v>
      </c>
      <c r="C584" s="18" t="s">
        <v>272</v>
      </c>
      <c r="D584" s="17" t="str">
        <f>VLOOKUP(C584,[1]Maliteslimalan!$A$1:$B$210,2,0)</f>
        <v>8000012580</v>
      </c>
      <c r="E584" s="19">
        <f>VLOOKUP(C584,[1]Bestellnr.!$A$1:$B$174,2,0)</f>
        <v>0</v>
      </c>
      <c r="F584" s="20" t="str">
        <f>VLOOKUP(G584,$U$1:$V$1730,2,0)</f>
        <v>N   106 296 01</v>
      </c>
      <c r="G584" s="21">
        <v>940893000</v>
      </c>
      <c r="H584" s="17">
        <f>VLOOKUP(G584,Z$2:AA$1905,2,FALSE)</f>
        <v>3.4320000000000003E-2</v>
      </c>
      <c r="I584" s="20"/>
      <c r="J584" s="17">
        <f>VLOOKUP(G584,W$2:X$1905,2,FALSE)</f>
        <v>400</v>
      </c>
      <c r="K584" s="17">
        <f>I584/J584</f>
        <v>0</v>
      </c>
      <c r="L584" s="22">
        <v>20</v>
      </c>
      <c r="M584" s="22">
        <v>60</v>
      </c>
      <c r="N584" s="22" t="s">
        <v>155</v>
      </c>
      <c r="O584" s="22" t="str">
        <f>VLOOKUP(N584,$AL$1285:$AM$1310,2,FALSE)</f>
        <v>001210</v>
      </c>
      <c r="P584" s="22">
        <f>VLOOKUP(N584,AC$2:AD$1905,2,FALSE)</f>
        <v>55</v>
      </c>
      <c r="Q584" s="22"/>
      <c r="R584" s="23" t="s">
        <v>153</v>
      </c>
      <c r="S584" s="22">
        <f>VLOOKUP(R584,AC$2:AD$1905,2,FALSE)</f>
        <v>0.56999999999999995</v>
      </c>
      <c r="T584" s="24">
        <f>(H584*I584)+P584*Q584+S584*K584</f>
        <v>0</v>
      </c>
      <c r="U584" s="25">
        <f>IF(TRIM(N584&amp;"")="111444",
    IF(ROUNDUP(MAX(0,K584-(MAX(1,Q584)-1)*10)/10,0)=1,3,2),
    IF(TRIM(N584&amp;"")="VWPAL",
        IF(TRIM(R584&amp;"")="004147",1,2),
        ""
    )
)</f>
        <v>2</v>
      </c>
      <c r="V584" s="26" t="str">
        <f>IF(OR(TRIM(N584&amp;"")="111444",TRIM(N584&amp;"")="VWPAL"),
    IF(K584&lt;=0,"",
        IF(
            MIN(3,ROUNDUP(MAX(0,K584-(MAX(1,Q584)-1)*IF(TRIM(N584&amp;"")="111444",10,20))/IF(TRIM(N584&amp;"")="111444",10,20),0))=1,
            300,
            IF(
                MIN(3,ROUNDUP(MAX(0,K584-(MAX(1,Q584)-1)*IF(TRIM(N584&amp;"")="111444",10,20))/IF(TRIM(N584&amp;"")="111444",10,20),0))=2,
                450,
                600
            )
        )
    ),
    ""
)</f>
        <v/>
      </c>
    </row>
    <row r="585" spans="1:22" ht="48.2" customHeight="1" x14ac:dyDescent="0.25">
      <c r="A585" s="17"/>
      <c r="B585" s="17"/>
      <c r="C585" s="18"/>
      <c r="D585" s="17"/>
      <c r="E585" s="19"/>
      <c r="F585" s="20"/>
      <c r="G585" s="21"/>
      <c r="H585" s="17"/>
      <c r="I585" s="20"/>
      <c r="J585" s="17"/>
      <c r="K585" s="17"/>
      <c r="L585" s="22"/>
      <c r="M585" s="22"/>
      <c r="N585" s="22"/>
      <c r="O585" s="22"/>
      <c r="P585" s="22"/>
      <c r="Q585" s="22"/>
      <c r="R585" s="23"/>
      <c r="S585" s="22"/>
      <c r="T585" s="24"/>
      <c r="U585" s="25"/>
    </row>
    <row r="586" spans="1:22" ht="48" customHeight="1" x14ac:dyDescent="0.25">
      <c r="A586" s="17">
        <f>VLOOKUP(C586,[1]Werke!$A$1:$C$168,3,0)</f>
        <v>21</v>
      </c>
      <c r="B586" s="17" t="str">
        <f>VLOOKUP(C586,[1]Werke!$A$1:$C$168,2,0)</f>
        <v>GZD</v>
      </c>
      <c r="C586" s="18" t="s">
        <v>154</v>
      </c>
      <c r="D586" s="17" t="str">
        <f>VLOOKUP(C586,[1]Maliteslimalan!$A$1:$B$210,2,0)</f>
        <v>8000012572</v>
      </c>
      <c r="E586" s="19" t="str">
        <f>VLOOKUP(C586,[1]Bestellnr.!$A$1:$B$174,2,0)</f>
        <v>000006</v>
      </c>
      <c r="F586" s="20" t="str">
        <f t="shared" ref="F586:F599" si="304">VLOOKUP(G586,$U$1:$V$1730,2,0)</f>
        <v>N   912 862 01</v>
      </c>
      <c r="G586" s="21">
        <v>110000102</v>
      </c>
      <c r="H586" s="17">
        <f t="shared" ref="H586:H599" si="305">VLOOKUP(G586,Z$2:AA$1905,2,FALSE)</f>
        <v>2.4479999999999998E-2</v>
      </c>
      <c r="I586" s="20"/>
      <c r="J586" s="17">
        <f t="shared" ref="J586:J599" si="306">VLOOKUP(G586,W$2:X$1905,2,FALSE)</f>
        <v>500</v>
      </c>
      <c r="K586" s="17">
        <f t="shared" ref="K586:K599" si="307">I586/J586</f>
        <v>0</v>
      </c>
      <c r="L586" s="22">
        <v>20</v>
      </c>
      <c r="M586" s="22">
        <v>20</v>
      </c>
      <c r="N586" s="22" t="s">
        <v>155</v>
      </c>
      <c r="O586" s="22" t="str">
        <f t="shared" ref="O586:O599" si="308">VLOOKUP(N586,$AL$1285:$AM$1310,2,FALSE)</f>
        <v>001210</v>
      </c>
      <c r="P586" s="22">
        <f t="shared" ref="P586:P599" si="309">VLOOKUP(N586,AC$2:AD$1905,2,FALSE)</f>
        <v>55</v>
      </c>
      <c r="Q586" s="22"/>
      <c r="R586" s="23" t="s">
        <v>153</v>
      </c>
      <c r="S586" s="22">
        <f t="shared" ref="S586:S599" si="310">VLOOKUP(R586,AC$2:AD$1905,2,FALSE)</f>
        <v>0.56999999999999995</v>
      </c>
      <c r="T586" s="24">
        <f t="shared" ref="T586:T599" si="311">(H586*I586)+P586*Q586+S586*K586</f>
        <v>0</v>
      </c>
      <c r="U586" s="25">
        <f t="shared" ref="U586:U599" si="312">IF(TRIM(N586&amp;"")="111444",
    IF(ROUNDUP(MAX(0,K586-(MAX(1,Q586)-1)*10)/10,0)=1,3,2),
    IF(TRIM(N586&amp;"")="VWPAL",
        IF(TRIM(R586&amp;"")="004147",1,2),
        ""
    )
)</f>
        <v>2</v>
      </c>
      <c r="V586" s="26" t="str">
        <f t="shared" ref="V586:V599" si="313">IF(OR(TRIM(N586&amp;"")="111444",TRIM(N586&amp;"")="VWPAL"),
    IF(K586&lt;=0,"",
        IF(
            MIN(3,ROUNDUP(MAX(0,K586-(MAX(1,Q586)-1)*IF(TRIM(N586&amp;"")="111444",10,20))/IF(TRIM(N586&amp;"")="111444",10,20),0))=1,
            300,
            IF(
                MIN(3,ROUNDUP(MAX(0,K586-(MAX(1,Q586)-1)*IF(TRIM(N586&amp;"")="111444",10,20))/IF(TRIM(N586&amp;"")="111444",10,20),0))=2,
                450,
                600
            )
        )
    ),
    ""
)</f>
        <v/>
      </c>
    </row>
    <row r="587" spans="1:22" ht="48" customHeight="1" x14ac:dyDescent="0.25">
      <c r="A587" s="17" t="str">
        <f>VLOOKUP(C587,[1]Werke!$A$1:$C$168,3,0)</f>
        <v>CP</v>
      </c>
      <c r="B587" s="17" t="str">
        <f>VLOOKUP(C587,[1]Werke!$A$1:$C$168,2,0)</f>
        <v>BAE</v>
      </c>
      <c r="C587" s="18" t="s">
        <v>300</v>
      </c>
      <c r="D587" s="17" t="str">
        <f>VLOOKUP(C587,[1]Maliteslimalan!$A$1:$B$210,2,0)</f>
        <v>8000012884</v>
      </c>
      <c r="E587" s="19" t="str">
        <f>VLOOKUP(C587,[1]Bestellnr.!$A$1:$B$174,2,0)</f>
        <v>000006</v>
      </c>
      <c r="F587" s="20" t="str">
        <f t="shared" si="304"/>
        <v>N   912 862 01</v>
      </c>
      <c r="G587" s="21">
        <v>110000102</v>
      </c>
      <c r="H587" s="17">
        <f t="shared" si="305"/>
        <v>2.4479999999999998E-2</v>
      </c>
      <c r="I587" s="20"/>
      <c r="J587" s="17">
        <f t="shared" si="306"/>
        <v>500</v>
      </c>
      <c r="K587" s="17">
        <f t="shared" si="307"/>
        <v>0</v>
      </c>
      <c r="L587" s="22">
        <v>10</v>
      </c>
      <c r="M587" s="22">
        <v>30</v>
      </c>
      <c r="N587" s="22">
        <v>111444</v>
      </c>
      <c r="O587" s="22" t="str">
        <f t="shared" si="308"/>
        <v>001006</v>
      </c>
      <c r="P587" s="22">
        <f t="shared" si="309"/>
        <v>34</v>
      </c>
      <c r="Q587" s="22"/>
      <c r="R587" s="23" t="s">
        <v>153</v>
      </c>
      <c r="S587" s="22">
        <f t="shared" si="310"/>
        <v>0.56999999999999995</v>
      </c>
      <c r="T587" s="24">
        <f t="shared" si="311"/>
        <v>0</v>
      </c>
      <c r="U587" s="25">
        <f t="shared" si="312"/>
        <v>2</v>
      </c>
      <c r="V587" s="26" t="str">
        <f t="shared" si="313"/>
        <v/>
      </c>
    </row>
    <row r="588" spans="1:22" ht="48" customHeight="1" x14ac:dyDescent="0.25">
      <c r="A588" s="17" t="str">
        <f>VLOOKUP(C588,[1]Werke!$A$1:$C$168,3,0)</f>
        <v>UN</v>
      </c>
      <c r="B588" s="17" t="str">
        <f>VLOOKUP(C588,[1]Werke!$A$1:$C$168,2,0)</f>
        <v>MMM</v>
      </c>
      <c r="C588" s="18" t="s">
        <v>301</v>
      </c>
      <c r="D588" s="17" t="str">
        <f>VLOOKUP(C588,[1]Maliteslimalan!$A$1:$B$210,2,0)</f>
        <v>8000012900</v>
      </c>
      <c r="E588" s="19" t="str">
        <f>VLOOKUP(C588,[1]Bestellnr.!$A$1:$B$174,2,0)</f>
        <v>000006</v>
      </c>
      <c r="F588" s="20" t="str">
        <f t="shared" si="304"/>
        <v>N   912 862 01</v>
      </c>
      <c r="G588" s="21">
        <v>110000102</v>
      </c>
      <c r="H588" s="17">
        <f t="shared" si="305"/>
        <v>2.4479999999999998E-2</v>
      </c>
      <c r="I588" s="20"/>
      <c r="J588" s="17">
        <f t="shared" si="306"/>
        <v>500</v>
      </c>
      <c r="K588" s="17">
        <f t="shared" si="307"/>
        <v>0</v>
      </c>
      <c r="L588" s="22">
        <v>10</v>
      </c>
      <c r="M588" s="22">
        <v>30</v>
      </c>
      <c r="N588" s="22">
        <v>111444</v>
      </c>
      <c r="O588" s="22" t="str">
        <f t="shared" si="308"/>
        <v>001006</v>
      </c>
      <c r="P588" s="22">
        <f t="shared" si="309"/>
        <v>34</v>
      </c>
      <c r="Q588" s="22"/>
      <c r="R588" s="23" t="s">
        <v>153</v>
      </c>
      <c r="S588" s="22">
        <f t="shared" si="310"/>
        <v>0.56999999999999995</v>
      </c>
      <c r="T588" s="24">
        <f t="shared" si="311"/>
        <v>0</v>
      </c>
      <c r="U588" s="25">
        <f t="shared" si="312"/>
        <v>2</v>
      </c>
      <c r="V588" s="26" t="str">
        <f t="shared" si="313"/>
        <v/>
      </c>
    </row>
    <row r="589" spans="1:22" ht="48" customHeight="1" x14ac:dyDescent="0.25">
      <c r="A589" s="17">
        <f>VLOOKUP(C589,[1]Werke!$A$1:$C$168,3,0)</f>
        <v>31</v>
      </c>
      <c r="B589" s="17" t="str">
        <f>VLOOKUP(C589,[1]Werke!$A$1:$C$168,2,0)</f>
        <v>BH7</v>
      </c>
      <c r="C589" s="18" t="s">
        <v>250</v>
      </c>
      <c r="D589" s="17">
        <f>VLOOKUP(C589,[1]Maliteslimalan!$A$1:$B$210,2,0)</f>
        <v>8000015577</v>
      </c>
      <c r="E589" s="19">
        <v>6</v>
      </c>
      <c r="F589" s="20" t="str">
        <f t="shared" si="304"/>
        <v>N   912 862 01</v>
      </c>
      <c r="G589" s="21">
        <v>110000102</v>
      </c>
      <c r="H589" s="17">
        <f t="shared" si="305"/>
        <v>2.4479999999999998E-2</v>
      </c>
      <c r="I589" s="20"/>
      <c r="J589" s="17">
        <f t="shared" si="306"/>
        <v>500</v>
      </c>
      <c r="K589" s="17">
        <f t="shared" si="307"/>
        <v>0</v>
      </c>
      <c r="L589" s="22">
        <v>10</v>
      </c>
      <c r="M589" s="22">
        <v>10</v>
      </c>
      <c r="N589" s="22">
        <v>111444</v>
      </c>
      <c r="O589" s="22" t="str">
        <f t="shared" si="308"/>
        <v>001006</v>
      </c>
      <c r="P589" s="22">
        <f t="shared" si="309"/>
        <v>34</v>
      </c>
      <c r="Q589" s="22"/>
      <c r="R589" s="23" t="s">
        <v>153</v>
      </c>
      <c r="S589" s="22">
        <f t="shared" si="310"/>
        <v>0.56999999999999995</v>
      </c>
      <c r="T589" s="24">
        <f t="shared" si="311"/>
        <v>0</v>
      </c>
      <c r="U589" s="25">
        <f t="shared" si="312"/>
        <v>2</v>
      </c>
      <c r="V589" s="26" t="str">
        <f t="shared" si="313"/>
        <v/>
      </c>
    </row>
    <row r="590" spans="1:22" ht="48" customHeight="1" x14ac:dyDescent="0.25">
      <c r="A590" s="17">
        <f>VLOOKUP(C590,[1]Werke!$A$1:$C$168,3,0)</f>
        <v>24</v>
      </c>
      <c r="B590" s="17" t="str">
        <f>VLOOKUP(C590,[1]Werke!$A$1:$C$168,2,0)</f>
        <v>CKH</v>
      </c>
      <c r="C590" s="18" t="s">
        <v>224</v>
      </c>
      <c r="D590" s="17">
        <f>VLOOKUP(C590,[1]Maliteslimalan!$A$1:$B$210,2,0)</f>
        <v>8000013551</v>
      </c>
      <c r="E590" s="19">
        <v>6</v>
      </c>
      <c r="F590" s="20" t="str">
        <f t="shared" si="304"/>
        <v>N   912 862 01</v>
      </c>
      <c r="G590" s="21">
        <v>110000102</v>
      </c>
      <c r="H590" s="17">
        <f t="shared" si="305"/>
        <v>2.4479999999999998E-2</v>
      </c>
      <c r="I590" s="20"/>
      <c r="J590" s="17">
        <f t="shared" si="306"/>
        <v>500</v>
      </c>
      <c r="K590" s="17">
        <f t="shared" si="307"/>
        <v>0</v>
      </c>
      <c r="L590" s="22">
        <v>10</v>
      </c>
      <c r="M590" s="22">
        <v>30</v>
      </c>
      <c r="N590" s="22">
        <v>111444</v>
      </c>
      <c r="O590" s="22" t="str">
        <f t="shared" si="308"/>
        <v>001006</v>
      </c>
      <c r="P590" s="22">
        <f t="shared" si="309"/>
        <v>34</v>
      </c>
      <c r="Q590" s="22"/>
      <c r="R590" s="23" t="s">
        <v>153</v>
      </c>
      <c r="S590" s="22">
        <f t="shared" si="310"/>
        <v>0.56999999999999995</v>
      </c>
      <c r="T590" s="24">
        <f t="shared" si="311"/>
        <v>0</v>
      </c>
      <c r="U590" s="25">
        <f t="shared" si="312"/>
        <v>2</v>
      </c>
      <c r="V590" s="26" t="str">
        <f t="shared" si="313"/>
        <v/>
      </c>
    </row>
    <row r="591" spans="1:22" ht="48" customHeight="1" x14ac:dyDescent="0.25">
      <c r="A591" s="17">
        <f>VLOOKUP(C591,[1]Werke!$A$1:$C$168,3,0)</f>
        <v>49</v>
      </c>
      <c r="B591" s="17" t="str">
        <f>VLOOKUP(C591,[1]Werke!$A$1:$C$168,2,0)</f>
        <v>CT</v>
      </c>
      <c r="C591" s="18" t="s">
        <v>217</v>
      </c>
      <c r="D591" s="17" t="str">
        <f>VLOOKUP(C591,[1]Maliteslimalan!$A$1:$B$210,2,0)</f>
        <v>8000012574</v>
      </c>
      <c r="E591" s="19" t="str">
        <f>VLOOKUP(C591,[1]Bestellnr.!$A$1:$B$174,2,0)</f>
        <v>000001</v>
      </c>
      <c r="F591" s="20" t="str">
        <f t="shared" si="304"/>
        <v>N   912 862 01</v>
      </c>
      <c r="G591" s="21">
        <v>110000102</v>
      </c>
      <c r="H591" s="17">
        <f t="shared" si="305"/>
        <v>2.4479999999999998E-2</v>
      </c>
      <c r="I591" s="20"/>
      <c r="J591" s="17">
        <f t="shared" si="306"/>
        <v>500</v>
      </c>
      <c r="K591" s="17">
        <f t="shared" si="307"/>
        <v>0</v>
      </c>
      <c r="L591" s="22">
        <v>20</v>
      </c>
      <c r="M591" s="22">
        <v>60</v>
      </c>
      <c r="N591" s="22" t="s">
        <v>155</v>
      </c>
      <c r="O591" s="22" t="str">
        <f t="shared" si="308"/>
        <v>001210</v>
      </c>
      <c r="P591" s="22">
        <f t="shared" si="309"/>
        <v>55</v>
      </c>
      <c r="Q591" s="22"/>
      <c r="R591" s="23" t="s">
        <v>153</v>
      </c>
      <c r="S591" s="22">
        <f t="shared" si="310"/>
        <v>0.56999999999999995</v>
      </c>
      <c r="T591" s="24">
        <f t="shared" si="311"/>
        <v>0</v>
      </c>
      <c r="U591" s="25">
        <f t="shared" si="312"/>
        <v>2</v>
      </c>
      <c r="V591" s="26" t="str">
        <f t="shared" si="313"/>
        <v/>
      </c>
    </row>
    <row r="592" spans="1:22" ht="48" customHeight="1" x14ac:dyDescent="0.25">
      <c r="A592" s="17" t="str">
        <f>VLOOKUP(C592,[1]Werke!$A$1:$C$168,3,0)</f>
        <v>MU</v>
      </c>
      <c r="B592" s="17">
        <f>VLOOKUP(C592,[1]Werke!$A$1:$C$168,2,0)</f>
        <v>188</v>
      </c>
      <c r="C592" s="18" t="s">
        <v>302</v>
      </c>
      <c r="D592" s="17">
        <f>VLOOKUP(C592,[1]Maliteslimalan!$A$1:$B$210,2,0)</f>
        <v>8000014056</v>
      </c>
      <c r="E592" s="19">
        <v>6</v>
      </c>
      <c r="F592" s="20" t="str">
        <f t="shared" si="304"/>
        <v>N   912 862 01</v>
      </c>
      <c r="G592" s="21">
        <v>110000102</v>
      </c>
      <c r="H592" s="17">
        <f t="shared" si="305"/>
        <v>2.4479999999999998E-2</v>
      </c>
      <c r="I592" s="20"/>
      <c r="J592" s="17">
        <f t="shared" si="306"/>
        <v>500</v>
      </c>
      <c r="K592" s="17">
        <f t="shared" si="307"/>
        <v>0</v>
      </c>
      <c r="L592" s="22">
        <v>10</v>
      </c>
      <c r="M592" s="22">
        <v>30</v>
      </c>
      <c r="N592" s="22">
        <v>111444</v>
      </c>
      <c r="O592" s="22" t="str">
        <f t="shared" si="308"/>
        <v>001006</v>
      </c>
      <c r="P592" s="22">
        <f t="shared" si="309"/>
        <v>34</v>
      </c>
      <c r="Q592" s="22"/>
      <c r="R592" s="23" t="s">
        <v>153</v>
      </c>
      <c r="S592" s="22">
        <f t="shared" si="310"/>
        <v>0.56999999999999995</v>
      </c>
      <c r="T592" s="24">
        <f t="shared" si="311"/>
        <v>0</v>
      </c>
      <c r="U592" s="25">
        <f t="shared" si="312"/>
        <v>2</v>
      </c>
      <c r="V592" s="26" t="str">
        <f t="shared" si="313"/>
        <v/>
      </c>
    </row>
    <row r="593" spans="1:22" ht="48" customHeight="1" x14ac:dyDescent="0.25">
      <c r="A593" s="17" t="str">
        <f>VLOOKUP(C593,[1]Werke!$A$1:$C$168,3,0)</f>
        <v>EM</v>
      </c>
      <c r="B593" s="17" t="str">
        <f>VLOOKUP(C593,[1]Werke!$A$1:$C$168,2,0)</f>
        <v>EM3</v>
      </c>
      <c r="C593" s="18" t="s">
        <v>306</v>
      </c>
      <c r="D593" s="17" t="str">
        <f>VLOOKUP(C593,[1]Maliteslimalan!$A$1:$B$210,2,0)</f>
        <v>8000012902</v>
      </c>
      <c r="E593" s="19" t="str">
        <f>VLOOKUP(C593,[1]Bestellnr.!$A$1:$B$174,2,0)</f>
        <v>000006</v>
      </c>
      <c r="F593" s="20" t="str">
        <f t="shared" si="304"/>
        <v>N   912 862 01</v>
      </c>
      <c r="G593" s="21">
        <v>110000102</v>
      </c>
      <c r="H593" s="17">
        <f t="shared" si="305"/>
        <v>2.4479999999999998E-2</v>
      </c>
      <c r="I593" s="20"/>
      <c r="J593" s="17">
        <f t="shared" si="306"/>
        <v>500</v>
      </c>
      <c r="K593" s="17">
        <f t="shared" si="307"/>
        <v>0</v>
      </c>
      <c r="L593" s="22">
        <v>10</v>
      </c>
      <c r="M593" s="22">
        <v>30</v>
      </c>
      <c r="N593" s="22">
        <v>111444</v>
      </c>
      <c r="O593" s="22" t="str">
        <f t="shared" si="308"/>
        <v>001006</v>
      </c>
      <c r="P593" s="22">
        <f t="shared" si="309"/>
        <v>34</v>
      </c>
      <c r="Q593" s="22"/>
      <c r="R593" s="23" t="s">
        <v>153</v>
      </c>
      <c r="S593" s="22">
        <f t="shared" si="310"/>
        <v>0.56999999999999995</v>
      </c>
      <c r="T593" s="24">
        <f t="shared" si="311"/>
        <v>0</v>
      </c>
      <c r="U593" s="25">
        <f t="shared" si="312"/>
        <v>2</v>
      </c>
      <c r="V593" s="26" t="str">
        <f t="shared" si="313"/>
        <v/>
      </c>
    </row>
    <row r="594" spans="1:22" ht="48" customHeight="1" x14ac:dyDescent="0.25">
      <c r="A594" s="17" t="str">
        <f>VLOOKUP(C594,[1]Werke!$A$1:$C$168,3,0)</f>
        <v>HT</v>
      </c>
      <c r="B594" s="17">
        <f>VLOOKUP(C594,[1]Werke!$A$1:$C$168,2,0)</f>
        <v>34</v>
      </c>
      <c r="C594" s="18">
        <v>80245</v>
      </c>
      <c r="D594" s="17">
        <f>VLOOKUP(C594,[1]Maliteslimalan!$A$1:$B$210,2,0)</f>
        <v>8000012604</v>
      </c>
      <c r="E594" s="19">
        <v>6</v>
      </c>
      <c r="F594" s="20" t="str">
        <f t="shared" si="304"/>
        <v>N   912 862 01</v>
      </c>
      <c r="G594" s="21">
        <v>110000102</v>
      </c>
      <c r="H594" s="17">
        <f t="shared" si="305"/>
        <v>2.4479999999999998E-2</v>
      </c>
      <c r="I594" s="20"/>
      <c r="J594" s="17">
        <f t="shared" si="306"/>
        <v>500</v>
      </c>
      <c r="K594" s="17">
        <f t="shared" si="307"/>
        <v>0</v>
      </c>
      <c r="L594" s="22">
        <v>10</v>
      </c>
      <c r="M594" s="22">
        <v>30</v>
      </c>
      <c r="N594" s="22">
        <v>111444</v>
      </c>
      <c r="O594" s="22" t="str">
        <f t="shared" si="308"/>
        <v>001006</v>
      </c>
      <c r="P594" s="22">
        <f t="shared" si="309"/>
        <v>34</v>
      </c>
      <c r="Q594" s="22"/>
      <c r="R594" s="23" t="s">
        <v>153</v>
      </c>
      <c r="S594" s="22">
        <f t="shared" si="310"/>
        <v>0.56999999999999995</v>
      </c>
      <c r="T594" s="24">
        <f t="shared" si="311"/>
        <v>0</v>
      </c>
      <c r="U594" s="25">
        <f t="shared" si="312"/>
        <v>2</v>
      </c>
      <c r="V594" s="26" t="str">
        <f t="shared" si="313"/>
        <v/>
      </c>
    </row>
    <row r="595" spans="1:22" ht="48" customHeight="1" x14ac:dyDescent="0.25">
      <c r="A595" s="17">
        <f>VLOOKUP(C595,[1]Werke!$A$1:$C$168,3,0)</f>
        <v>14</v>
      </c>
      <c r="B595" s="17" t="str">
        <f>VLOOKUP(C595,[1]Werke!$A$1:$C$168,2,0)</f>
        <v>D72</v>
      </c>
      <c r="C595" s="18" t="s">
        <v>220</v>
      </c>
      <c r="D595" s="17" t="str">
        <f>VLOOKUP(C595,[1]Maliteslimalan!$A$1:$B$210,2,0)</f>
        <v>8000013493</v>
      </c>
      <c r="E595" s="19">
        <f>VLOOKUP(C595,[1]Bestellnr.!$A$1:$B$174,2,0)</f>
        <v>0</v>
      </c>
      <c r="F595" s="20" t="str">
        <f t="shared" si="304"/>
        <v>N   912 862 01</v>
      </c>
      <c r="G595" s="21">
        <v>110000102</v>
      </c>
      <c r="H595" s="17">
        <f t="shared" si="305"/>
        <v>2.4479999999999998E-2</v>
      </c>
      <c r="I595" s="20"/>
      <c r="J595" s="17">
        <f t="shared" si="306"/>
        <v>500</v>
      </c>
      <c r="K595" s="17">
        <f t="shared" si="307"/>
        <v>0</v>
      </c>
      <c r="L595" s="22">
        <v>10</v>
      </c>
      <c r="M595" s="22">
        <v>30</v>
      </c>
      <c r="N595" s="22">
        <v>111444</v>
      </c>
      <c r="O595" s="22" t="str">
        <f t="shared" si="308"/>
        <v>001006</v>
      </c>
      <c r="P595" s="22">
        <f t="shared" si="309"/>
        <v>34</v>
      </c>
      <c r="Q595" s="22"/>
      <c r="R595" s="23" t="s">
        <v>153</v>
      </c>
      <c r="S595" s="22">
        <f t="shared" si="310"/>
        <v>0.56999999999999995</v>
      </c>
      <c r="T595" s="24">
        <f t="shared" si="311"/>
        <v>0</v>
      </c>
      <c r="U595" s="25">
        <f t="shared" si="312"/>
        <v>2</v>
      </c>
      <c r="V595" s="26" t="str">
        <f t="shared" si="313"/>
        <v/>
      </c>
    </row>
    <row r="596" spans="1:22" ht="48" customHeight="1" x14ac:dyDescent="0.25">
      <c r="A596" s="17">
        <f>VLOOKUP(C596,[1]Werke!$A$1:$C$168,3,0)</f>
        <v>42</v>
      </c>
      <c r="B596" s="17" t="str">
        <f>VLOOKUP(C596,[1]Werke!$A$1:$C$168,2,0)</f>
        <v>CC1</v>
      </c>
      <c r="C596" s="18" t="s">
        <v>241</v>
      </c>
      <c r="D596" s="17" t="str">
        <f>VLOOKUP(C596,[1]Maliteslimalan!$A$1:$B$210,2,0)</f>
        <v>8000012577</v>
      </c>
      <c r="E596" s="19" t="str">
        <f>VLOOKUP(C596,[1]Bestellnr.!$A$1:$B$174,2,0)</f>
        <v>000001</v>
      </c>
      <c r="F596" s="20" t="str">
        <f t="shared" si="304"/>
        <v>N   912 862 01</v>
      </c>
      <c r="G596" s="21">
        <v>110000102</v>
      </c>
      <c r="H596" s="17">
        <f t="shared" si="305"/>
        <v>2.4479999999999998E-2</v>
      </c>
      <c r="I596" s="20"/>
      <c r="J596" s="17">
        <f t="shared" si="306"/>
        <v>500</v>
      </c>
      <c r="K596" s="17">
        <f t="shared" si="307"/>
        <v>0</v>
      </c>
      <c r="L596" s="22">
        <v>20</v>
      </c>
      <c r="M596" s="22">
        <v>60</v>
      </c>
      <c r="N596" s="22" t="s">
        <v>155</v>
      </c>
      <c r="O596" s="22" t="str">
        <f t="shared" si="308"/>
        <v>001210</v>
      </c>
      <c r="P596" s="22">
        <f t="shared" si="309"/>
        <v>55</v>
      </c>
      <c r="Q596" s="22"/>
      <c r="R596" s="23" t="s">
        <v>153</v>
      </c>
      <c r="S596" s="22">
        <f t="shared" si="310"/>
        <v>0.56999999999999995</v>
      </c>
      <c r="T596" s="24">
        <f t="shared" si="311"/>
        <v>0</v>
      </c>
      <c r="U596" s="25">
        <f t="shared" si="312"/>
        <v>2</v>
      </c>
      <c r="V596" s="26" t="str">
        <f t="shared" si="313"/>
        <v/>
      </c>
    </row>
    <row r="597" spans="1:22" ht="48" customHeight="1" x14ac:dyDescent="0.25">
      <c r="A597" s="17">
        <f>VLOOKUP(C597,[1]Werke!$A$1:$C$168,3,0)</f>
        <v>42</v>
      </c>
      <c r="B597" s="17" t="str">
        <f>VLOOKUP(C597,[1]Werke!$A$1:$C$168,2,0)</f>
        <v>VS1</v>
      </c>
      <c r="C597" s="18" t="s">
        <v>307</v>
      </c>
      <c r="D597" s="17">
        <f>VLOOKUP(C597,[1]Maliteslimalan!$A$1:$B$210,2,0)</f>
        <v>8000016694</v>
      </c>
      <c r="E597" s="19">
        <v>6</v>
      </c>
      <c r="F597" s="20" t="str">
        <f t="shared" si="304"/>
        <v>N   912 862 01</v>
      </c>
      <c r="G597" s="21">
        <v>110000102</v>
      </c>
      <c r="H597" s="17">
        <f t="shared" si="305"/>
        <v>2.4479999999999998E-2</v>
      </c>
      <c r="I597" s="20"/>
      <c r="J597" s="17">
        <f t="shared" si="306"/>
        <v>500</v>
      </c>
      <c r="K597" s="17">
        <f t="shared" si="307"/>
        <v>0</v>
      </c>
      <c r="L597" s="22">
        <v>20</v>
      </c>
      <c r="M597" s="22">
        <v>60</v>
      </c>
      <c r="N597" s="22" t="s">
        <v>155</v>
      </c>
      <c r="O597" s="22" t="str">
        <f t="shared" si="308"/>
        <v>001210</v>
      </c>
      <c r="P597" s="22">
        <f t="shared" si="309"/>
        <v>55</v>
      </c>
      <c r="Q597" s="22"/>
      <c r="R597" s="23" t="s">
        <v>153</v>
      </c>
      <c r="S597" s="22">
        <f t="shared" si="310"/>
        <v>0.56999999999999995</v>
      </c>
      <c r="T597" s="24">
        <f t="shared" si="311"/>
        <v>0</v>
      </c>
      <c r="U597" s="25">
        <f t="shared" si="312"/>
        <v>2</v>
      </c>
      <c r="V597" s="26" t="str">
        <f t="shared" si="313"/>
        <v/>
      </c>
    </row>
    <row r="598" spans="1:22" ht="48" customHeight="1" x14ac:dyDescent="0.25">
      <c r="A598" s="17" t="str">
        <f>VLOOKUP(C598,[1]Werke!$A$1:$C$168,3,0)</f>
        <v>RC</v>
      </c>
      <c r="B598" s="17" t="str">
        <f>VLOOKUP(C598,[1]Werke!$A$1:$C$168,2,0)</f>
        <v>CKD</v>
      </c>
      <c r="C598" s="18" t="s">
        <v>256</v>
      </c>
      <c r="D598" s="17" t="str">
        <f>VLOOKUP(C598,[1]Maliteslimalan!$A$1:$B$210,2,0)</f>
        <v>8000012593</v>
      </c>
      <c r="E598" s="19" t="str">
        <f>VLOOKUP(C598,[1]Bestellnr.!$A$1:$B$174,2,0)</f>
        <v>000006</v>
      </c>
      <c r="F598" s="20" t="str">
        <f t="shared" si="304"/>
        <v>N   912 862 01</v>
      </c>
      <c r="G598" s="21">
        <v>110000102</v>
      </c>
      <c r="H598" s="17">
        <f t="shared" si="305"/>
        <v>2.4479999999999998E-2</v>
      </c>
      <c r="I598" s="20"/>
      <c r="J598" s="17">
        <f t="shared" si="306"/>
        <v>500</v>
      </c>
      <c r="K598" s="17">
        <f t="shared" si="307"/>
        <v>0</v>
      </c>
      <c r="L598" s="22">
        <v>10</v>
      </c>
      <c r="M598" s="22">
        <v>30</v>
      </c>
      <c r="N598" s="22">
        <v>111444</v>
      </c>
      <c r="O598" s="22" t="str">
        <f t="shared" si="308"/>
        <v>001006</v>
      </c>
      <c r="P598" s="22">
        <f t="shared" si="309"/>
        <v>34</v>
      </c>
      <c r="Q598" s="22"/>
      <c r="R598" s="23" t="s">
        <v>153</v>
      </c>
      <c r="S598" s="22">
        <f t="shared" si="310"/>
        <v>0.56999999999999995</v>
      </c>
      <c r="T598" s="24">
        <f t="shared" si="311"/>
        <v>0</v>
      </c>
      <c r="U598" s="25">
        <f t="shared" si="312"/>
        <v>2</v>
      </c>
      <c r="V598" s="26" t="str">
        <f t="shared" si="313"/>
        <v/>
      </c>
    </row>
    <row r="599" spans="1:22" ht="48" customHeight="1" x14ac:dyDescent="0.25">
      <c r="A599" s="17">
        <f>VLOOKUP(C599,[1]Werke!$A$1:$C$168,3,0)</f>
        <v>49</v>
      </c>
      <c r="B599" s="17" t="str">
        <f>VLOOKUP(C599,[1]Werke!$A$1:$C$168,2,0)</f>
        <v>T03</v>
      </c>
      <c r="C599" s="18" t="s">
        <v>222</v>
      </c>
      <c r="D599" s="17" t="str">
        <f>VLOOKUP(C599,[1]Maliteslimalan!$A$1:$B$210,2,0)</f>
        <v>8000013725</v>
      </c>
      <c r="E599" s="19">
        <f>VLOOKUP(C599,[1]Bestellnr.!$A$1:$B$174,2,0)</f>
        <v>0</v>
      </c>
      <c r="F599" s="20" t="str">
        <f t="shared" si="304"/>
        <v>N   912 862 01</v>
      </c>
      <c r="G599" s="21">
        <v>110000102</v>
      </c>
      <c r="H599" s="17">
        <f t="shared" si="305"/>
        <v>2.4479999999999998E-2</v>
      </c>
      <c r="I599" s="20"/>
      <c r="J599" s="17">
        <f t="shared" si="306"/>
        <v>500</v>
      </c>
      <c r="K599" s="17">
        <f t="shared" si="307"/>
        <v>0</v>
      </c>
      <c r="L599" s="22">
        <v>20</v>
      </c>
      <c r="M599" s="22">
        <v>60</v>
      </c>
      <c r="N599" s="22" t="s">
        <v>155</v>
      </c>
      <c r="O599" s="22" t="str">
        <f t="shared" si="308"/>
        <v>001210</v>
      </c>
      <c r="P599" s="22">
        <f t="shared" si="309"/>
        <v>55</v>
      </c>
      <c r="Q599" s="22"/>
      <c r="R599" s="23" t="s">
        <v>153</v>
      </c>
      <c r="S599" s="22">
        <f t="shared" si="310"/>
        <v>0.56999999999999995</v>
      </c>
      <c r="T599" s="24">
        <f t="shared" si="311"/>
        <v>0</v>
      </c>
      <c r="U599" s="25">
        <f t="shared" si="312"/>
        <v>2</v>
      </c>
      <c r="V599" s="26" t="str">
        <f t="shared" si="313"/>
        <v/>
      </c>
    </row>
    <row r="600" spans="1:22" ht="48" customHeight="1" x14ac:dyDescent="0.25">
      <c r="A600" s="17"/>
      <c r="B600" s="17"/>
      <c r="C600" s="18"/>
      <c r="D600" s="17"/>
      <c r="E600" s="19"/>
      <c r="F600" s="20"/>
      <c r="G600" s="21"/>
      <c r="H600" s="17"/>
      <c r="I600" s="20"/>
      <c r="J600" s="17"/>
      <c r="K600" s="17"/>
      <c r="L600" s="22"/>
      <c r="M600" s="22"/>
      <c r="N600" s="22"/>
      <c r="O600" s="22"/>
      <c r="P600" s="22"/>
      <c r="Q600" s="22"/>
      <c r="R600" s="23"/>
      <c r="S600" s="22"/>
      <c r="T600" s="24"/>
      <c r="U600" s="25"/>
    </row>
    <row r="601" spans="1:22" ht="48.2" customHeight="1" x14ac:dyDescent="0.25">
      <c r="A601" s="17" t="str">
        <f>VLOOKUP(C601,[1]Werke!$A$1:$C$168,3,0)</f>
        <v>IM</v>
      </c>
      <c r="B601" s="17">
        <f>VLOOKUP(C601,[1]Werke!$A$1:$C$168,2,0)</f>
        <v>889</v>
      </c>
      <c r="C601" s="18" t="s">
        <v>225</v>
      </c>
      <c r="D601" s="17">
        <f>VLOOKUP(C601,[1]Maliteslimalan!$A$1:$B$210,2,0)</f>
        <v>8000017117</v>
      </c>
      <c r="E601" s="19">
        <v>6</v>
      </c>
      <c r="F601" s="20" t="str">
        <f t="shared" ref="F601:F608" si="314">VLOOKUP(G601,$U$1:$V$1730,2,0)</f>
        <v>N   907 667 02</v>
      </c>
      <c r="G601" s="21">
        <v>110021500</v>
      </c>
      <c r="H601" s="17">
        <f t="shared" ref="H601:H608" si="315">VLOOKUP(G601,Z$2:AA$1905,2,FALSE)</f>
        <v>6.13E-3</v>
      </c>
      <c r="I601" s="20"/>
      <c r="J601" s="17">
        <f t="shared" ref="J601:J608" si="316">VLOOKUP(G601,W$2:X$1905,2,FALSE)</f>
        <v>1750</v>
      </c>
      <c r="K601" s="17">
        <f t="shared" ref="K601:K608" si="317">I601/J601</f>
        <v>0</v>
      </c>
      <c r="L601" s="22">
        <v>10</v>
      </c>
      <c r="M601" s="22">
        <v>30</v>
      </c>
      <c r="N601" s="22">
        <v>111444</v>
      </c>
      <c r="O601" s="22" t="str">
        <f t="shared" ref="O601:O608" si="318">VLOOKUP(N601,$AL$1285:$AM$1310,2,FALSE)</f>
        <v>001006</v>
      </c>
      <c r="P601" s="22">
        <f t="shared" ref="P601:P608" si="319">VLOOKUP(N601,AC$2:AD$1905,2,FALSE)</f>
        <v>34</v>
      </c>
      <c r="Q601" s="22"/>
      <c r="R601" s="23" t="s">
        <v>153</v>
      </c>
      <c r="S601" s="22">
        <f t="shared" ref="S601:S608" si="320">VLOOKUP(R601,AC$2:AD$1905,2,FALSE)</f>
        <v>0.56999999999999995</v>
      </c>
      <c r="T601" s="24">
        <f t="shared" ref="T601:T608" si="321">(H601*I601)+P601*Q601+S601*K601</f>
        <v>0</v>
      </c>
      <c r="U601" s="25">
        <f t="shared" ref="U601:U608" si="322">IF(TRIM(N601&amp;"")="111444",
    IF(ROUNDUP(MAX(0,K601-(MAX(1,Q601)-1)*10)/10,0)=1,3,2),
    IF(TRIM(N601&amp;"")="VWPAL",
        IF(TRIM(R601&amp;"")="004147",1,2),
        ""
    )
)</f>
        <v>2</v>
      </c>
      <c r="V601" s="26" t="str">
        <f t="shared" ref="V601:V608" si="323">IF(OR(TRIM(N601&amp;"")="111444",TRIM(N601&amp;"")="VWPAL"),
    IF(K601&lt;=0,"",
        IF(
            MIN(3,ROUNDUP(MAX(0,K601-(MAX(1,Q601)-1)*IF(TRIM(N601&amp;"")="111444",10,20))/IF(TRIM(N601&amp;"")="111444",10,20),0))=1,
            300,
            IF(
                MIN(3,ROUNDUP(MAX(0,K601-(MAX(1,Q601)-1)*IF(TRIM(N601&amp;"")="111444",10,20))/IF(TRIM(N601&amp;"")="111444",10,20),0))=2,
                450,
                600
            )
        )
    ),
    ""
)</f>
        <v/>
      </c>
    </row>
    <row r="602" spans="1:22" ht="48.2" customHeight="1" x14ac:dyDescent="0.25">
      <c r="A602" s="17" t="str">
        <f>VLOOKUP(C602,[1]Werke!$A$1:$C$168,3,0)</f>
        <v>LD</v>
      </c>
      <c r="B602" s="17" t="str">
        <f>VLOOKUP(C602,[1]Werke!$A$1:$C$168,2,0)</f>
        <v>SLD</v>
      </c>
      <c r="C602" s="18">
        <v>83630</v>
      </c>
      <c r="D602" s="17" t="str">
        <f>VLOOKUP(C602,[1]Maliteslimalan!$A$1:$B$210,2,0)</f>
        <v>8000012862</v>
      </c>
      <c r="E602" s="19" t="str">
        <f>VLOOKUP(C602,[1]Bestellnr.!$A$1:$B$174,2,0)</f>
        <v>000006</v>
      </c>
      <c r="F602" s="20" t="str">
        <f t="shared" si="314"/>
        <v>N   907 667 02</v>
      </c>
      <c r="G602" s="21">
        <v>110021500</v>
      </c>
      <c r="H602" s="17">
        <f t="shared" si="315"/>
        <v>6.13E-3</v>
      </c>
      <c r="I602" s="20"/>
      <c r="J602" s="17">
        <f t="shared" si="316"/>
        <v>1750</v>
      </c>
      <c r="K602" s="17">
        <f t="shared" si="317"/>
        <v>0</v>
      </c>
      <c r="L602" s="22">
        <v>10</v>
      </c>
      <c r="M602" s="22">
        <v>30</v>
      </c>
      <c r="N602" s="22">
        <v>111444</v>
      </c>
      <c r="O602" s="22" t="str">
        <f t="shared" si="318"/>
        <v>001006</v>
      </c>
      <c r="P602" s="22">
        <f t="shared" si="319"/>
        <v>34</v>
      </c>
      <c r="Q602" s="22"/>
      <c r="R602" s="23" t="s">
        <v>153</v>
      </c>
      <c r="S602" s="22">
        <f t="shared" si="320"/>
        <v>0.56999999999999995</v>
      </c>
      <c r="T602" s="24">
        <f t="shared" si="321"/>
        <v>0</v>
      </c>
      <c r="U602" s="25">
        <f t="shared" si="322"/>
        <v>2</v>
      </c>
      <c r="V602" s="26" t="str">
        <f t="shared" si="323"/>
        <v/>
      </c>
    </row>
    <row r="603" spans="1:22" ht="48.2" customHeight="1" x14ac:dyDescent="0.25">
      <c r="A603" s="17">
        <f>VLOOKUP(C603,[1]Werke!$A$1:$C$168,3,0)</f>
        <v>11</v>
      </c>
      <c r="B603" s="17" t="str">
        <f>VLOOKUP(C603,[1]Werke!$A$1:$C$168,2,0)</f>
        <v>AKL</v>
      </c>
      <c r="C603" s="18" t="s">
        <v>253</v>
      </c>
      <c r="D603" s="17" t="str">
        <f>VLOOKUP(C603,[1]Maliteslimalan!$A$1:$B$210,2,0)</f>
        <v>8000012831</v>
      </c>
      <c r="E603" s="19" t="str">
        <f>VLOOKUP(C603,[1]Bestellnr.!$A$1:$B$174,2,0)</f>
        <v>000006</v>
      </c>
      <c r="F603" s="20" t="str">
        <f t="shared" si="314"/>
        <v>N   907 667 02</v>
      </c>
      <c r="G603" s="21">
        <v>110021500</v>
      </c>
      <c r="H603" s="17">
        <f t="shared" si="315"/>
        <v>6.13E-3</v>
      </c>
      <c r="I603" s="20"/>
      <c r="J603" s="17">
        <f t="shared" si="316"/>
        <v>1750</v>
      </c>
      <c r="K603" s="17">
        <f t="shared" si="317"/>
        <v>0</v>
      </c>
      <c r="L603" s="22">
        <v>10</v>
      </c>
      <c r="M603" s="22">
        <v>30</v>
      </c>
      <c r="N603" s="22">
        <v>111444</v>
      </c>
      <c r="O603" s="22" t="str">
        <f t="shared" si="318"/>
        <v>001006</v>
      </c>
      <c r="P603" s="22">
        <f t="shared" si="319"/>
        <v>34</v>
      </c>
      <c r="Q603" s="22"/>
      <c r="R603" s="23" t="s">
        <v>153</v>
      </c>
      <c r="S603" s="22">
        <f t="shared" si="320"/>
        <v>0.56999999999999995</v>
      </c>
      <c r="T603" s="24">
        <f t="shared" si="321"/>
        <v>0</v>
      </c>
      <c r="U603" s="25">
        <f t="shared" si="322"/>
        <v>2</v>
      </c>
      <c r="V603" s="26" t="str">
        <f t="shared" si="323"/>
        <v/>
      </c>
    </row>
    <row r="604" spans="1:22" ht="48.2" customHeight="1" x14ac:dyDescent="0.25">
      <c r="A604" s="17">
        <f>VLOOKUP(C604,[1]Werke!$A$1:$C$168,3,0)</f>
        <v>35</v>
      </c>
      <c r="B604" s="17" t="str">
        <f>VLOOKUP(C604,[1]Werke!$A$1:$C$168,2,0)</f>
        <v>AKL</v>
      </c>
      <c r="C604" s="18" t="s">
        <v>231</v>
      </c>
      <c r="D604" s="17" t="str">
        <f>VLOOKUP(C604,[1]Maliteslimalan!$A$1:$B$210,2,0)</f>
        <v>8000013262</v>
      </c>
      <c r="E604" s="19" t="str">
        <f>VLOOKUP(C604,[1]Bestellnr.!$A$1:$B$174,2,0)</f>
        <v>000006</v>
      </c>
      <c r="F604" s="20" t="str">
        <f t="shared" si="314"/>
        <v>N   907 667 02</v>
      </c>
      <c r="G604" s="21">
        <v>110021500</v>
      </c>
      <c r="H604" s="17">
        <f t="shared" si="315"/>
        <v>6.13E-3</v>
      </c>
      <c r="I604" s="20"/>
      <c r="J604" s="17">
        <f t="shared" si="316"/>
        <v>1750</v>
      </c>
      <c r="K604" s="17">
        <f t="shared" si="317"/>
        <v>0</v>
      </c>
      <c r="L604" s="22">
        <v>10</v>
      </c>
      <c r="M604" s="22">
        <v>30</v>
      </c>
      <c r="N604" s="22">
        <v>111444</v>
      </c>
      <c r="O604" s="22" t="str">
        <f t="shared" si="318"/>
        <v>001006</v>
      </c>
      <c r="P604" s="22">
        <f t="shared" si="319"/>
        <v>34</v>
      </c>
      <c r="Q604" s="22"/>
      <c r="R604" s="23" t="s">
        <v>153</v>
      </c>
      <c r="S604" s="22">
        <f t="shared" si="320"/>
        <v>0.56999999999999995</v>
      </c>
      <c r="T604" s="24">
        <f t="shared" si="321"/>
        <v>0</v>
      </c>
      <c r="U604" s="25">
        <f t="shared" si="322"/>
        <v>2</v>
      </c>
      <c r="V604" s="26" t="str">
        <f t="shared" si="323"/>
        <v/>
      </c>
    </row>
    <row r="605" spans="1:22" ht="48.2" customHeight="1" x14ac:dyDescent="0.25">
      <c r="A605" s="17">
        <f>VLOOKUP(C605,[1]Werke!$A$1:$C$168,3,0)</f>
        <v>37</v>
      </c>
      <c r="B605" s="17" t="str">
        <f>VLOOKUP(C605,[1]Werke!$A$1:$C$168,2,0)</f>
        <v>AKL</v>
      </c>
      <c r="C605" s="18" t="s">
        <v>232</v>
      </c>
      <c r="D605" s="17" t="str">
        <f>VLOOKUP(C605,[1]Maliteslimalan!$A$1:$B$210,2,0)</f>
        <v>8000012562</v>
      </c>
      <c r="E605" s="19" t="str">
        <f>VLOOKUP(C605,[1]Bestellnr.!$A$1:$B$174,2,0)</f>
        <v>000006</v>
      </c>
      <c r="F605" s="20" t="str">
        <f t="shared" si="314"/>
        <v>N   907 667 02</v>
      </c>
      <c r="G605" s="21">
        <v>110021500</v>
      </c>
      <c r="H605" s="17">
        <f t="shared" si="315"/>
        <v>6.13E-3</v>
      </c>
      <c r="I605" s="20"/>
      <c r="J605" s="17">
        <f t="shared" si="316"/>
        <v>1750</v>
      </c>
      <c r="K605" s="17">
        <f t="shared" si="317"/>
        <v>0</v>
      </c>
      <c r="L605" s="22">
        <v>10</v>
      </c>
      <c r="M605" s="22">
        <v>30</v>
      </c>
      <c r="N605" s="22">
        <v>111444</v>
      </c>
      <c r="O605" s="22" t="str">
        <f t="shared" si="318"/>
        <v>001006</v>
      </c>
      <c r="P605" s="22">
        <f t="shared" si="319"/>
        <v>34</v>
      </c>
      <c r="Q605" s="22"/>
      <c r="R605" s="23" t="s">
        <v>153</v>
      </c>
      <c r="S605" s="22">
        <f t="shared" si="320"/>
        <v>0.56999999999999995</v>
      </c>
      <c r="T605" s="24">
        <f t="shared" si="321"/>
        <v>0</v>
      </c>
      <c r="U605" s="25">
        <f t="shared" si="322"/>
        <v>2</v>
      </c>
      <c r="V605" s="26" t="str">
        <f t="shared" si="323"/>
        <v/>
      </c>
    </row>
    <row r="606" spans="1:22" ht="48.2" customHeight="1" x14ac:dyDescent="0.25">
      <c r="A606" s="17">
        <f>VLOOKUP(C606,[1]Werke!$A$1:$C$168,3,0)</f>
        <v>69</v>
      </c>
      <c r="B606" s="17" t="str">
        <f>VLOOKUP(C606,[1]Werke!$A$1:$C$168,2,0)</f>
        <v>AKL</v>
      </c>
      <c r="C606" s="18" t="s">
        <v>238</v>
      </c>
      <c r="D606" s="17">
        <f>VLOOKUP(C606,[1]Maliteslimalan!$A$1:$B$210,2,0)</f>
        <v>8000017492</v>
      </c>
      <c r="E606" s="19">
        <v>6</v>
      </c>
      <c r="F606" s="20" t="str">
        <f t="shared" si="314"/>
        <v>N   907 667 02</v>
      </c>
      <c r="G606" s="21">
        <v>110021500</v>
      </c>
      <c r="H606" s="17">
        <f t="shared" si="315"/>
        <v>6.13E-3</v>
      </c>
      <c r="I606" s="20"/>
      <c r="J606" s="17">
        <f t="shared" si="316"/>
        <v>1750</v>
      </c>
      <c r="K606" s="17">
        <f t="shared" si="317"/>
        <v>0</v>
      </c>
      <c r="L606" s="22">
        <v>10</v>
      </c>
      <c r="M606" s="22">
        <v>30</v>
      </c>
      <c r="N606" s="22">
        <v>111444</v>
      </c>
      <c r="O606" s="22" t="str">
        <f t="shared" si="318"/>
        <v>001006</v>
      </c>
      <c r="P606" s="22">
        <f t="shared" si="319"/>
        <v>34</v>
      </c>
      <c r="Q606" s="22"/>
      <c r="R606" s="23" t="s">
        <v>153</v>
      </c>
      <c r="S606" s="22">
        <f t="shared" si="320"/>
        <v>0.56999999999999995</v>
      </c>
      <c r="T606" s="24">
        <f t="shared" si="321"/>
        <v>0</v>
      </c>
      <c r="U606" s="25">
        <f t="shared" si="322"/>
        <v>2</v>
      </c>
      <c r="V606" s="26" t="str">
        <f t="shared" si="323"/>
        <v/>
      </c>
    </row>
    <row r="607" spans="1:22" ht="48.2" customHeight="1" x14ac:dyDescent="0.25">
      <c r="A607" s="17">
        <f>VLOOKUP(C607,[1]Werke!$A$1:$C$168,3,0)</f>
        <v>14</v>
      </c>
      <c r="B607" s="17" t="str">
        <f>VLOOKUP(C607,[1]Werke!$A$1:$C$168,2,0)</f>
        <v>D72</v>
      </c>
      <c r="C607" s="18" t="s">
        <v>220</v>
      </c>
      <c r="D607" s="17" t="str">
        <f>VLOOKUP(C607,[1]Maliteslimalan!$A$1:$B$210,2,0)</f>
        <v>8000013493</v>
      </c>
      <c r="E607" s="19">
        <f>VLOOKUP(C607,[1]Bestellnr.!$A$1:$B$174,2,0)</f>
        <v>0</v>
      </c>
      <c r="F607" s="20" t="str">
        <f t="shared" si="314"/>
        <v>N   907 667 02</v>
      </c>
      <c r="G607" s="21">
        <v>110021500</v>
      </c>
      <c r="H607" s="17">
        <f t="shared" si="315"/>
        <v>6.13E-3</v>
      </c>
      <c r="I607" s="20"/>
      <c r="J607" s="17">
        <f t="shared" si="316"/>
        <v>1750</v>
      </c>
      <c r="K607" s="17">
        <f t="shared" si="317"/>
        <v>0</v>
      </c>
      <c r="L607" s="22">
        <v>10</v>
      </c>
      <c r="M607" s="22">
        <v>30</v>
      </c>
      <c r="N607" s="22">
        <v>111444</v>
      </c>
      <c r="O607" s="22" t="str">
        <f t="shared" si="318"/>
        <v>001006</v>
      </c>
      <c r="P607" s="22">
        <f t="shared" si="319"/>
        <v>34</v>
      </c>
      <c r="Q607" s="22"/>
      <c r="R607" s="23" t="s">
        <v>153</v>
      </c>
      <c r="S607" s="22">
        <f t="shared" si="320"/>
        <v>0.56999999999999995</v>
      </c>
      <c r="T607" s="24">
        <f t="shared" si="321"/>
        <v>0</v>
      </c>
      <c r="U607" s="25">
        <f t="shared" si="322"/>
        <v>2</v>
      </c>
      <c r="V607" s="26" t="str">
        <f t="shared" si="323"/>
        <v/>
      </c>
    </row>
    <row r="608" spans="1:22" ht="48.2" customHeight="1" x14ac:dyDescent="0.25">
      <c r="A608" s="17">
        <f>VLOOKUP(C608,[1]Werke!$A$1:$C$168,3,0)</f>
        <v>42</v>
      </c>
      <c r="B608" s="17" t="str">
        <f>VLOOKUP(C608,[1]Werke!$A$1:$C$168,2,0)</f>
        <v>CC1</v>
      </c>
      <c r="C608" s="18" t="s">
        <v>241</v>
      </c>
      <c r="D608" s="17" t="str">
        <f>VLOOKUP(C608,[1]Maliteslimalan!$A$1:$B$210,2,0)</f>
        <v>8000012577</v>
      </c>
      <c r="E608" s="19" t="str">
        <f>VLOOKUP(C608,[1]Bestellnr.!$A$1:$B$174,2,0)</f>
        <v>000001</v>
      </c>
      <c r="F608" s="20" t="str">
        <f t="shared" si="314"/>
        <v>N   907 667 02</v>
      </c>
      <c r="G608" s="21">
        <v>110021500</v>
      </c>
      <c r="H608" s="17">
        <f t="shared" si="315"/>
        <v>6.13E-3</v>
      </c>
      <c r="I608" s="20"/>
      <c r="J608" s="17">
        <f t="shared" si="316"/>
        <v>1750</v>
      </c>
      <c r="K608" s="17">
        <f t="shared" si="317"/>
        <v>0</v>
      </c>
      <c r="L608" s="22">
        <v>20</v>
      </c>
      <c r="M608" s="22">
        <v>60</v>
      </c>
      <c r="N608" s="22" t="s">
        <v>155</v>
      </c>
      <c r="O608" s="22" t="str">
        <f t="shared" si="318"/>
        <v>001210</v>
      </c>
      <c r="P608" s="22">
        <f t="shared" si="319"/>
        <v>55</v>
      </c>
      <c r="Q608" s="22"/>
      <c r="R608" s="23" t="s">
        <v>153</v>
      </c>
      <c r="S608" s="22">
        <f t="shared" si="320"/>
        <v>0.56999999999999995</v>
      </c>
      <c r="T608" s="24">
        <f t="shared" si="321"/>
        <v>0</v>
      </c>
      <c r="U608" s="25">
        <f t="shared" si="322"/>
        <v>2</v>
      </c>
      <c r="V608" s="26" t="str">
        <f t="shared" si="323"/>
        <v/>
      </c>
    </row>
    <row r="609" spans="1:22" ht="48.2" customHeight="1" x14ac:dyDescent="0.25">
      <c r="A609" s="17"/>
      <c r="B609" s="17"/>
      <c r="C609" s="18"/>
      <c r="D609" s="17"/>
      <c r="E609" s="19"/>
      <c r="F609" s="20"/>
      <c r="G609" s="21"/>
      <c r="H609" s="17"/>
      <c r="I609" s="20"/>
      <c r="J609" s="17"/>
      <c r="K609" s="17"/>
      <c r="L609" s="22"/>
      <c r="M609" s="22"/>
      <c r="N609" s="22"/>
      <c r="O609" s="22"/>
      <c r="P609" s="22"/>
      <c r="Q609" s="22"/>
      <c r="R609" s="23"/>
      <c r="S609" s="22"/>
      <c r="T609" s="24"/>
      <c r="U609" s="25"/>
    </row>
    <row r="610" spans="1:22" ht="48.2" customHeight="1" x14ac:dyDescent="0.25">
      <c r="A610" s="17">
        <f>VLOOKUP(C610,[1]Werke!$A$1:$C$168,3,0)</f>
        <v>35</v>
      </c>
      <c r="B610" s="17" t="str">
        <f>VLOOKUP(C610,[1]Werke!$A$1:$C$168,2,0)</f>
        <v>AKL</v>
      </c>
      <c r="C610" s="18" t="s">
        <v>231</v>
      </c>
      <c r="D610" s="17" t="str">
        <f>VLOOKUP(C610,[1]Maliteslimalan!$A$1:$B$210,2,0)</f>
        <v>8000013262</v>
      </c>
      <c r="E610" s="19" t="str">
        <f>VLOOKUP(C610,[1]Bestellnr.!$A$1:$B$174,2,0)</f>
        <v>000006</v>
      </c>
      <c r="F610" s="20" t="str">
        <f>VLOOKUP(G610,$U$1:$V$1730,2,0)</f>
        <v>5R3 857 767</v>
      </c>
      <c r="G610" s="21">
        <v>110004700</v>
      </c>
      <c r="H610" s="17">
        <f>VLOOKUP(G610,Z$2:AA$1905,2,FALSE)</f>
        <v>2.189E-2</v>
      </c>
      <c r="I610" s="20"/>
      <c r="J610" s="17">
        <f>VLOOKUP(G610,W$2:X$1905,2,FALSE)</f>
        <v>700</v>
      </c>
      <c r="K610" s="17">
        <f>I610/J610</f>
        <v>0</v>
      </c>
      <c r="L610" s="22">
        <v>10</v>
      </c>
      <c r="M610" s="22">
        <v>30</v>
      </c>
      <c r="N610" s="22">
        <v>111444</v>
      </c>
      <c r="O610" s="22" t="str">
        <f>VLOOKUP(N610,$AL$1285:$AM$1310,2,FALSE)</f>
        <v>001006</v>
      </c>
      <c r="P610" s="22">
        <f>VLOOKUP(N610,AC$2:AD$1905,2,FALSE)</f>
        <v>34</v>
      </c>
      <c r="Q610" s="22"/>
      <c r="R610" s="23" t="s">
        <v>153</v>
      </c>
      <c r="S610" s="22">
        <f>VLOOKUP(R610,AC$2:AD$1905,2,FALSE)</f>
        <v>0.56999999999999995</v>
      </c>
      <c r="T610" s="24">
        <f>(H610*I610)+P610*Q610+S610*K610</f>
        <v>0</v>
      </c>
      <c r="U610" s="25">
        <f>IF(TRIM(N610&amp;"")="111444",
    IF(ROUNDUP(MAX(0,K610-(MAX(1,Q610)-1)*10)/10,0)=1,3,2),
    IF(TRIM(N610&amp;"")="VWPAL",
        IF(TRIM(R610&amp;"")="004147",1,2),
        ""
    )
)</f>
        <v>2</v>
      </c>
      <c r="V610" s="26" t="str">
        <f>IF(OR(TRIM(N610&amp;"")="111444",TRIM(N610&amp;"")="VWPAL"),
    IF(K610&lt;=0,"",
        IF(
            MIN(3,ROUNDUP(MAX(0,K610-(MAX(1,Q610)-1)*IF(TRIM(N610&amp;"")="111444",10,20))/IF(TRIM(N610&amp;"")="111444",10,20),0))=1,
            300,
            IF(
                MIN(3,ROUNDUP(MAX(0,K610-(MAX(1,Q610)-1)*IF(TRIM(N610&amp;"")="111444",10,20))/IF(TRIM(N610&amp;"")="111444",10,20),0))=2,
                450,
                600
            )
        )
    ),
    ""
)</f>
        <v/>
      </c>
    </row>
    <row r="611" spans="1:22" ht="48.2" customHeight="1" x14ac:dyDescent="0.25">
      <c r="A611" s="17">
        <f>VLOOKUP(C611,[1]Werke!$A$1:$C$168,3,0)</f>
        <v>14</v>
      </c>
      <c r="B611" s="17" t="str">
        <f>VLOOKUP(C611,[1]Werke!$A$1:$C$168,2,0)</f>
        <v>D72</v>
      </c>
      <c r="C611" s="18" t="s">
        <v>220</v>
      </c>
      <c r="D611" s="17" t="str">
        <f>VLOOKUP(C611,[1]Maliteslimalan!$A$1:$B$210,2,0)</f>
        <v>8000013493</v>
      </c>
      <c r="E611" s="19">
        <f>VLOOKUP(C611,[1]Bestellnr.!$A$1:$B$174,2,0)</f>
        <v>0</v>
      </c>
      <c r="F611" s="20" t="str">
        <f>VLOOKUP(G611,$U$1:$V$1730,2,0)</f>
        <v>5R3 857 767</v>
      </c>
      <c r="G611" s="21">
        <v>110004700</v>
      </c>
      <c r="H611" s="17">
        <f>VLOOKUP(G611,Z$2:AA$1905,2,FALSE)</f>
        <v>2.189E-2</v>
      </c>
      <c r="I611" s="20"/>
      <c r="J611" s="17">
        <f>VLOOKUP(G611,W$2:X$1905,2,FALSE)</f>
        <v>700</v>
      </c>
      <c r="K611" s="17">
        <f>I611/J611</f>
        <v>0</v>
      </c>
      <c r="L611" s="22">
        <v>10</v>
      </c>
      <c r="M611" s="22">
        <v>30</v>
      </c>
      <c r="N611" s="22">
        <v>111444</v>
      </c>
      <c r="O611" s="22" t="str">
        <f>VLOOKUP(N611,$AL$1285:$AM$1310,2,FALSE)</f>
        <v>001006</v>
      </c>
      <c r="P611" s="22">
        <f>VLOOKUP(N611,AC$2:AD$1905,2,FALSE)</f>
        <v>34</v>
      </c>
      <c r="Q611" s="22"/>
      <c r="R611" s="23" t="s">
        <v>153</v>
      </c>
      <c r="S611" s="22">
        <f>VLOOKUP(R611,AC$2:AD$1905,2,FALSE)</f>
        <v>0.56999999999999995</v>
      </c>
      <c r="T611" s="24">
        <f>(H611*I611)+P611*Q611+S611*K611</f>
        <v>0</v>
      </c>
      <c r="U611" s="25">
        <f>IF(TRIM(N611&amp;"")="111444",
    IF(ROUNDUP(MAX(0,K611-(MAX(1,Q611)-1)*10)/10,0)=1,3,2),
    IF(TRIM(N611&amp;"")="VWPAL",
        IF(TRIM(R611&amp;"")="004147",1,2),
        ""
    )
)</f>
        <v>2</v>
      </c>
      <c r="V611" s="26" t="str">
        <f>IF(OR(TRIM(N611&amp;"")="111444",TRIM(N611&amp;"")="VWPAL"),
    IF(K611&lt;=0,"",
        IF(
            MIN(3,ROUNDUP(MAX(0,K611-(MAX(1,Q611)-1)*IF(TRIM(N611&amp;"")="111444",10,20))/IF(TRIM(N611&amp;"")="111444",10,20),0))=1,
            300,
            IF(
                MIN(3,ROUNDUP(MAX(0,K611-(MAX(1,Q611)-1)*IF(TRIM(N611&amp;"")="111444",10,20))/IF(TRIM(N611&amp;"")="111444",10,20),0))=2,
                450,
                600
            )
        )
    ),
    ""
)</f>
        <v/>
      </c>
    </row>
    <row r="612" spans="1:22" ht="48.2" customHeight="1" x14ac:dyDescent="0.25">
      <c r="A612" s="17"/>
      <c r="B612" s="17"/>
      <c r="C612" s="18"/>
      <c r="D612" s="17"/>
      <c r="E612" s="19"/>
      <c r="F612" s="20"/>
      <c r="G612" s="21"/>
      <c r="H612" s="17"/>
      <c r="I612" s="20"/>
      <c r="J612" s="17"/>
      <c r="K612" s="17"/>
      <c r="L612" s="22"/>
      <c r="M612" s="22"/>
      <c r="N612" s="22"/>
      <c r="O612" s="22"/>
      <c r="P612" s="22"/>
      <c r="Q612" s="22"/>
      <c r="R612" s="23"/>
      <c r="S612" s="22"/>
      <c r="T612" s="24"/>
      <c r="U612" s="25"/>
    </row>
    <row r="613" spans="1:22" ht="48.2" customHeight="1" x14ac:dyDescent="0.25">
      <c r="A613" s="17" t="str">
        <f>VLOOKUP(C613,[1]Werke!$A$1:$C$168,3,0)</f>
        <v>DZ</v>
      </c>
      <c r="B613" s="17" t="str">
        <f>VLOOKUP(C613,[1]Werke!$A$1:$C$168,2,0)</f>
        <v>S1</v>
      </c>
      <c r="C613" s="18" t="s">
        <v>308</v>
      </c>
      <c r="D613" s="17" t="str">
        <f>VLOOKUP(C613,[1]Maliteslimalan!$A$1:$B$210,2,0)</f>
        <v>8000012559</v>
      </c>
      <c r="E613" s="19" t="str">
        <f>VLOOKUP(C613,[1]Bestellnr.!$A$1:$B$174,2,0)</f>
        <v>000006</v>
      </c>
      <c r="F613" s="20" t="str">
        <f>VLOOKUP(G613,$U$1:$V$1730,2,0)</f>
        <v>4G8 827 439 F</v>
      </c>
      <c r="G613" s="21">
        <v>100048600</v>
      </c>
      <c r="H613" s="17">
        <f>VLOOKUP(G613,Z$2:AA$1905,2,FALSE)</f>
        <v>3.1510000000000003E-2</v>
      </c>
      <c r="I613" s="20"/>
      <c r="J613" s="17">
        <f>VLOOKUP(G613,W$2:X$1905,2,FALSE)</f>
        <v>400</v>
      </c>
      <c r="K613" s="17">
        <f>I613/J613</f>
        <v>0</v>
      </c>
      <c r="L613" s="22">
        <v>10</v>
      </c>
      <c r="M613" s="22">
        <v>30</v>
      </c>
      <c r="N613" s="22">
        <v>111444</v>
      </c>
      <c r="O613" s="22" t="str">
        <f>VLOOKUP(N613,$AL$1285:$AM$1310,2,FALSE)</f>
        <v>001006</v>
      </c>
      <c r="P613" s="22">
        <f>VLOOKUP(N613,AC$2:AD$1905,2,FALSE)</f>
        <v>34</v>
      </c>
      <c r="Q613" s="22"/>
      <c r="R613" s="23" t="s">
        <v>153</v>
      </c>
      <c r="S613" s="22">
        <f>VLOOKUP(R613,AC$2:AD$1905,2,FALSE)</f>
        <v>0.56999999999999995</v>
      </c>
      <c r="T613" s="24">
        <f>(H613*I613)+P613*Q613+S613*K613</f>
        <v>0</v>
      </c>
      <c r="U613" s="25">
        <f>IF(TRIM(N613&amp;"")="111444",
    IF(ROUNDUP(MAX(0,K613-(MAX(1,Q613)-1)*10)/10,0)=1,3,2),
    IF(TRIM(N613&amp;"")="VWPAL",
        IF(TRIM(R613&amp;"")="004147",1,2),
        ""
    )
)</f>
        <v>2</v>
      </c>
      <c r="V613" s="26" t="str">
        <f>IF(OR(TRIM(N613&amp;"")="111444",TRIM(N613&amp;"")="VWPAL"),
    IF(K613&lt;=0,"",
        IF(
            MIN(3,ROUNDUP(MAX(0,K613-(MAX(1,Q613)-1)*IF(TRIM(N613&amp;"")="111444",10,20))/IF(TRIM(N613&amp;"")="111444",10,20),0))=1,
            300,
            IF(
                MIN(3,ROUNDUP(MAX(0,K613-(MAX(1,Q613)-1)*IF(TRIM(N613&amp;"")="111444",10,20))/IF(TRIM(N613&amp;"")="111444",10,20),0))=2,
                450,
                600
            )
        )
    ),
    ""
)</f>
        <v/>
      </c>
    </row>
    <row r="614" spans="1:22" ht="48.2" customHeight="1" x14ac:dyDescent="0.25">
      <c r="A614" s="17"/>
      <c r="B614" s="17"/>
      <c r="C614" s="18"/>
      <c r="D614" s="17"/>
      <c r="E614" s="19"/>
      <c r="F614" s="20"/>
      <c r="G614" s="21"/>
      <c r="H614" s="17"/>
      <c r="I614" s="20"/>
      <c r="J614" s="17"/>
      <c r="K614" s="17"/>
      <c r="L614" s="22"/>
      <c r="M614" s="22"/>
      <c r="N614" s="22"/>
      <c r="O614" s="22"/>
      <c r="P614" s="22"/>
      <c r="Q614" s="22"/>
      <c r="R614" s="23"/>
      <c r="S614" s="22"/>
      <c r="T614" s="24"/>
      <c r="U614" s="25"/>
    </row>
    <row r="615" spans="1:22" ht="48.2" customHeight="1" x14ac:dyDescent="0.25">
      <c r="A615" s="17">
        <f>VLOOKUP(C615,[1]Werke!$A$1:$C$168,3,0)</f>
        <v>7</v>
      </c>
      <c r="B615" s="17" t="str">
        <f>VLOOKUP(C615,[1]Werke!$A$1:$C$168,2,0)</f>
        <v>HL3</v>
      </c>
      <c r="C615" s="18" t="s">
        <v>309</v>
      </c>
      <c r="D615" s="17">
        <f>VLOOKUP(C615,[1]Maliteslimalan!$A$1:$B$210,2,0)</f>
        <v>8000017643</v>
      </c>
      <c r="E615" s="19">
        <v>6</v>
      </c>
      <c r="F615" s="20" t="str">
        <f>VLOOKUP(G615,$U$1:$V$1730,2,0)</f>
        <v>N   912 898 01</v>
      </c>
      <c r="G615" s="21">
        <v>100122200</v>
      </c>
      <c r="H615" s="17">
        <f>VLOOKUP(G615,Z$2:AA$1905,2,FALSE)</f>
        <v>1.8180000000000002E-2</v>
      </c>
      <c r="I615" s="20"/>
      <c r="J615" s="17">
        <f>VLOOKUP(G615,W$2:X$1905,2,FALSE)</f>
        <v>650</v>
      </c>
      <c r="K615" s="17">
        <f>I615/J615</f>
        <v>0</v>
      </c>
      <c r="L615" s="22">
        <v>20</v>
      </c>
      <c r="M615" s="22">
        <v>20</v>
      </c>
      <c r="N615" s="22" t="s">
        <v>155</v>
      </c>
      <c r="O615" s="22" t="str">
        <f>VLOOKUP(N615,$AL$1285:$AM$1310,2,FALSE)</f>
        <v>001210</v>
      </c>
      <c r="P615" s="22">
        <f>VLOOKUP(N615,AC$2:AD$1905,2,FALSE)</f>
        <v>55</v>
      </c>
      <c r="Q615" s="22"/>
      <c r="R615" s="23" t="s">
        <v>153</v>
      </c>
      <c r="S615" s="22">
        <f>VLOOKUP(R615,AC$2:AD$1905,2,FALSE)</f>
        <v>0.56999999999999995</v>
      </c>
      <c r="T615" s="24">
        <f>(H615*I615)+P615*Q615+S615*K615</f>
        <v>0</v>
      </c>
      <c r="U615" s="25">
        <f>IF(TRIM(N615&amp;"")="111444",
    IF(ROUNDUP(MAX(0,K615-(MAX(1,Q615)-1)*10)/10,0)=1,3,2),
    IF(TRIM(N615&amp;"")="VWPAL",
        IF(TRIM(R615&amp;"")="004147",1,2),
        ""
    )
)</f>
        <v>2</v>
      </c>
      <c r="V615" s="26" t="str">
        <f>IF(OR(TRIM(N615&amp;"")="111444",TRIM(N615&amp;"")="VWPAL"),
    IF(K615&lt;=0,"",
        IF(
            MIN(3,ROUNDUP(MAX(0,K615-(MAX(1,Q615)-1)*IF(TRIM(N615&amp;"")="111444",10,20))/IF(TRIM(N615&amp;"")="111444",10,20),0))=1,
            300,
            IF(
                MIN(3,ROUNDUP(MAX(0,K615-(MAX(1,Q615)-1)*IF(TRIM(N615&amp;"")="111444",10,20))/IF(TRIM(N615&amp;"")="111444",10,20),0))=2,
                450,
                600
            )
        )
    ),
    ""
)</f>
        <v/>
      </c>
    </row>
    <row r="616" spans="1:22" ht="48.2" customHeight="1" x14ac:dyDescent="0.25">
      <c r="A616" s="17"/>
      <c r="B616" s="17"/>
      <c r="C616" s="18"/>
      <c r="D616" s="17"/>
      <c r="E616" s="19"/>
      <c r="F616" s="20"/>
      <c r="G616" s="21"/>
      <c r="H616" s="17"/>
      <c r="I616" s="20"/>
      <c r="J616" s="17"/>
      <c r="K616" s="17"/>
      <c r="L616" s="22"/>
      <c r="M616" s="22"/>
      <c r="N616" s="22"/>
      <c r="O616" s="22"/>
      <c r="P616" s="22"/>
      <c r="Q616" s="22"/>
      <c r="R616" s="23"/>
      <c r="S616" s="22"/>
      <c r="T616" s="24"/>
      <c r="U616" s="25"/>
    </row>
    <row r="617" spans="1:22" ht="48.2" customHeight="1" x14ac:dyDescent="0.25">
      <c r="A617" s="17">
        <f>VLOOKUP(C617,[1]Werke!$A$1:$C$168,3,0)</f>
        <v>12</v>
      </c>
      <c r="B617" s="17" t="str">
        <f>VLOOKUP(C617,[1]Werke!$A$1:$C$168,2,0)</f>
        <v>U4</v>
      </c>
      <c r="C617" s="18" t="s">
        <v>310</v>
      </c>
      <c r="D617" s="17" t="str">
        <f>VLOOKUP(C617,[1]Maliteslimalan!$A$1:$B$210,2,0)</f>
        <v>8000013430</v>
      </c>
      <c r="E617" s="19" t="str">
        <f>VLOOKUP(C617,[1]Bestellnr.!$A$1:$B$174,2,0)</f>
        <v>000006</v>
      </c>
      <c r="F617" s="20" t="str">
        <f>VLOOKUP(G617,$U$1:$V$1730,2,0)</f>
        <v>N   108 788 01</v>
      </c>
      <c r="G617" s="21">
        <v>100147700</v>
      </c>
      <c r="H617" s="17">
        <f>VLOOKUP(G617,Z$2:AA$1905,2,FALSE)</f>
        <v>0.13436999999999999</v>
      </c>
      <c r="I617" s="20"/>
      <c r="J617" s="17">
        <f>VLOOKUP(G617,W$2:X$1905,2,FALSE)</f>
        <v>50</v>
      </c>
      <c r="K617" s="17">
        <f>I617/J617</f>
        <v>0</v>
      </c>
      <c r="L617" s="22">
        <v>10</v>
      </c>
      <c r="M617" s="22">
        <v>30</v>
      </c>
      <c r="N617" s="22">
        <v>111444</v>
      </c>
      <c r="O617" s="22" t="str">
        <f>VLOOKUP(N617,$AL$1285:$AM$1310,2,FALSE)</f>
        <v>001006</v>
      </c>
      <c r="P617" s="22">
        <f>VLOOKUP(N617,AC$2:AD$1905,2,FALSE)</f>
        <v>34</v>
      </c>
      <c r="Q617" s="22"/>
      <c r="R617" s="23" t="s">
        <v>153</v>
      </c>
      <c r="S617" s="22">
        <f>VLOOKUP(R617,AC$2:AD$1905,2,FALSE)</f>
        <v>0.56999999999999995</v>
      </c>
      <c r="T617" s="24">
        <f>(H617*I617)+P617*Q617+S617*K617</f>
        <v>0</v>
      </c>
      <c r="U617" s="25">
        <f>IF(TRIM(N617&amp;"")="111444",
    IF(ROUNDUP(MAX(0,K617-(MAX(1,Q617)-1)*10)/10,0)=1,3,2),
    IF(TRIM(N617&amp;"")="VWPAL",
        IF(TRIM(R617&amp;"")="004147",1,2),
        ""
    )
)</f>
        <v>2</v>
      </c>
      <c r="V617" s="26" t="str">
        <f>IF(OR(TRIM(N617&amp;"")="111444",TRIM(N617&amp;"")="VWPAL"),
    IF(K617&lt;=0,"",
        IF(
            MIN(3,ROUNDUP(MAX(0,K617-(MAX(1,Q617)-1)*IF(TRIM(N617&amp;"")="111444",10,20))/IF(TRIM(N617&amp;"")="111444",10,20),0))=1,
            300,
            IF(
                MIN(3,ROUNDUP(MAX(0,K617-(MAX(1,Q617)-1)*IF(TRIM(N617&amp;"")="111444",10,20))/IF(TRIM(N617&amp;"")="111444",10,20),0))=2,
                450,
                600
            )
        )
    ),
    ""
)</f>
        <v/>
      </c>
    </row>
    <row r="618" spans="1:22" ht="48.2" customHeight="1" x14ac:dyDescent="0.25">
      <c r="A618" s="17">
        <f>VLOOKUP(C618,[1]Werke!$A$1:$C$168,3,0)</f>
        <v>14</v>
      </c>
      <c r="B618" s="17" t="str">
        <f>VLOOKUP(C618,[1]Werke!$A$1:$C$168,2,0)</f>
        <v>D47</v>
      </c>
      <c r="C618" s="18" t="s">
        <v>246</v>
      </c>
      <c r="D618" s="17" t="str">
        <f>VLOOKUP(C618,[1]Maliteslimalan!$A$1:$B$210,2,0)</f>
        <v>8000012583</v>
      </c>
      <c r="E618" s="19">
        <f>VLOOKUP(C618,[1]Bestellnr.!$A$1:$B$174,2,0)</f>
        <v>0</v>
      </c>
      <c r="F618" s="20" t="str">
        <f>VLOOKUP(G618,$U$1:$V$1730,2,0)</f>
        <v>N   108 788 01</v>
      </c>
      <c r="G618" s="21">
        <v>100147700</v>
      </c>
      <c r="H618" s="17">
        <f>VLOOKUP(G618,Z$2:AA$1905,2,FALSE)</f>
        <v>0.13436999999999999</v>
      </c>
      <c r="I618" s="20"/>
      <c r="J618" s="17">
        <f>VLOOKUP(G618,W$2:X$1905,2,FALSE)</f>
        <v>50</v>
      </c>
      <c r="K618" s="17">
        <f>I618/J618</f>
        <v>0</v>
      </c>
      <c r="L618" s="22">
        <v>10</v>
      </c>
      <c r="M618" s="22">
        <v>30</v>
      </c>
      <c r="N618" s="22">
        <v>111444</v>
      </c>
      <c r="O618" s="22" t="str">
        <f>VLOOKUP(N618,$AL$1285:$AM$1310,2,FALSE)</f>
        <v>001006</v>
      </c>
      <c r="P618" s="22">
        <f>VLOOKUP(N618,AC$2:AD$1905,2,FALSE)</f>
        <v>34</v>
      </c>
      <c r="Q618" s="22"/>
      <c r="R618" s="23" t="s">
        <v>153</v>
      </c>
      <c r="S618" s="22">
        <f>VLOOKUP(R618,AC$2:AD$1905,2,FALSE)</f>
        <v>0.56999999999999995</v>
      </c>
      <c r="T618" s="24">
        <f>(H618*I618)+P618*Q618+S618*K618</f>
        <v>0</v>
      </c>
      <c r="U618" s="25">
        <f>IF(TRIM(N618&amp;"")="111444",
    IF(ROUNDUP(MAX(0,K618-(MAX(1,Q618)-1)*10)/10,0)=1,3,2),
    IF(TRIM(N618&amp;"")="VWPAL",
        IF(TRIM(R618&amp;"")="004147",1,2),
        ""
    )
)</f>
        <v>2</v>
      </c>
      <c r="V618" s="26" t="str">
        <f>IF(OR(TRIM(N618&amp;"")="111444",TRIM(N618&amp;"")="VWPAL"),
    IF(K618&lt;=0,"",
        IF(
            MIN(3,ROUNDUP(MAX(0,K618-(MAX(1,Q618)-1)*IF(TRIM(N618&amp;"")="111444",10,20))/IF(TRIM(N618&amp;"")="111444",10,20),0))=1,
            300,
            IF(
                MIN(3,ROUNDUP(MAX(0,K618-(MAX(1,Q618)-1)*IF(TRIM(N618&amp;"")="111444",10,20))/IF(TRIM(N618&amp;"")="111444",10,20),0))=2,
                450,
                600
            )
        )
    ),
    ""
)</f>
        <v/>
      </c>
    </row>
    <row r="619" spans="1:22" ht="48.2" customHeight="1" x14ac:dyDescent="0.25">
      <c r="A619" s="17"/>
      <c r="B619" s="17"/>
      <c r="C619" s="18"/>
      <c r="D619" s="17"/>
      <c r="E619" s="19"/>
      <c r="F619" s="20"/>
      <c r="G619" s="21"/>
      <c r="H619" s="17"/>
      <c r="I619" s="20"/>
      <c r="J619" s="17"/>
      <c r="K619" s="17"/>
      <c r="L619" s="22"/>
      <c r="M619" s="22"/>
      <c r="N619" s="22"/>
      <c r="O619" s="22"/>
      <c r="P619" s="22"/>
      <c r="Q619" s="22"/>
      <c r="R619" s="23"/>
      <c r="S619" s="22"/>
      <c r="T619" s="24"/>
      <c r="U619" s="25"/>
    </row>
    <row r="620" spans="1:22" ht="48.2" customHeight="1" x14ac:dyDescent="0.25">
      <c r="A620" s="17" t="str">
        <f>VLOOKUP(C620,[1]Werke!$A$1:$C$168,3,0)</f>
        <v>14S</v>
      </c>
      <c r="B620" s="17" t="str">
        <f>VLOOKUP(C620,[1]Werke!$A$1:$C$168,2,0)</f>
        <v>LZG</v>
      </c>
      <c r="C620" s="18" t="s">
        <v>311</v>
      </c>
      <c r="D620" s="17" t="str">
        <f>VLOOKUP(C620,[1]Maliteslimalan!$A$1:$B$210,2,0)</f>
        <v>8000014767</v>
      </c>
      <c r="E620" s="19" t="str">
        <f>VLOOKUP(C620,[1]Bestellnr.!$A$1:$B$174,2,0)</f>
        <v>000006</v>
      </c>
      <c r="F620" s="20" t="str">
        <f>VLOOKUP(G620,$U$1:$V$1730,2,0)</f>
        <v>WHT 009 839</v>
      </c>
      <c r="G620" s="21">
        <v>100197200</v>
      </c>
      <c r="H620" s="17">
        <f>VLOOKUP(G620,Z$2:AA$1905,2,FALSE)</f>
        <v>9.9799999999999993E-3</v>
      </c>
      <c r="I620" s="20"/>
      <c r="J620" s="17">
        <f>VLOOKUP(G620,W$2:X$1905,2,FALSE)</f>
        <v>500</v>
      </c>
      <c r="K620" s="17">
        <f>I620/J620</f>
        <v>0</v>
      </c>
      <c r="L620" s="22">
        <v>10</v>
      </c>
      <c r="M620" s="22">
        <v>10</v>
      </c>
      <c r="N620" s="22">
        <v>111444</v>
      </c>
      <c r="O620" s="22" t="str">
        <f>VLOOKUP(N620,$AL$1285:$AM$1310,2,FALSE)</f>
        <v>001006</v>
      </c>
      <c r="P620" s="22">
        <f>VLOOKUP(N620,AC$2:AD$1905,2,FALSE)</f>
        <v>34</v>
      </c>
      <c r="Q620" s="22"/>
      <c r="R620" s="23" t="s">
        <v>153</v>
      </c>
      <c r="S620" s="22">
        <f>VLOOKUP(R620,AC$2:AD$1905,2,FALSE)</f>
        <v>0.56999999999999995</v>
      </c>
      <c r="T620" s="24">
        <f>(H620*I620)+P620*Q620+S620*K620</f>
        <v>0</v>
      </c>
      <c r="U620" s="25">
        <f>IF(TRIM(N620&amp;"")="111444",
    IF(ROUNDUP(MAX(0,K620-(MAX(1,Q620)-1)*10)/10,0)=1,3,2),
    IF(TRIM(N620&amp;"")="VWPAL",
        IF(TRIM(R620&amp;"")="004147",1,2),
        ""
    )
)</f>
        <v>2</v>
      </c>
      <c r="V620" s="26" t="str">
        <f>IF(OR(TRIM(N620&amp;"")="111444",TRIM(N620&amp;"")="VWPAL"),
    IF(K620&lt;=0,"",
        IF(
            MIN(3,ROUNDUP(MAX(0,K620-(MAX(1,Q620)-1)*IF(TRIM(N620&amp;"")="111444",10,20))/IF(TRIM(N620&amp;"")="111444",10,20),0))=1,
            300,
            IF(
                MIN(3,ROUNDUP(MAX(0,K620-(MAX(1,Q620)-1)*IF(TRIM(N620&amp;"")="111444",10,20))/IF(TRIM(N620&amp;"")="111444",10,20),0))=2,
                450,
                600
            )
        )
    ),
    ""
)</f>
        <v/>
      </c>
    </row>
    <row r="621" spans="1:22" ht="48.2" customHeight="1" x14ac:dyDescent="0.25">
      <c r="A621" s="17">
        <f>VLOOKUP(C621,[1]Werke!$A$1:$C$168,3,0)</f>
        <v>14</v>
      </c>
      <c r="B621" s="17" t="str">
        <f>VLOOKUP(C621,[1]Werke!$A$1:$C$168,2,0)</f>
        <v>D85</v>
      </c>
      <c r="C621" s="18" t="s">
        <v>239</v>
      </c>
      <c r="D621" s="17" t="str">
        <f>VLOOKUP(C621,[1]Maliteslimalan!$A$1:$B$210,2,0)</f>
        <v>8000012682</v>
      </c>
      <c r="E621" s="19">
        <f>VLOOKUP(C621,[1]Bestellnr.!$A$1:$B$174,2,0)</f>
        <v>0</v>
      </c>
      <c r="F621" s="20" t="str">
        <f>VLOOKUP(G621,$U$1:$V$1730,2,0)</f>
        <v>WHT 009 839</v>
      </c>
      <c r="G621" s="21">
        <v>100197200</v>
      </c>
      <c r="H621" s="17">
        <f>VLOOKUP(G621,Z$2:AA$1905,2,FALSE)</f>
        <v>9.9799999999999993E-3</v>
      </c>
      <c r="I621" s="20"/>
      <c r="J621" s="17">
        <f>VLOOKUP(G621,W$2:X$1905,2,FALSE)</f>
        <v>500</v>
      </c>
      <c r="K621" s="17">
        <f>I621/J621</f>
        <v>0</v>
      </c>
      <c r="L621" s="22">
        <v>10</v>
      </c>
      <c r="M621" s="22">
        <v>10</v>
      </c>
      <c r="N621" s="22">
        <v>111444</v>
      </c>
      <c r="O621" s="22" t="str">
        <f>VLOOKUP(N621,$AL$1285:$AM$1310,2,FALSE)</f>
        <v>001006</v>
      </c>
      <c r="P621" s="22">
        <f>VLOOKUP(N621,AC$2:AD$1905,2,FALSE)</f>
        <v>34</v>
      </c>
      <c r="Q621" s="22"/>
      <c r="R621" s="23" t="s">
        <v>153</v>
      </c>
      <c r="S621" s="22">
        <f>VLOOKUP(R621,AC$2:AD$1905,2,FALSE)</f>
        <v>0.56999999999999995</v>
      </c>
      <c r="T621" s="24">
        <f>(H621*I621)+P621*Q621+S621*K621</f>
        <v>0</v>
      </c>
      <c r="U621" s="25">
        <f>IF(TRIM(N621&amp;"")="111444",
    IF(ROUNDUP(MAX(0,K621-(MAX(1,Q621)-1)*10)/10,0)=1,3,2),
    IF(TRIM(N621&amp;"")="VWPAL",
        IF(TRIM(R621&amp;"")="004147",1,2),
        ""
    )
)</f>
        <v>2</v>
      </c>
      <c r="V621" s="26" t="str">
        <f>IF(OR(TRIM(N621&amp;"")="111444",TRIM(N621&amp;"")="VWPAL"),
    IF(K621&lt;=0,"",
        IF(
            MIN(3,ROUNDUP(MAX(0,K621-(MAX(1,Q621)-1)*IF(TRIM(N621&amp;"")="111444",10,20))/IF(TRIM(N621&amp;"")="111444",10,20),0))=1,
            300,
            IF(
                MIN(3,ROUNDUP(MAX(0,K621-(MAX(1,Q621)-1)*IF(TRIM(N621&amp;"")="111444",10,20))/IF(TRIM(N621&amp;"")="111444",10,20),0))=2,
                450,
                600
            )
        )
    ),
    ""
)</f>
        <v/>
      </c>
    </row>
    <row r="622" spans="1:22" ht="48.2" customHeight="1" x14ac:dyDescent="0.25">
      <c r="A622" s="17"/>
      <c r="B622" s="17"/>
      <c r="C622" s="18"/>
      <c r="D622" s="17"/>
      <c r="E622" s="19"/>
      <c r="F622" s="20"/>
      <c r="G622" s="21"/>
      <c r="H622" s="17"/>
      <c r="I622" s="20"/>
      <c r="J622" s="17"/>
      <c r="K622" s="17"/>
      <c r="L622" s="22"/>
      <c r="M622" s="22"/>
      <c r="N622" s="22"/>
      <c r="O622" s="22"/>
      <c r="P622" s="22"/>
      <c r="Q622" s="22"/>
      <c r="R622" s="23"/>
      <c r="S622" s="22"/>
      <c r="T622" s="24"/>
      <c r="U622" s="25"/>
    </row>
    <row r="623" spans="1:22" ht="48.2" customHeight="1" x14ac:dyDescent="0.25">
      <c r="A623" s="17">
        <f>VLOOKUP(C623,[1]Werke!$A$1:$C$168,3,0)</f>
        <v>22</v>
      </c>
      <c r="B623" s="17" t="str">
        <f>VLOOKUP(C623,[1]Werke!$A$1:$C$168,2,0)</f>
        <v>13P</v>
      </c>
      <c r="C623" s="18" t="s">
        <v>215</v>
      </c>
      <c r="D623" s="17" t="str">
        <f>VLOOKUP(C623,[1]Maliteslimalan!$A$1:$B$210,2,0)</f>
        <v>8000014259</v>
      </c>
      <c r="E623" s="19" t="str">
        <f>VLOOKUP(C623,[1]Bestellnr.!$A$1:$B$174,2,0)</f>
        <v>000006</v>
      </c>
      <c r="F623" s="20" t="str">
        <f>VLOOKUP(G623,$U$1:$V$1730,2,0)</f>
        <v>N   107 822 01</v>
      </c>
      <c r="G623" s="21">
        <v>931828000</v>
      </c>
      <c r="H623" s="17">
        <f>VLOOKUP(G623,Z$2:AA$1905,2,FALSE)</f>
        <v>3.9550000000000002E-2</v>
      </c>
      <c r="I623" s="20"/>
      <c r="J623" s="17">
        <f>VLOOKUP(G623,W$2:X$1905,2,FALSE)</f>
        <v>200</v>
      </c>
      <c r="K623" s="17">
        <f>I623/J623</f>
        <v>0</v>
      </c>
      <c r="L623" s="22">
        <v>10</v>
      </c>
      <c r="M623" s="22">
        <v>30</v>
      </c>
      <c r="N623" s="22">
        <v>111444</v>
      </c>
      <c r="O623" s="22" t="str">
        <f>VLOOKUP(N623,$AL$1285:$AM$1310,2,FALSE)</f>
        <v>001006</v>
      </c>
      <c r="P623" s="22">
        <f>VLOOKUP(N623,AC$2:AD$1905,2,FALSE)</f>
        <v>34</v>
      </c>
      <c r="Q623" s="22"/>
      <c r="R623" s="23" t="s">
        <v>153</v>
      </c>
      <c r="S623" s="22">
        <f>VLOOKUP(R623,AC$2:AD$1905,2,FALSE)</f>
        <v>0.56999999999999995</v>
      </c>
      <c r="T623" s="24">
        <f>(H623*I623)+P623*Q623+S623*K623</f>
        <v>0</v>
      </c>
      <c r="U623" s="25">
        <f>IF(TRIM(N623&amp;"")="111444",
    IF(ROUNDUP(MAX(0,K623-(MAX(1,Q623)-1)*10)/10,0)=1,3,2),
    IF(TRIM(N623&amp;"")="VWPAL",
        IF(TRIM(R623&amp;"")="004147",1,2),
        ""
    )
)</f>
        <v>2</v>
      </c>
      <c r="V623" s="26" t="str">
        <f>IF(OR(TRIM(N623&amp;"")="111444",TRIM(N623&amp;"")="VWPAL"),
    IF(K623&lt;=0,"",
        IF(
            MIN(3,ROUNDUP(MAX(0,K623-(MAX(1,Q623)-1)*IF(TRIM(N623&amp;"")="111444",10,20))/IF(TRIM(N623&amp;"")="111444",10,20),0))=1,
            300,
            IF(
                MIN(3,ROUNDUP(MAX(0,K623-(MAX(1,Q623)-1)*IF(TRIM(N623&amp;"")="111444",10,20))/IF(TRIM(N623&amp;"")="111444",10,20),0))=2,
                450,
                600
            )
        )
    ),
    ""
)</f>
        <v/>
      </c>
    </row>
    <row r="624" spans="1:22" ht="48.2" customHeight="1" x14ac:dyDescent="0.25">
      <c r="A624" s="17"/>
      <c r="B624" s="17"/>
      <c r="C624" s="18"/>
      <c r="D624" s="17"/>
      <c r="E624" s="19"/>
      <c r="F624" s="20"/>
      <c r="G624" s="21"/>
      <c r="H624" s="17"/>
      <c r="I624" s="20"/>
      <c r="J624" s="17"/>
      <c r="K624" s="17"/>
      <c r="L624" s="22"/>
      <c r="M624" s="22"/>
      <c r="N624" s="22"/>
      <c r="O624" s="22"/>
      <c r="P624" s="22"/>
      <c r="Q624" s="22"/>
      <c r="R624" s="23"/>
      <c r="S624" s="22"/>
      <c r="T624" s="24"/>
      <c r="U624" s="25"/>
    </row>
    <row r="625" spans="1:22" ht="48.2" customHeight="1" x14ac:dyDescent="0.25">
      <c r="A625" s="17">
        <f>VLOOKUP(C625,[1]Werke!$A$1:$C$168,3,0)</f>
        <v>12</v>
      </c>
      <c r="B625" s="17" t="str">
        <f>VLOOKUP(C625,[1]Werke!$A$1:$C$168,2,0)</f>
        <v>AKL</v>
      </c>
      <c r="C625" s="18" t="s">
        <v>228</v>
      </c>
      <c r="D625" s="17" t="str">
        <f>VLOOKUP(C625,[1]Maliteslimalan!$A$1:$B$210,2,0)</f>
        <v>8000012700</v>
      </c>
      <c r="E625" s="19" t="str">
        <f>VLOOKUP(C625,[1]Bestellnr.!$A$1:$B$174,2,0)</f>
        <v>000006</v>
      </c>
      <c r="F625" s="20" t="str">
        <f>VLOOKUP(G625,$U$1:$V$1730,2,0)</f>
        <v>N   912 923 01</v>
      </c>
      <c r="G625" s="21">
        <v>110039600</v>
      </c>
      <c r="H625" s="17">
        <f>VLOOKUP(G625,Z$2:AA$1905,2,FALSE)</f>
        <v>2.588E-2</v>
      </c>
      <c r="I625" s="20"/>
      <c r="J625" s="17">
        <f>VLOOKUP(G625,W$2:X$1905,2,FALSE)</f>
        <v>500</v>
      </c>
      <c r="K625" s="17">
        <f>I625/J625</f>
        <v>0</v>
      </c>
      <c r="L625" s="22">
        <v>10</v>
      </c>
      <c r="M625" s="22">
        <v>30</v>
      </c>
      <c r="N625" s="22">
        <v>111444</v>
      </c>
      <c r="O625" s="22" t="str">
        <f>VLOOKUP(N625,$AL$1285:$AM$1310,2,FALSE)</f>
        <v>001006</v>
      </c>
      <c r="P625" s="22">
        <f>VLOOKUP(N625,AC$2:AD$1905,2,FALSE)</f>
        <v>34</v>
      </c>
      <c r="Q625" s="22"/>
      <c r="R625" s="23" t="s">
        <v>153</v>
      </c>
      <c r="S625" s="22">
        <f>VLOOKUP(R625,AC$2:AD$1905,2,FALSE)</f>
        <v>0.56999999999999995</v>
      </c>
      <c r="T625" s="24">
        <f>(H625*I625)+P625*Q625+S625*K625</f>
        <v>0</v>
      </c>
      <c r="U625" s="25">
        <f>IF(TRIM(N625&amp;"")="111444",
    IF(ROUNDUP(MAX(0,K625-(MAX(1,Q625)-1)*10)/10,0)=1,3,2),
    IF(TRIM(N625&amp;"")="VWPAL",
        IF(TRIM(R625&amp;"")="004147",1,2),
        ""
    )
)</f>
        <v>2</v>
      </c>
      <c r="V625" s="26" t="str">
        <f>IF(OR(TRIM(N625&amp;"")="111444",TRIM(N625&amp;"")="VWPAL"),
    IF(K625&lt;=0,"",
        IF(
            MIN(3,ROUNDUP(MAX(0,K625-(MAX(1,Q625)-1)*IF(TRIM(N625&amp;"")="111444",10,20))/IF(TRIM(N625&amp;"")="111444",10,20),0))=1,
            300,
            IF(
                MIN(3,ROUNDUP(MAX(0,K625-(MAX(1,Q625)-1)*IF(TRIM(N625&amp;"")="111444",10,20))/IF(TRIM(N625&amp;"")="111444",10,20),0))=2,
                450,
                600
            )
        )
    ),
    ""
)</f>
        <v/>
      </c>
    </row>
    <row r="626" spans="1:22" ht="48.2" customHeight="1" x14ac:dyDescent="0.25">
      <c r="A626" s="17">
        <f>VLOOKUP(C626,[1]Werke!$A$1:$C$168,3,0)</f>
        <v>14</v>
      </c>
      <c r="B626" s="17" t="str">
        <f>VLOOKUP(C626,[1]Werke!$A$1:$C$168,2,0)</f>
        <v>D72</v>
      </c>
      <c r="C626" s="18" t="s">
        <v>220</v>
      </c>
      <c r="D626" s="17" t="str">
        <f>VLOOKUP(C626,[1]Maliteslimalan!$A$1:$B$210,2,0)</f>
        <v>8000013493</v>
      </c>
      <c r="E626" s="19">
        <f>VLOOKUP(C626,[1]Bestellnr.!$A$1:$B$174,2,0)</f>
        <v>0</v>
      </c>
      <c r="F626" s="20" t="str">
        <f>VLOOKUP(G626,$U$1:$V$1730,2,0)</f>
        <v>N   912 923 01</v>
      </c>
      <c r="G626" s="21">
        <v>110039600</v>
      </c>
      <c r="H626" s="17">
        <f>VLOOKUP(G626,Z$2:AA$1905,2,FALSE)</f>
        <v>2.588E-2</v>
      </c>
      <c r="I626" s="20"/>
      <c r="J626" s="17">
        <f>VLOOKUP(G626,W$2:X$1905,2,FALSE)</f>
        <v>500</v>
      </c>
      <c r="K626" s="17">
        <f>I626/J626</f>
        <v>0</v>
      </c>
      <c r="L626" s="22">
        <v>10</v>
      </c>
      <c r="M626" s="22">
        <v>30</v>
      </c>
      <c r="N626" s="22">
        <v>111444</v>
      </c>
      <c r="O626" s="22" t="str">
        <f>VLOOKUP(N626,$AL$1285:$AM$1310,2,FALSE)</f>
        <v>001006</v>
      </c>
      <c r="P626" s="22">
        <f>VLOOKUP(N626,AC$2:AD$1905,2,FALSE)</f>
        <v>34</v>
      </c>
      <c r="Q626" s="22"/>
      <c r="R626" s="23" t="s">
        <v>153</v>
      </c>
      <c r="S626" s="22">
        <f>VLOOKUP(R626,AC$2:AD$1905,2,FALSE)</f>
        <v>0.56999999999999995</v>
      </c>
      <c r="T626" s="24">
        <f>(H626*I626)+P626*Q626+S626*K626</f>
        <v>0</v>
      </c>
      <c r="U626" s="25">
        <f>IF(TRIM(N626&amp;"")="111444",
    IF(ROUNDUP(MAX(0,K626-(MAX(1,Q626)-1)*10)/10,0)=1,3,2),
    IF(TRIM(N626&amp;"")="VWPAL",
        IF(TRIM(R626&amp;"")="004147",1,2),
        ""
    )
)</f>
        <v>2</v>
      </c>
      <c r="V626" s="26" t="str">
        <f>IF(OR(TRIM(N626&amp;"")="111444",TRIM(N626&amp;"")="VWPAL"),
    IF(K626&lt;=0,"",
        IF(
            MIN(3,ROUNDUP(MAX(0,K626-(MAX(1,Q626)-1)*IF(TRIM(N626&amp;"")="111444",10,20))/IF(TRIM(N626&amp;"")="111444",10,20),0))=1,
            300,
            IF(
                MIN(3,ROUNDUP(MAX(0,K626-(MAX(1,Q626)-1)*IF(TRIM(N626&amp;"")="111444",10,20))/IF(TRIM(N626&amp;"")="111444",10,20),0))=2,
                450,
                600
            )
        )
    ),
    ""
)</f>
        <v/>
      </c>
    </row>
    <row r="627" spans="1:22" ht="48.2" customHeight="1" x14ac:dyDescent="0.25">
      <c r="A627" s="17"/>
      <c r="B627" s="17"/>
      <c r="C627" s="18"/>
      <c r="D627" s="17"/>
      <c r="E627" s="19"/>
      <c r="F627" s="20"/>
      <c r="G627" s="21"/>
      <c r="H627" s="17"/>
      <c r="I627" s="20"/>
      <c r="J627" s="17"/>
      <c r="K627" s="17"/>
      <c r="L627" s="22"/>
      <c r="M627" s="22"/>
      <c r="N627" s="22"/>
      <c r="O627" s="22"/>
      <c r="P627" s="22"/>
      <c r="Q627" s="22"/>
      <c r="R627" s="23"/>
      <c r="S627" s="22"/>
      <c r="T627" s="24"/>
      <c r="U627" s="25"/>
    </row>
    <row r="628" spans="1:22" ht="48.2" customHeight="1" x14ac:dyDescent="0.25">
      <c r="A628" s="17">
        <f>VLOOKUP(C628,[1]Werke!$A$1:$C$168,3,0)</f>
        <v>15</v>
      </c>
      <c r="B628" s="17" t="str">
        <f>VLOOKUP(C628,[1]Werke!$A$1:$C$168,2,0)</f>
        <v>H9A</v>
      </c>
      <c r="C628" s="18" t="s">
        <v>240</v>
      </c>
      <c r="D628" s="17">
        <f>VLOOKUP(C628,[1]Maliteslimalan!$A$1:$B$210,2,0)</f>
        <v>8000017580</v>
      </c>
      <c r="E628" s="19">
        <v>6</v>
      </c>
      <c r="F628" s="20" t="str">
        <f>VLOOKUP(G628,$U$1:$V$1730,2,0)</f>
        <v>N   911 462 01</v>
      </c>
      <c r="G628" s="21">
        <v>100375200</v>
      </c>
      <c r="H628" s="17">
        <f>VLOOKUP(G628,Z$2:AA$1905,2,FALSE)</f>
        <v>2.5499999999999998E-2</v>
      </c>
      <c r="I628" s="20"/>
      <c r="J628" s="17">
        <v>500</v>
      </c>
      <c r="K628" s="17">
        <f>I628/J628</f>
        <v>0</v>
      </c>
      <c r="L628" s="22">
        <v>10</v>
      </c>
      <c r="M628" s="22">
        <v>10</v>
      </c>
      <c r="N628" s="22">
        <v>111444</v>
      </c>
      <c r="O628" s="22" t="str">
        <f>VLOOKUP(N628,$AL$1285:$AM$1310,2,FALSE)</f>
        <v>001006</v>
      </c>
      <c r="P628" s="22">
        <f>VLOOKUP(N628,AC$2:AD$1905,2,FALSE)</f>
        <v>34</v>
      </c>
      <c r="Q628" s="22"/>
      <c r="R628" s="23" t="s">
        <v>153</v>
      </c>
      <c r="S628" s="22">
        <f>VLOOKUP(R628,AC$2:AD$1905,2,FALSE)</f>
        <v>0.56999999999999995</v>
      </c>
      <c r="T628" s="24">
        <f>(H628*I628)+P628*Q628+S628*K628</f>
        <v>0</v>
      </c>
      <c r="U628" s="25">
        <f>IF(TRIM(N628&amp;"")="111444",
    IF(ROUNDUP(MAX(0,K628-(MAX(1,Q628)-1)*10)/10,0)=1,3,2),
    IF(TRIM(N628&amp;"")="VWPAL",
        IF(TRIM(R628&amp;"")="004147",1,2),
        ""
    )
)</f>
        <v>2</v>
      </c>
      <c r="V628" s="26" t="str">
        <f>IF(OR(TRIM(N628&amp;"")="111444",TRIM(N628&amp;"")="VWPAL"),
    IF(K628&lt;=0,"",
        IF(
            MIN(3,ROUNDUP(MAX(0,K628-(MAX(1,Q628)-1)*IF(TRIM(N628&amp;"")="111444",10,20))/IF(TRIM(N628&amp;"")="111444",10,20),0))=1,
            300,
            IF(
                MIN(3,ROUNDUP(MAX(0,K628-(MAX(1,Q628)-1)*IF(TRIM(N628&amp;"")="111444",10,20))/IF(TRIM(N628&amp;"")="111444",10,20),0))=2,
                450,
                600
            )
        )
    ),
    ""
)</f>
        <v/>
      </c>
    </row>
    <row r="629" spans="1:22" ht="48.2" customHeight="1" x14ac:dyDescent="0.25">
      <c r="A629" s="17">
        <f>VLOOKUP(C629,[1]Werke!$A$1:$C$168,3,0)</f>
        <v>31</v>
      </c>
      <c r="B629" s="17" t="str">
        <f>VLOOKUP(C629,[1]Werke!$A$1:$C$168,2,0)</f>
        <v>B62</v>
      </c>
      <c r="C629" s="18">
        <v>10362</v>
      </c>
      <c r="D629" s="17" t="str">
        <f>VLOOKUP(C629,[1]Maliteslimalan!$A$1:$B$210,2,0)</f>
        <v>8000012742</v>
      </c>
      <c r="E629" s="19">
        <v>6</v>
      </c>
      <c r="F629" s="20" t="str">
        <f>VLOOKUP(G629,$U$1:$V$1730,2,0)</f>
        <v>N   911 462 01</v>
      </c>
      <c r="G629" s="21">
        <v>100375200</v>
      </c>
      <c r="H629" s="17">
        <f>VLOOKUP(G629,Z$2:AA$1905,2,FALSE)</f>
        <v>2.5499999999999998E-2</v>
      </c>
      <c r="I629" s="20"/>
      <c r="J629" s="17">
        <v>500</v>
      </c>
      <c r="K629" s="17">
        <f>I629/J629</f>
        <v>0</v>
      </c>
      <c r="L629" s="22">
        <v>10</v>
      </c>
      <c r="M629" s="22">
        <v>10</v>
      </c>
      <c r="N629" s="22">
        <v>111444</v>
      </c>
      <c r="O629" s="22" t="str">
        <f>VLOOKUP(N629,$AL$1285:$AM$1310,2,FALSE)</f>
        <v>001006</v>
      </c>
      <c r="P629" s="22">
        <f>VLOOKUP(N629,AC$2:AD$1905,2,FALSE)</f>
        <v>34</v>
      </c>
      <c r="Q629" s="22"/>
      <c r="R629" s="23" t="s">
        <v>153</v>
      </c>
      <c r="S629" s="22">
        <f>VLOOKUP(R629,AC$2:AD$1905,2,FALSE)</f>
        <v>0.56999999999999995</v>
      </c>
      <c r="T629" s="24">
        <f>(H629*I629)+P629*Q629+S629*K629</f>
        <v>0</v>
      </c>
      <c r="U629" s="25">
        <f>IF(TRIM(N629&amp;"")="111444",
    IF(ROUNDUP(MAX(0,K629-(MAX(1,Q629)-1)*10)/10,0)=1,3,2),
    IF(TRIM(N629&amp;"")="VWPAL",
        IF(TRIM(R629&amp;"")="004147",1,2),
        ""
    )
)</f>
        <v>2</v>
      </c>
      <c r="V629" s="26" t="str">
        <f>IF(OR(TRIM(N629&amp;"")="111444",TRIM(N629&amp;"")="VWPAL"),
    IF(K629&lt;=0,"",
        IF(
            MIN(3,ROUNDUP(MAX(0,K629-(MAX(1,Q629)-1)*IF(TRIM(N629&amp;"")="111444",10,20))/IF(TRIM(N629&amp;"")="111444",10,20),0))=1,
            300,
            IF(
                MIN(3,ROUNDUP(MAX(0,K629-(MAX(1,Q629)-1)*IF(TRIM(N629&amp;"")="111444",10,20))/IF(TRIM(N629&amp;"")="111444",10,20),0))=2,
                450,
                600
            )
        )
    ),
    ""
)</f>
        <v/>
      </c>
    </row>
    <row r="630" spans="1:22" ht="48.2" customHeight="1" x14ac:dyDescent="0.25">
      <c r="A630" s="17">
        <f>VLOOKUP(C630,[1]Werke!$A$1:$C$168,3,0)</f>
        <v>14</v>
      </c>
      <c r="B630" s="17" t="str">
        <f>VLOOKUP(C630,[1]Werke!$A$1:$C$168,2,0)</f>
        <v>D72</v>
      </c>
      <c r="C630" s="18" t="s">
        <v>220</v>
      </c>
      <c r="D630" s="17" t="str">
        <f>VLOOKUP(C630,[1]Maliteslimalan!$A$1:$B$210,2,0)</f>
        <v>8000013493</v>
      </c>
      <c r="E630" s="19">
        <f>VLOOKUP(C630,[1]Bestellnr.!$A$1:$B$174,2,0)</f>
        <v>0</v>
      </c>
      <c r="F630" s="20" t="str">
        <f>VLOOKUP(G630,$U$1:$V$1730,2,0)</f>
        <v>N   911 462 01</v>
      </c>
      <c r="G630" s="21">
        <v>100375200</v>
      </c>
      <c r="H630" s="17">
        <f>VLOOKUP(G630,Z$2:AA$1905,2,FALSE)</f>
        <v>2.5499999999999998E-2</v>
      </c>
      <c r="I630" s="20"/>
      <c r="J630" s="17">
        <f>VLOOKUP(G630,W$2:X$1905,2,FALSE)</f>
        <v>400</v>
      </c>
      <c r="K630" s="17">
        <f>I630/J630</f>
        <v>0</v>
      </c>
      <c r="L630" s="22">
        <v>10</v>
      </c>
      <c r="M630" s="22">
        <v>30</v>
      </c>
      <c r="N630" s="22">
        <v>111444</v>
      </c>
      <c r="O630" s="22" t="str">
        <f>VLOOKUP(N630,$AL$1285:$AM$1310,2,FALSE)</f>
        <v>001006</v>
      </c>
      <c r="P630" s="22">
        <f>VLOOKUP(N630,AC$2:AD$1905,2,FALSE)</f>
        <v>34</v>
      </c>
      <c r="Q630" s="22"/>
      <c r="R630" s="23" t="s">
        <v>153</v>
      </c>
      <c r="S630" s="22">
        <f>VLOOKUP(R630,AC$2:AD$1905,2,FALSE)</f>
        <v>0.56999999999999995</v>
      </c>
      <c r="T630" s="24">
        <f>(H630*I630)+P630*Q630+S630*K630</f>
        <v>0</v>
      </c>
      <c r="U630" s="25">
        <f>IF(TRIM(N630&amp;"")="111444",
    IF(ROUNDUP(MAX(0,K630-(MAX(1,Q630)-1)*10)/10,0)=1,3,2),
    IF(TRIM(N630&amp;"")="VWPAL",
        IF(TRIM(R630&amp;"")="004147",1,2),
        ""
    )
)</f>
        <v>2</v>
      </c>
      <c r="V630" s="26" t="str">
        <f>IF(OR(TRIM(N630&amp;"")="111444",TRIM(N630&amp;"")="VWPAL"),
    IF(K630&lt;=0,"",
        IF(
            MIN(3,ROUNDUP(MAX(0,K630-(MAX(1,Q630)-1)*IF(TRIM(N630&amp;"")="111444",10,20))/IF(TRIM(N630&amp;"")="111444",10,20),0))=1,
            300,
            IF(
                MIN(3,ROUNDUP(MAX(0,K630-(MAX(1,Q630)-1)*IF(TRIM(N630&amp;"")="111444",10,20))/IF(TRIM(N630&amp;"")="111444",10,20),0))=2,
                450,
                600
            )
        )
    ),
    ""
)</f>
        <v/>
      </c>
    </row>
    <row r="631" spans="1:22" ht="48.2" customHeight="1" x14ac:dyDescent="0.25">
      <c r="A631" s="17" t="str">
        <f>VLOOKUP(C631,[1]Werke!$A$1:$C$168,3,0)</f>
        <v>LD</v>
      </c>
      <c r="B631" s="17" t="str">
        <f>VLOOKUP(C631,[1]Werke!$A$1:$C$168,2,0)</f>
        <v>SLD</v>
      </c>
      <c r="C631" s="18">
        <v>83630</v>
      </c>
      <c r="D631" s="17" t="str">
        <f>VLOOKUP(C631,[1]Maliteslimalan!$A$1:$B$210,2,0)</f>
        <v>8000012862</v>
      </c>
      <c r="E631" s="19" t="str">
        <f>VLOOKUP(C631,[1]Bestellnr.!$A$1:$B$174,2,0)</f>
        <v>000006</v>
      </c>
      <c r="F631" s="20" t="str">
        <f>VLOOKUP(G631,$U$1:$V$1730,2,0)</f>
        <v>N   911 462 01</v>
      </c>
      <c r="G631" s="21">
        <v>100375200</v>
      </c>
      <c r="H631" s="17">
        <f>VLOOKUP(G631,Z$2:AA$1905,2,FALSE)</f>
        <v>2.5499999999999998E-2</v>
      </c>
      <c r="I631" s="20"/>
      <c r="J631" s="17">
        <f>VLOOKUP(G631,W$2:X$1905,2,FALSE)</f>
        <v>400</v>
      </c>
      <c r="K631" s="17">
        <f>I631/J631</f>
        <v>0</v>
      </c>
      <c r="L631" s="22">
        <v>10</v>
      </c>
      <c r="M631" s="22">
        <v>30</v>
      </c>
      <c r="N631" s="22">
        <v>111444</v>
      </c>
      <c r="O631" s="22" t="str">
        <f>VLOOKUP(N631,$AL$1285:$AM$1310,2,FALSE)</f>
        <v>001006</v>
      </c>
      <c r="P631" s="22">
        <f>VLOOKUP(N631,AC$2:AD$1905,2,FALSE)</f>
        <v>34</v>
      </c>
      <c r="Q631" s="22"/>
      <c r="R631" s="23" t="s">
        <v>153</v>
      </c>
      <c r="S631" s="22">
        <f>VLOOKUP(R631,AC$2:AD$1905,2,FALSE)</f>
        <v>0.56999999999999995</v>
      </c>
      <c r="T631" s="24">
        <f>(H631*I631)+P631*Q631+S631*K631</f>
        <v>0</v>
      </c>
      <c r="U631" s="25">
        <f>IF(TRIM(N631&amp;"")="111444",
    IF(ROUNDUP(MAX(0,K631-(MAX(1,Q631)-1)*10)/10,0)=1,3,2),
    IF(TRIM(N631&amp;"")="VWPAL",
        IF(TRIM(R631&amp;"")="004147",1,2),
        ""
    )
)</f>
        <v>2</v>
      </c>
      <c r="V631" s="26" t="str">
        <f>IF(OR(TRIM(N631&amp;"")="111444",TRIM(N631&amp;"")="VWPAL"),
    IF(K631&lt;=0,"",
        IF(
            MIN(3,ROUNDUP(MAX(0,K631-(MAX(1,Q631)-1)*IF(TRIM(N631&amp;"")="111444",10,20))/IF(TRIM(N631&amp;"")="111444",10,20),0))=1,
            300,
            IF(
                MIN(3,ROUNDUP(MAX(0,K631-(MAX(1,Q631)-1)*IF(TRIM(N631&amp;"")="111444",10,20))/IF(TRIM(N631&amp;"")="111444",10,20),0))=2,
                450,
                600
            )
        )
    ),
    ""
)</f>
        <v/>
      </c>
    </row>
    <row r="632" spans="1:22" ht="48.2" customHeight="1" x14ac:dyDescent="0.25">
      <c r="A632" s="17"/>
      <c r="B632" s="17"/>
      <c r="C632" s="18"/>
      <c r="D632" s="17"/>
      <c r="E632" s="19"/>
      <c r="F632" s="20"/>
      <c r="G632" s="21"/>
      <c r="H632" s="17"/>
      <c r="I632" s="20"/>
      <c r="J632" s="17"/>
      <c r="K632" s="17"/>
      <c r="L632" s="22"/>
      <c r="M632" s="22"/>
      <c r="N632" s="22"/>
      <c r="O632" s="22"/>
      <c r="P632" s="22"/>
      <c r="Q632" s="22"/>
      <c r="R632" s="23"/>
      <c r="S632" s="22"/>
      <c r="T632" s="24"/>
      <c r="U632" s="25"/>
    </row>
    <row r="633" spans="1:22" ht="48" customHeight="1" x14ac:dyDescent="0.25">
      <c r="A633" s="17">
        <f>VLOOKUP(C633,[1]Werke!$A$1:$C$168,3,0)</f>
        <v>14</v>
      </c>
      <c r="B633" s="17" t="str">
        <f>VLOOKUP(C633,[1]Werke!$A$1:$C$168,2,0)</f>
        <v>D85</v>
      </c>
      <c r="C633" s="18" t="s">
        <v>239</v>
      </c>
      <c r="D633" s="17" t="str">
        <f>VLOOKUP(C633,[1]Maliteslimalan!$A$1:$B$210,2,0)</f>
        <v>8000012682</v>
      </c>
      <c r="E633" s="19">
        <f>VLOOKUP(C633,[1]Bestellnr.!$A$1:$B$174,2,0)</f>
        <v>0</v>
      </c>
      <c r="F633" s="20" t="str">
        <f>VLOOKUP(G633,$U$1:$V$1730,2,0)</f>
        <v>N   911 961 01</v>
      </c>
      <c r="G633" s="21">
        <v>926672000</v>
      </c>
      <c r="H633" s="17">
        <f>VLOOKUP(G633,Z$2:AA$1905,2,FALSE)</f>
        <v>0.10524</v>
      </c>
      <c r="I633" s="20"/>
      <c r="J633" s="17">
        <f>VLOOKUP(G633,W$2:X$1905,2,FALSE)</f>
        <v>100</v>
      </c>
      <c r="K633" s="17">
        <f>I633/J633</f>
        <v>0</v>
      </c>
      <c r="L633" s="22">
        <v>10</v>
      </c>
      <c r="M633" s="22">
        <v>30</v>
      </c>
      <c r="N633" s="22">
        <v>111444</v>
      </c>
      <c r="O633" s="22" t="str">
        <f>VLOOKUP(N633,$AL$1285:$AM$1310,2,FALSE)</f>
        <v>001006</v>
      </c>
      <c r="P633" s="22">
        <f>VLOOKUP(N633,AC$2:AD$1905,2,FALSE)</f>
        <v>34</v>
      </c>
      <c r="Q633" s="22"/>
      <c r="R633" s="23" t="s">
        <v>153</v>
      </c>
      <c r="S633" s="22">
        <f>VLOOKUP(R633,AC$2:AD$1905,2,FALSE)</f>
        <v>0.56999999999999995</v>
      </c>
      <c r="T633" s="24">
        <f>(H633*I633)+P633*Q633+S633*K633</f>
        <v>0</v>
      </c>
      <c r="U633" s="25">
        <f>IF(TRIM(N633&amp;"")="111444",
    IF(ROUNDUP(MAX(0,K633-(MAX(1,Q633)-1)*10)/10,0)=1,3,2),
    IF(TRIM(N633&amp;"")="VWPAL",
        IF(TRIM(R633&amp;"")="004147",1,2),
        ""
    )
)</f>
        <v>2</v>
      </c>
      <c r="V633" s="26" t="str">
        <f>IF(OR(TRIM(N633&amp;"")="111444",TRIM(N633&amp;"")="VWPAL"),
    IF(K633&lt;=0,"",
        IF(
            MIN(3,ROUNDUP(MAX(0,K633-(MAX(1,Q633)-1)*IF(TRIM(N633&amp;"")="111444",10,20))/IF(TRIM(N633&amp;"")="111444",10,20),0))=1,
            300,
            IF(
                MIN(3,ROUNDUP(MAX(0,K633-(MAX(1,Q633)-1)*IF(TRIM(N633&amp;"")="111444",10,20))/IF(TRIM(N633&amp;"")="111444",10,20),0))=2,
                450,
                600
            )
        )
    ),
    ""
)</f>
        <v/>
      </c>
    </row>
    <row r="634" spans="1:22" ht="48" customHeight="1" x14ac:dyDescent="0.25">
      <c r="A634" s="17"/>
      <c r="B634" s="17"/>
      <c r="C634" s="18"/>
      <c r="D634" s="17"/>
      <c r="E634" s="19"/>
      <c r="F634" s="20"/>
      <c r="G634" s="21"/>
      <c r="H634" s="17"/>
      <c r="I634" s="20"/>
      <c r="J634" s="17"/>
      <c r="K634" s="17"/>
      <c r="L634" s="22"/>
      <c r="M634" s="22"/>
      <c r="N634" s="22"/>
      <c r="O634" s="22"/>
      <c r="P634" s="22"/>
      <c r="Q634" s="22"/>
      <c r="R634" s="23"/>
      <c r="S634" s="22"/>
      <c r="T634" s="24"/>
      <c r="U634" s="25"/>
    </row>
    <row r="635" spans="1:22" ht="48" customHeight="1" x14ac:dyDescent="0.25">
      <c r="A635" s="17">
        <f>VLOOKUP(C635,[1]Werke!$A$1:$C$168,3,0)</f>
        <v>33</v>
      </c>
      <c r="B635" s="17" t="str">
        <f>VLOOKUP(C635,[1]Werke!$A$1:$C$168,2,0)</f>
        <v>KK2</v>
      </c>
      <c r="C635" s="18" t="s">
        <v>233</v>
      </c>
      <c r="D635" s="17" t="str">
        <f>VLOOKUP(C635,[1]Maliteslimalan!$A$1:$B$210,2,0)</f>
        <v>8000012709</v>
      </c>
      <c r="E635" s="19" t="str">
        <f>VLOOKUP(C635,[1]Bestellnr.!$A$1:$B$174,2,0)</f>
        <v>000055</v>
      </c>
      <c r="F635" s="20" t="str">
        <f t="shared" ref="F635:F640" si="324">VLOOKUP(G635,$U$1:$V$1730,2,0)</f>
        <v>N   108 949 01</v>
      </c>
      <c r="G635" s="21">
        <v>100469100</v>
      </c>
      <c r="H635" s="17">
        <f t="shared" ref="H635:H640" si="325">VLOOKUP(G635,Z$2:AA$1905,2,FALSE)</f>
        <v>5.7000000000000002E-2</v>
      </c>
      <c r="I635" s="20"/>
      <c r="J635" s="17">
        <f t="shared" ref="J635:J640" si="326">VLOOKUP(G635,W$2:X$1905,2,FALSE)</f>
        <v>250</v>
      </c>
      <c r="K635" s="17">
        <f t="shared" ref="K635:K640" si="327">I635/J635</f>
        <v>0</v>
      </c>
      <c r="L635" s="22">
        <v>10</v>
      </c>
      <c r="M635" s="22">
        <v>10</v>
      </c>
      <c r="N635" s="22">
        <v>111444</v>
      </c>
      <c r="O635" s="22" t="str">
        <f t="shared" ref="O635:O640" si="328">VLOOKUP(N635,$AL$1285:$AM$1310,2,FALSE)</f>
        <v>001006</v>
      </c>
      <c r="P635" s="22">
        <f t="shared" ref="P635:P640" si="329">VLOOKUP(N635,AC$2:AD$1905,2,FALSE)</f>
        <v>34</v>
      </c>
      <c r="Q635" s="22"/>
      <c r="R635" s="23" t="s">
        <v>153</v>
      </c>
      <c r="S635" s="22">
        <f t="shared" ref="S635:S640" si="330">VLOOKUP(R635,AC$2:AD$1905,2,FALSE)</f>
        <v>0.56999999999999995</v>
      </c>
      <c r="T635" s="24">
        <f t="shared" ref="T635:T640" si="331">(H635*I635)+P635*Q635+S635*K635</f>
        <v>0</v>
      </c>
      <c r="U635" s="25">
        <f t="shared" ref="U635:U640" si="332">IF(TRIM(N635&amp;"")="111444",
    IF(ROUNDUP(MAX(0,K635-(MAX(1,Q635)-1)*10)/10,0)=1,3,2),
    IF(TRIM(N635&amp;"")="VWPAL",
        IF(TRIM(R635&amp;"")="004147",1,2),
        ""
    )
)</f>
        <v>2</v>
      </c>
      <c r="V635" s="26" t="str">
        <f t="shared" ref="V635:V640" si="333">IF(OR(TRIM(N635&amp;"")="111444",TRIM(N635&amp;"")="VWPAL"),
    IF(K635&lt;=0,"",
        IF(
            MIN(3,ROUNDUP(MAX(0,K635-(MAX(1,Q635)-1)*IF(TRIM(N635&amp;"")="111444",10,20))/IF(TRIM(N635&amp;"")="111444",10,20),0))=1,
            300,
            IF(
                MIN(3,ROUNDUP(MAX(0,K635-(MAX(1,Q635)-1)*IF(TRIM(N635&amp;"")="111444",10,20))/IF(TRIM(N635&amp;"")="111444",10,20),0))=2,
                450,
                600
            )
        )
    ),
    ""
)</f>
        <v/>
      </c>
    </row>
    <row r="636" spans="1:22" ht="48" customHeight="1" x14ac:dyDescent="0.25">
      <c r="A636" s="17">
        <f>VLOOKUP(C636,[1]Werke!$A$1:$C$168,3,0)</f>
        <v>31</v>
      </c>
      <c r="B636" s="17" t="str">
        <f>VLOOKUP(C636,[1]Werke!$A$1:$C$168,2,0)</f>
        <v>B29</v>
      </c>
      <c r="C636" s="18">
        <v>10329</v>
      </c>
      <c r="D636" s="17">
        <f>VLOOKUP(C636,[1]Maliteslimalan!$A$1:$B$210,2,0)</f>
        <v>8000013608</v>
      </c>
      <c r="E636" s="19">
        <v>6</v>
      </c>
      <c r="F636" s="20" t="str">
        <f t="shared" si="324"/>
        <v>N   108 949 01</v>
      </c>
      <c r="G636" s="21">
        <v>100469100</v>
      </c>
      <c r="H636" s="17">
        <f t="shared" si="325"/>
        <v>5.7000000000000002E-2</v>
      </c>
      <c r="I636" s="20"/>
      <c r="J636" s="17">
        <f t="shared" si="326"/>
        <v>250</v>
      </c>
      <c r="K636" s="17">
        <f t="shared" si="327"/>
        <v>0</v>
      </c>
      <c r="L636" s="22">
        <v>10</v>
      </c>
      <c r="M636" s="22">
        <v>10</v>
      </c>
      <c r="N636" s="22">
        <v>111444</v>
      </c>
      <c r="O636" s="22" t="str">
        <f t="shared" si="328"/>
        <v>001006</v>
      </c>
      <c r="P636" s="22">
        <f t="shared" si="329"/>
        <v>34</v>
      </c>
      <c r="Q636" s="22"/>
      <c r="R636" s="23" t="s">
        <v>153</v>
      </c>
      <c r="S636" s="22">
        <f t="shared" si="330"/>
        <v>0.56999999999999995</v>
      </c>
      <c r="T636" s="24">
        <f t="shared" si="331"/>
        <v>0</v>
      </c>
      <c r="U636" s="25">
        <f t="shared" si="332"/>
        <v>2</v>
      </c>
      <c r="V636" s="26" t="str">
        <f t="shared" si="333"/>
        <v/>
      </c>
    </row>
    <row r="637" spans="1:22" ht="48" customHeight="1" x14ac:dyDescent="0.25">
      <c r="A637" s="17">
        <f>VLOOKUP(C637,[1]Werke!$A$1:$C$168,3,0)</f>
        <v>49</v>
      </c>
      <c r="B637" s="17" t="str">
        <f>VLOOKUP(C637,[1]Werke!$A$1:$C$168,2,0)</f>
        <v>CT</v>
      </c>
      <c r="C637" s="18" t="s">
        <v>217</v>
      </c>
      <c r="D637" s="17" t="str">
        <f>VLOOKUP(C637,[1]Maliteslimalan!$A$1:$B$210,2,0)</f>
        <v>8000012574</v>
      </c>
      <c r="E637" s="19" t="str">
        <f>VLOOKUP(C637,[1]Bestellnr.!$A$1:$B$174,2,0)</f>
        <v>000001</v>
      </c>
      <c r="F637" s="20" t="str">
        <f t="shared" si="324"/>
        <v>N   108 949 01</v>
      </c>
      <c r="G637" s="21">
        <v>100469100</v>
      </c>
      <c r="H637" s="17">
        <f t="shared" si="325"/>
        <v>5.7000000000000002E-2</v>
      </c>
      <c r="I637" s="20"/>
      <c r="J637" s="17">
        <f t="shared" si="326"/>
        <v>250</v>
      </c>
      <c r="K637" s="17">
        <f t="shared" si="327"/>
        <v>0</v>
      </c>
      <c r="L637" s="22">
        <v>10</v>
      </c>
      <c r="M637" s="22">
        <v>30</v>
      </c>
      <c r="N637" s="22">
        <v>111444</v>
      </c>
      <c r="O637" s="22" t="str">
        <f t="shared" si="328"/>
        <v>001006</v>
      </c>
      <c r="P637" s="22">
        <f t="shared" si="329"/>
        <v>34</v>
      </c>
      <c r="Q637" s="22"/>
      <c r="R637" s="23" t="s">
        <v>153</v>
      </c>
      <c r="S637" s="22">
        <f t="shared" si="330"/>
        <v>0.56999999999999995</v>
      </c>
      <c r="T637" s="24">
        <f t="shared" si="331"/>
        <v>0</v>
      </c>
      <c r="U637" s="25">
        <f t="shared" si="332"/>
        <v>2</v>
      </c>
      <c r="V637" s="26" t="str">
        <f t="shared" si="333"/>
        <v/>
      </c>
    </row>
    <row r="638" spans="1:22" ht="48" customHeight="1" x14ac:dyDescent="0.25">
      <c r="A638" s="17" t="str">
        <f>VLOOKUP(C638,[1]Werke!$A$1:$C$168,3,0)</f>
        <v>16D</v>
      </c>
      <c r="B638" s="17">
        <f>VLOOKUP(C638,[1]Werke!$A$1:$C$168,2,0)</f>
        <v>210</v>
      </c>
      <c r="C638" s="18" t="s">
        <v>226</v>
      </c>
      <c r="D638" s="17" t="str">
        <f>VLOOKUP(C638,[1]Maliteslimalan!$A$1:$B$210,2,0)</f>
        <v>8000012565</v>
      </c>
      <c r="E638" s="19">
        <f>VLOOKUP(C638,[1]Bestellnr.!$A$1:$B$174,2,0)</f>
        <v>0</v>
      </c>
      <c r="F638" s="20" t="str">
        <f t="shared" si="324"/>
        <v>N   108 949 01</v>
      </c>
      <c r="G638" s="21">
        <v>100469100</v>
      </c>
      <c r="H638" s="17">
        <f t="shared" si="325"/>
        <v>5.7000000000000002E-2</v>
      </c>
      <c r="I638" s="20"/>
      <c r="J638" s="17">
        <f t="shared" si="326"/>
        <v>250</v>
      </c>
      <c r="K638" s="17">
        <f t="shared" si="327"/>
        <v>0</v>
      </c>
      <c r="L638" s="22">
        <v>10</v>
      </c>
      <c r="M638" s="22">
        <v>10</v>
      </c>
      <c r="N638" s="22">
        <v>111444</v>
      </c>
      <c r="O638" s="22" t="str">
        <f t="shared" si="328"/>
        <v>001006</v>
      </c>
      <c r="P638" s="22">
        <f t="shared" si="329"/>
        <v>34</v>
      </c>
      <c r="Q638" s="22"/>
      <c r="R638" s="23" t="s">
        <v>153</v>
      </c>
      <c r="S638" s="22">
        <f t="shared" si="330"/>
        <v>0.56999999999999995</v>
      </c>
      <c r="T638" s="24">
        <f t="shared" si="331"/>
        <v>0</v>
      </c>
      <c r="U638" s="25">
        <f t="shared" si="332"/>
        <v>2</v>
      </c>
      <c r="V638" s="26" t="str">
        <f t="shared" si="333"/>
        <v/>
      </c>
    </row>
    <row r="639" spans="1:22" ht="49.5" customHeight="1" x14ac:dyDescent="0.25">
      <c r="A639" s="17">
        <f>VLOOKUP(C639,[1]Werke!$A$1:$C$168,3,0)</f>
        <v>14</v>
      </c>
      <c r="B639" s="17" t="str">
        <f>VLOOKUP(C639,[1]Werke!$A$1:$C$168,2,0)</f>
        <v>D72</v>
      </c>
      <c r="C639" s="18" t="s">
        <v>220</v>
      </c>
      <c r="D639" s="17" t="str">
        <f>VLOOKUP(C639,[1]Maliteslimalan!$A$1:$B$210,2,0)</f>
        <v>8000013493</v>
      </c>
      <c r="E639" s="19">
        <f>VLOOKUP(C639,[1]Bestellnr.!$A$1:$B$174,2,0)</f>
        <v>0</v>
      </c>
      <c r="F639" s="20" t="str">
        <f t="shared" si="324"/>
        <v>N   108 949 01</v>
      </c>
      <c r="G639" s="21">
        <v>100469100</v>
      </c>
      <c r="H639" s="17">
        <f t="shared" si="325"/>
        <v>5.7000000000000002E-2</v>
      </c>
      <c r="I639" s="20"/>
      <c r="J639" s="17">
        <f t="shared" si="326"/>
        <v>250</v>
      </c>
      <c r="K639" s="17">
        <f t="shared" si="327"/>
        <v>0</v>
      </c>
      <c r="L639" s="22">
        <v>10</v>
      </c>
      <c r="M639" s="22">
        <v>30</v>
      </c>
      <c r="N639" s="22">
        <v>111444</v>
      </c>
      <c r="O639" s="22" t="str">
        <f t="shared" si="328"/>
        <v>001006</v>
      </c>
      <c r="P639" s="22">
        <f t="shared" si="329"/>
        <v>34</v>
      </c>
      <c r="Q639" s="22"/>
      <c r="R639" s="23" t="s">
        <v>153</v>
      </c>
      <c r="S639" s="22">
        <f t="shared" si="330"/>
        <v>0.56999999999999995</v>
      </c>
      <c r="T639" s="24">
        <f t="shared" si="331"/>
        <v>0</v>
      </c>
      <c r="U639" s="25">
        <f t="shared" si="332"/>
        <v>2</v>
      </c>
      <c r="V639" s="26" t="str">
        <f t="shared" si="333"/>
        <v/>
      </c>
    </row>
    <row r="640" spans="1:22" ht="48" customHeight="1" x14ac:dyDescent="0.25">
      <c r="A640" s="17" t="str">
        <f>VLOOKUP(C640,[1]Werke!$A$1:$C$168,3,0)</f>
        <v>RC</v>
      </c>
      <c r="B640" s="17" t="str">
        <f>VLOOKUP(C640,[1]Werke!$A$1:$C$168,2,0)</f>
        <v>CKD</v>
      </c>
      <c r="C640" s="18" t="s">
        <v>256</v>
      </c>
      <c r="D640" s="17" t="str">
        <f>VLOOKUP(C640,[1]Maliteslimalan!$A$1:$B$210,2,0)</f>
        <v>8000012593</v>
      </c>
      <c r="E640" s="19" t="str">
        <f>VLOOKUP(C640,[1]Bestellnr.!$A$1:$B$174,2,0)</f>
        <v>000006</v>
      </c>
      <c r="F640" s="20" t="str">
        <f t="shared" si="324"/>
        <v>N   108 949 01</v>
      </c>
      <c r="G640" s="21">
        <v>100469100</v>
      </c>
      <c r="H640" s="17">
        <f t="shared" si="325"/>
        <v>5.7000000000000002E-2</v>
      </c>
      <c r="I640" s="20"/>
      <c r="J640" s="17">
        <f t="shared" si="326"/>
        <v>250</v>
      </c>
      <c r="K640" s="17">
        <f t="shared" si="327"/>
        <v>0</v>
      </c>
      <c r="L640" s="22">
        <v>10</v>
      </c>
      <c r="M640" s="22">
        <v>30</v>
      </c>
      <c r="N640" s="22">
        <v>111444</v>
      </c>
      <c r="O640" s="22" t="str">
        <f t="shared" si="328"/>
        <v>001006</v>
      </c>
      <c r="P640" s="22">
        <f t="shared" si="329"/>
        <v>34</v>
      </c>
      <c r="Q640" s="22"/>
      <c r="R640" s="23" t="s">
        <v>153</v>
      </c>
      <c r="S640" s="22">
        <f t="shared" si="330"/>
        <v>0.56999999999999995</v>
      </c>
      <c r="T640" s="24">
        <f t="shared" si="331"/>
        <v>0</v>
      </c>
      <c r="U640" s="25">
        <f t="shared" si="332"/>
        <v>2</v>
      </c>
      <c r="V640" s="26" t="str">
        <f t="shared" si="333"/>
        <v/>
      </c>
    </row>
    <row r="641" spans="1:22" ht="48" customHeight="1" x14ac:dyDescent="0.25">
      <c r="A641" s="17"/>
      <c r="B641" s="17"/>
      <c r="C641" s="18"/>
      <c r="D641" s="17"/>
      <c r="E641" s="19"/>
      <c r="F641" s="20"/>
      <c r="G641" s="21"/>
      <c r="H641" s="17"/>
      <c r="I641" s="20"/>
      <c r="J641" s="17"/>
      <c r="K641" s="17"/>
      <c r="L641" s="22"/>
      <c r="M641" s="22"/>
      <c r="N641" s="22"/>
      <c r="O641" s="22"/>
      <c r="P641" s="22"/>
      <c r="Q641" s="22"/>
      <c r="R641" s="23"/>
      <c r="S641" s="22"/>
      <c r="T641" s="24"/>
      <c r="U641" s="25"/>
    </row>
    <row r="642" spans="1:22" ht="48.2" customHeight="1" x14ac:dyDescent="0.25">
      <c r="A642" s="17">
        <f>VLOOKUP(C642,[1]Werke!$A$1:$C$168,3,0)</f>
        <v>31</v>
      </c>
      <c r="B642" s="17" t="str">
        <f>VLOOKUP(C642,[1]Werke!$A$1:$C$168,2,0)</f>
        <v>B62</v>
      </c>
      <c r="C642" s="18">
        <v>10362</v>
      </c>
      <c r="D642" s="17" t="str">
        <f>VLOOKUP(C642,[1]Maliteslimalan!$A$1:$B$210,2,0)</f>
        <v>8000012742</v>
      </c>
      <c r="E642" s="19">
        <v>6</v>
      </c>
      <c r="F642" s="20" t="str">
        <f t="shared" ref="F642:F648" si="334">VLOOKUP(G642,$U$1:$V$1730,2,0)</f>
        <v>N   910 376 02</v>
      </c>
      <c r="G642" s="21">
        <v>970829000</v>
      </c>
      <c r="H642" s="17">
        <f t="shared" ref="H642:H648" si="335">VLOOKUP(G642,Z$2:AA$1905,2,FALSE)</f>
        <v>7.7499999999999999E-3</v>
      </c>
      <c r="I642" s="20"/>
      <c r="J642" s="17">
        <f t="shared" ref="J642:J648" si="336">VLOOKUP(G642,W$2:X$1905,2,FALSE)</f>
        <v>1800</v>
      </c>
      <c r="K642" s="17">
        <f t="shared" ref="K642:K648" si="337">I642/J642</f>
        <v>0</v>
      </c>
      <c r="L642" s="22">
        <v>10</v>
      </c>
      <c r="M642" s="22">
        <v>10</v>
      </c>
      <c r="N642" s="22">
        <v>111444</v>
      </c>
      <c r="O642" s="22" t="str">
        <f t="shared" ref="O642:O648" si="338">VLOOKUP(N642,$AL$1285:$AM$1310,2,FALSE)</f>
        <v>001006</v>
      </c>
      <c r="P642" s="22">
        <f t="shared" ref="P642:P648" si="339">VLOOKUP(N642,AC$2:AD$1905,2,FALSE)</f>
        <v>34</v>
      </c>
      <c r="Q642" s="22"/>
      <c r="R642" s="23" t="s">
        <v>153</v>
      </c>
      <c r="S642" s="22">
        <f t="shared" ref="S642:S648" si="340">VLOOKUP(R642,AC$2:AD$1905,2,FALSE)</f>
        <v>0.56999999999999995</v>
      </c>
      <c r="T642" s="24">
        <f t="shared" ref="T642:T648" si="341">(H642*I642)+P642*Q642+S642*K642</f>
        <v>0</v>
      </c>
      <c r="U642" s="25">
        <f t="shared" ref="U642:U648" si="342">IF(TRIM(N642&amp;"")="111444",
    IF(ROUNDUP(MAX(0,K642-(MAX(1,Q642)-1)*10)/10,0)=1,3,2),
    IF(TRIM(N642&amp;"")="VWPAL",
        IF(TRIM(R642&amp;"")="004147",1,2),
        ""
    )
)</f>
        <v>2</v>
      </c>
      <c r="V642" s="26" t="str">
        <f t="shared" ref="V642:V648" si="343">IF(OR(TRIM(N642&amp;"")="111444",TRIM(N642&amp;"")="VWPAL"),
    IF(K642&lt;=0,"",
        IF(
            MIN(3,ROUNDUP(MAX(0,K642-(MAX(1,Q642)-1)*IF(TRIM(N642&amp;"")="111444",10,20))/IF(TRIM(N642&amp;"")="111444",10,20),0))=1,
            300,
            IF(
                MIN(3,ROUNDUP(MAX(0,K642-(MAX(1,Q642)-1)*IF(TRIM(N642&amp;"")="111444",10,20))/IF(TRIM(N642&amp;"")="111444",10,20),0))=2,
                450,
                600
            )
        )
    ),
    ""
)</f>
        <v/>
      </c>
    </row>
    <row r="643" spans="1:22" ht="48.2" customHeight="1" x14ac:dyDescent="0.25">
      <c r="A643" s="17">
        <f>VLOOKUP(C643,[1]Werke!$A$1:$C$168,3,0)</f>
        <v>24</v>
      </c>
      <c r="B643" s="17" t="str">
        <f>VLOOKUP(C643,[1]Werke!$A$1:$C$168,2,0)</f>
        <v>CKH</v>
      </c>
      <c r="C643" s="18" t="s">
        <v>224</v>
      </c>
      <c r="D643" s="17">
        <f>VLOOKUP(C643,[1]Maliteslimalan!$A$1:$B$210,2,0)</f>
        <v>8000013551</v>
      </c>
      <c r="E643" s="19">
        <v>6</v>
      </c>
      <c r="F643" s="20" t="str">
        <f t="shared" si="334"/>
        <v>N   910 376 02</v>
      </c>
      <c r="G643" s="21">
        <v>970829000</v>
      </c>
      <c r="H643" s="17">
        <f t="shared" si="335"/>
        <v>7.7499999999999999E-3</v>
      </c>
      <c r="I643" s="20"/>
      <c r="J643" s="17">
        <f t="shared" si="336"/>
        <v>1800</v>
      </c>
      <c r="K643" s="17">
        <f t="shared" si="337"/>
        <v>0</v>
      </c>
      <c r="L643" s="22">
        <v>10</v>
      </c>
      <c r="M643" s="22">
        <v>30</v>
      </c>
      <c r="N643" s="22">
        <v>111444</v>
      </c>
      <c r="O643" s="22" t="str">
        <f t="shared" si="338"/>
        <v>001006</v>
      </c>
      <c r="P643" s="22">
        <f t="shared" si="339"/>
        <v>34</v>
      </c>
      <c r="Q643" s="22"/>
      <c r="R643" s="23" t="s">
        <v>153</v>
      </c>
      <c r="S643" s="22">
        <f t="shared" si="340"/>
        <v>0.56999999999999995</v>
      </c>
      <c r="T643" s="24">
        <f t="shared" si="341"/>
        <v>0</v>
      </c>
      <c r="U643" s="25">
        <f t="shared" si="342"/>
        <v>2</v>
      </c>
      <c r="V643" s="26" t="str">
        <f t="shared" si="343"/>
        <v/>
      </c>
    </row>
    <row r="644" spans="1:22" ht="48.2" customHeight="1" x14ac:dyDescent="0.25">
      <c r="A644" s="17">
        <f>VLOOKUP(C644,[1]Werke!$A$1:$C$168,3,0)</f>
        <v>49</v>
      </c>
      <c r="B644" s="17" t="str">
        <f>VLOOKUP(C644,[1]Werke!$A$1:$C$168,2,0)</f>
        <v>CT</v>
      </c>
      <c r="C644" s="18" t="s">
        <v>217</v>
      </c>
      <c r="D644" s="17" t="str">
        <f>VLOOKUP(C644,[1]Maliteslimalan!$A$1:$B$210,2,0)</f>
        <v>8000012574</v>
      </c>
      <c r="E644" s="19" t="str">
        <f>VLOOKUP(C644,[1]Bestellnr.!$A$1:$B$174,2,0)</f>
        <v>000001</v>
      </c>
      <c r="F644" s="20" t="str">
        <f t="shared" si="334"/>
        <v>N   910 376 02</v>
      </c>
      <c r="G644" s="21">
        <v>970829000</v>
      </c>
      <c r="H644" s="17">
        <f t="shared" si="335"/>
        <v>7.7499999999999999E-3</v>
      </c>
      <c r="I644" s="20"/>
      <c r="J644" s="17">
        <f t="shared" si="336"/>
        <v>1800</v>
      </c>
      <c r="K644" s="17">
        <f t="shared" si="337"/>
        <v>0</v>
      </c>
      <c r="L644" s="22">
        <v>10</v>
      </c>
      <c r="M644" s="22">
        <v>30</v>
      </c>
      <c r="N644" s="22">
        <v>111444</v>
      </c>
      <c r="O644" s="22" t="str">
        <f t="shared" si="338"/>
        <v>001006</v>
      </c>
      <c r="P644" s="22">
        <f t="shared" si="339"/>
        <v>34</v>
      </c>
      <c r="Q644" s="22"/>
      <c r="R644" s="23" t="s">
        <v>153</v>
      </c>
      <c r="S644" s="22">
        <f t="shared" si="340"/>
        <v>0.56999999999999995</v>
      </c>
      <c r="T644" s="24">
        <f t="shared" si="341"/>
        <v>0</v>
      </c>
      <c r="U644" s="25">
        <f t="shared" si="342"/>
        <v>2</v>
      </c>
      <c r="V644" s="26" t="str">
        <f t="shared" si="343"/>
        <v/>
      </c>
    </row>
    <row r="645" spans="1:22" ht="48.2" customHeight="1" x14ac:dyDescent="0.25">
      <c r="A645" s="17" t="str">
        <f>VLOOKUP(C645,[1]Werke!$A$1:$C$168,3,0)</f>
        <v>LD</v>
      </c>
      <c r="B645" s="17" t="str">
        <f>VLOOKUP(C645,[1]Werke!$A$1:$C$168,2,0)</f>
        <v>SLD</v>
      </c>
      <c r="C645" s="18">
        <v>83630</v>
      </c>
      <c r="D645" s="17" t="str">
        <f>VLOOKUP(C645,[1]Maliteslimalan!$A$1:$B$210,2,0)</f>
        <v>8000012862</v>
      </c>
      <c r="E645" s="19" t="str">
        <f>VLOOKUP(C645,[1]Bestellnr.!$A$1:$B$174,2,0)</f>
        <v>000006</v>
      </c>
      <c r="F645" s="20" t="str">
        <f t="shared" si="334"/>
        <v>N   910 376 02</v>
      </c>
      <c r="G645" s="21">
        <v>970829000</v>
      </c>
      <c r="H645" s="17">
        <f t="shared" si="335"/>
        <v>7.7499999999999999E-3</v>
      </c>
      <c r="I645" s="20"/>
      <c r="J645" s="17">
        <f t="shared" si="336"/>
        <v>1800</v>
      </c>
      <c r="K645" s="17">
        <f t="shared" si="337"/>
        <v>0</v>
      </c>
      <c r="L645" s="22">
        <v>10</v>
      </c>
      <c r="M645" s="22">
        <v>10</v>
      </c>
      <c r="N645" s="22">
        <v>111444</v>
      </c>
      <c r="O645" s="22" t="str">
        <f t="shared" si="338"/>
        <v>001006</v>
      </c>
      <c r="P645" s="22">
        <f t="shared" si="339"/>
        <v>34</v>
      </c>
      <c r="Q645" s="22"/>
      <c r="R645" s="23" t="s">
        <v>153</v>
      </c>
      <c r="S645" s="22">
        <f t="shared" si="340"/>
        <v>0.56999999999999995</v>
      </c>
      <c r="T645" s="24">
        <f t="shared" si="341"/>
        <v>0</v>
      </c>
      <c r="U645" s="25">
        <f t="shared" si="342"/>
        <v>2</v>
      </c>
      <c r="V645" s="26" t="str">
        <f t="shared" si="343"/>
        <v/>
      </c>
    </row>
    <row r="646" spans="1:22" ht="48.2" customHeight="1" x14ac:dyDescent="0.25">
      <c r="A646" s="17">
        <f>VLOOKUP(C646,[1]Werke!$A$1:$C$168,3,0)</f>
        <v>12</v>
      </c>
      <c r="B646" s="17" t="str">
        <f>VLOOKUP(C646,[1]Werke!$A$1:$C$168,2,0)</f>
        <v>AKL</v>
      </c>
      <c r="C646" s="18" t="s">
        <v>228</v>
      </c>
      <c r="D646" s="17" t="str">
        <f>VLOOKUP(C646,[1]Maliteslimalan!$A$1:$B$210,2,0)</f>
        <v>8000012700</v>
      </c>
      <c r="E646" s="19" t="str">
        <f>VLOOKUP(C646,[1]Bestellnr.!$A$1:$B$174,2,0)</f>
        <v>000006</v>
      </c>
      <c r="F646" s="20" t="str">
        <f t="shared" si="334"/>
        <v>N   910 376 02</v>
      </c>
      <c r="G646" s="21">
        <v>970829000</v>
      </c>
      <c r="H646" s="17">
        <f t="shared" si="335"/>
        <v>7.7499999999999999E-3</v>
      </c>
      <c r="I646" s="20"/>
      <c r="J646" s="17">
        <f t="shared" si="336"/>
        <v>1800</v>
      </c>
      <c r="K646" s="17">
        <f t="shared" si="337"/>
        <v>0</v>
      </c>
      <c r="L646" s="22">
        <v>10</v>
      </c>
      <c r="M646" s="22">
        <v>30</v>
      </c>
      <c r="N646" s="22">
        <v>111444</v>
      </c>
      <c r="O646" s="22" t="str">
        <f t="shared" si="338"/>
        <v>001006</v>
      </c>
      <c r="P646" s="22">
        <f t="shared" si="339"/>
        <v>34</v>
      </c>
      <c r="Q646" s="22"/>
      <c r="R646" s="23" t="s">
        <v>153</v>
      </c>
      <c r="S646" s="22">
        <f t="shared" si="340"/>
        <v>0.56999999999999995</v>
      </c>
      <c r="T646" s="24">
        <f t="shared" si="341"/>
        <v>0</v>
      </c>
      <c r="U646" s="25">
        <f t="shared" si="342"/>
        <v>2</v>
      </c>
      <c r="V646" s="26" t="str">
        <f t="shared" si="343"/>
        <v/>
      </c>
    </row>
    <row r="647" spans="1:22" ht="48.2" customHeight="1" x14ac:dyDescent="0.25">
      <c r="A647" s="17">
        <f>VLOOKUP(C647,[1]Werke!$A$1:$C$168,3,0)</f>
        <v>35</v>
      </c>
      <c r="B647" s="17" t="str">
        <f>VLOOKUP(C647,[1]Werke!$A$1:$C$168,2,0)</f>
        <v>AKL</v>
      </c>
      <c r="C647" s="18" t="s">
        <v>231</v>
      </c>
      <c r="D647" s="17" t="str">
        <f>VLOOKUP(C647,[1]Maliteslimalan!$A$1:$B$210,2,0)</f>
        <v>8000013262</v>
      </c>
      <c r="E647" s="19" t="str">
        <f>VLOOKUP(C647,[1]Bestellnr.!$A$1:$B$174,2,0)</f>
        <v>000006</v>
      </c>
      <c r="F647" s="20" t="str">
        <f t="shared" si="334"/>
        <v>N   910 376 02</v>
      </c>
      <c r="G647" s="21">
        <v>970829000</v>
      </c>
      <c r="H647" s="17">
        <f t="shared" si="335"/>
        <v>7.7499999999999999E-3</v>
      </c>
      <c r="I647" s="20"/>
      <c r="J647" s="17">
        <f t="shared" si="336"/>
        <v>1800</v>
      </c>
      <c r="K647" s="17">
        <f t="shared" si="337"/>
        <v>0</v>
      </c>
      <c r="L647" s="22">
        <v>10</v>
      </c>
      <c r="M647" s="22">
        <v>10</v>
      </c>
      <c r="N647" s="22">
        <v>111444</v>
      </c>
      <c r="O647" s="22" t="str">
        <f t="shared" si="338"/>
        <v>001006</v>
      </c>
      <c r="P647" s="22">
        <f t="shared" si="339"/>
        <v>34</v>
      </c>
      <c r="Q647" s="22"/>
      <c r="R647" s="23" t="s">
        <v>153</v>
      </c>
      <c r="S647" s="22">
        <f t="shared" si="340"/>
        <v>0.56999999999999995</v>
      </c>
      <c r="T647" s="24">
        <f t="shared" si="341"/>
        <v>0</v>
      </c>
      <c r="U647" s="25">
        <f t="shared" si="342"/>
        <v>2</v>
      </c>
      <c r="V647" s="26" t="str">
        <f t="shared" si="343"/>
        <v/>
      </c>
    </row>
    <row r="648" spans="1:22" ht="48.2" customHeight="1" x14ac:dyDescent="0.25">
      <c r="A648" s="17">
        <f>VLOOKUP(C648,[1]Werke!$A$1:$C$168,3,0)</f>
        <v>24</v>
      </c>
      <c r="B648" s="17" t="str">
        <f>VLOOKUP(C648,[1]Werke!$A$1:$C$168,2,0)</f>
        <v>CKS</v>
      </c>
      <c r="C648" s="18" t="s">
        <v>245</v>
      </c>
      <c r="D648" s="17" t="str">
        <f>VLOOKUP(C648,[1]Maliteslimalan!$A$1:$B$210,2,0)</f>
        <v>8000012647</v>
      </c>
      <c r="E648" s="19" t="str">
        <f>VLOOKUP(C648,[1]Bestellnr.!$A$1:$B$174,2,0)</f>
        <v>000006</v>
      </c>
      <c r="F648" s="20" t="str">
        <f t="shared" si="334"/>
        <v>N   910 376 02</v>
      </c>
      <c r="G648" s="21">
        <v>970829000</v>
      </c>
      <c r="H648" s="17">
        <f t="shared" si="335"/>
        <v>7.7499999999999999E-3</v>
      </c>
      <c r="I648" s="20"/>
      <c r="J648" s="17">
        <f t="shared" si="336"/>
        <v>1800</v>
      </c>
      <c r="K648" s="17">
        <f t="shared" si="337"/>
        <v>0</v>
      </c>
      <c r="L648" s="22">
        <v>10</v>
      </c>
      <c r="M648" s="22">
        <v>30</v>
      </c>
      <c r="N648" s="22">
        <v>111444</v>
      </c>
      <c r="O648" s="22" t="str">
        <f t="shared" si="338"/>
        <v>001006</v>
      </c>
      <c r="P648" s="22">
        <f t="shared" si="339"/>
        <v>34</v>
      </c>
      <c r="Q648" s="22"/>
      <c r="R648" s="23" t="s">
        <v>153</v>
      </c>
      <c r="S648" s="22">
        <f t="shared" si="340"/>
        <v>0.56999999999999995</v>
      </c>
      <c r="T648" s="24">
        <f t="shared" si="341"/>
        <v>0</v>
      </c>
      <c r="U648" s="25">
        <f t="shared" si="342"/>
        <v>2</v>
      </c>
      <c r="V648" s="26" t="str">
        <f t="shared" si="343"/>
        <v/>
      </c>
    </row>
    <row r="649" spans="1:22" ht="48.2" customHeight="1" x14ac:dyDescent="0.25">
      <c r="A649" s="17"/>
      <c r="B649" s="17"/>
      <c r="C649" s="18"/>
      <c r="D649" s="17"/>
      <c r="E649" s="19"/>
      <c r="F649" s="20"/>
      <c r="G649" s="21"/>
      <c r="H649" s="17"/>
      <c r="I649" s="20"/>
      <c r="J649" s="17"/>
      <c r="K649" s="17"/>
      <c r="L649" s="22"/>
      <c r="M649" s="22"/>
      <c r="N649" s="22"/>
      <c r="O649" s="22"/>
      <c r="P649" s="22"/>
      <c r="Q649" s="22"/>
      <c r="R649" s="23"/>
      <c r="S649" s="22"/>
      <c r="T649" s="24"/>
      <c r="U649" s="25"/>
    </row>
    <row r="650" spans="1:22" ht="48.2" customHeight="1" x14ac:dyDescent="0.25">
      <c r="A650" s="17">
        <f>VLOOKUP(C650,[1]Werke!$A$1:$C$168,3,0)</f>
        <v>31</v>
      </c>
      <c r="B650" s="17" t="str">
        <f>VLOOKUP(C650,[1]Werke!$A$1:$C$168,2,0)</f>
        <v>B62</v>
      </c>
      <c r="C650" s="18">
        <v>10362</v>
      </c>
      <c r="D650" s="17" t="str">
        <f>VLOOKUP(C650,[1]Maliteslimalan!$A$1:$B$210,2,0)</f>
        <v>8000012742</v>
      </c>
      <c r="E650" s="19">
        <v>6</v>
      </c>
      <c r="F650" s="20" t="str">
        <f>VLOOKUP(G650,$U$1:$V$1730,2,0)</f>
        <v>N   912 899 01</v>
      </c>
      <c r="G650" s="21">
        <v>100252100</v>
      </c>
      <c r="H650" s="17">
        <f>VLOOKUP(G650,Z$2:AA$1905,2,FALSE)</f>
        <v>2.648E-2</v>
      </c>
      <c r="I650" s="20"/>
      <c r="J650" s="17">
        <f>VLOOKUP(G650,W$2:X$1905,2,FALSE)</f>
        <v>400</v>
      </c>
      <c r="K650" s="17">
        <f>I650/J650</f>
        <v>0</v>
      </c>
      <c r="L650" s="22">
        <v>10</v>
      </c>
      <c r="M650" s="22">
        <v>20</v>
      </c>
      <c r="N650" s="22">
        <v>111444</v>
      </c>
      <c r="O650" s="22" t="str">
        <f>VLOOKUP(N650,$AL$1285:$AM$1310,2,FALSE)</f>
        <v>001006</v>
      </c>
      <c r="P650" s="22">
        <f>VLOOKUP(N650,AC$2:AD$1905,2,FALSE)</f>
        <v>34</v>
      </c>
      <c r="Q650" s="22"/>
      <c r="R650" s="23" t="s">
        <v>153</v>
      </c>
      <c r="S650" s="22">
        <f>VLOOKUP(R650,AC$2:AD$1905,2,FALSE)</f>
        <v>0.56999999999999995</v>
      </c>
      <c r="T650" s="24">
        <f>(H650*I650)+P650*Q650+S650*K650</f>
        <v>0</v>
      </c>
      <c r="U650" s="25">
        <f>IF(TRIM(N650&amp;"")="111444",
    IF(ROUNDUP(MAX(0,K650-(MAX(1,Q650)-1)*10)/10,0)=1,3,2),
    IF(TRIM(N650&amp;"")="VWPAL",
        IF(TRIM(R650&amp;"")="004147",1,2),
        ""
    )
)</f>
        <v>2</v>
      </c>
      <c r="V650" s="26" t="str">
        <f>IF(OR(TRIM(N650&amp;"")="111444",TRIM(N650&amp;"")="VWPAL"),
    IF(K650&lt;=0,"",
        IF(
            MIN(3,ROUNDUP(MAX(0,K650-(MAX(1,Q650)-1)*IF(TRIM(N650&amp;"")="111444",10,20))/IF(TRIM(N650&amp;"")="111444",10,20),0))=1,
            300,
            IF(
                MIN(3,ROUNDUP(MAX(0,K650-(MAX(1,Q650)-1)*IF(TRIM(N650&amp;"")="111444",10,20))/IF(TRIM(N650&amp;"")="111444",10,20),0))=2,
                450,
                600
            )
        )
    ),
    ""
)</f>
        <v/>
      </c>
    </row>
    <row r="651" spans="1:22" ht="48.2" customHeight="1" x14ac:dyDescent="0.25">
      <c r="A651" s="17">
        <f>VLOOKUP(C651,[1]Werke!$A$1:$C$168,3,0)</f>
        <v>14</v>
      </c>
      <c r="B651" s="17" t="str">
        <f>VLOOKUP(C651,[1]Werke!$A$1:$C$168,2,0)</f>
        <v>D72</v>
      </c>
      <c r="C651" s="18" t="s">
        <v>220</v>
      </c>
      <c r="D651" s="17" t="str">
        <f>VLOOKUP(C651,[1]Maliteslimalan!$A$1:$B$210,2,0)</f>
        <v>8000013493</v>
      </c>
      <c r="E651" s="19">
        <f>VLOOKUP(C651,[1]Bestellnr.!$A$1:$B$174,2,0)</f>
        <v>0</v>
      </c>
      <c r="F651" s="20" t="str">
        <f>VLOOKUP(G651,$U$1:$V$1730,2,0)</f>
        <v>N   912 899 01</v>
      </c>
      <c r="G651" s="21">
        <v>100252100</v>
      </c>
      <c r="H651" s="17">
        <f>VLOOKUP(G651,Z$2:AA$1905,2,FALSE)</f>
        <v>2.648E-2</v>
      </c>
      <c r="I651" s="20"/>
      <c r="J651" s="17">
        <f>VLOOKUP(G651,W$2:X$1905,2,FALSE)</f>
        <v>400</v>
      </c>
      <c r="K651" s="17">
        <f>I651/J651</f>
        <v>0</v>
      </c>
      <c r="L651" s="22">
        <v>10</v>
      </c>
      <c r="M651" s="22">
        <v>30</v>
      </c>
      <c r="N651" s="22">
        <v>111444</v>
      </c>
      <c r="O651" s="22" t="str">
        <f>VLOOKUP(N651,$AL$1285:$AM$1310,2,FALSE)</f>
        <v>001006</v>
      </c>
      <c r="P651" s="22">
        <f>VLOOKUP(N651,AC$2:AD$1905,2,FALSE)</f>
        <v>34</v>
      </c>
      <c r="Q651" s="22"/>
      <c r="R651" s="23" t="s">
        <v>153</v>
      </c>
      <c r="S651" s="22">
        <f>VLOOKUP(R651,AC$2:AD$1905,2,FALSE)</f>
        <v>0.56999999999999995</v>
      </c>
      <c r="T651" s="24">
        <f>(H651*I651)+P651*Q651+S651*K651</f>
        <v>0</v>
      </c>
      <c r="U651" s="25">
        <f>IF(TRIM(N651&amp;"")="111444",
    IF(ROUNDUP(MAX(0,K651-(MAX(1,Q651)-1)*10)/10,0)=1,3,2),
    IF(TRIM(N651&amp;"")="VWPAL",
        IF(TRIM(R651&amp;"")="004147",1,2),
        ""
    )
)</f>
        <v>2</v>
      </c>
      <c r="V651" s="26" t="str">
        <f>IF(OR(TRIM(N651&amp;"")="111444",TRIM(N651&amp;"")="VWPAL"),
    IF(K651&lt;=0,"",
        IF(
            MIN(3,ROUNDUP(MAX(0,K651-(MAX(1,Q651)-1)*IF(TRIM(N651&amp;"")="111444",10,20))/IF(TRIM(N651&amp;"")="111444",10,20),0))=1,
            300,
            IF(
                MIN(3,ROUNDUP(MAX(0,K651-(MAX(1,Q651)-1)*IF(TRIM(N651&amp;"")="111444",10,20))/IF(TRIM(N651&amp;"")="111444",10,20),0))=2,
                450,
                600
            )
        )
    ),
    ""
)</f>
        <v/>
      </c>
    </row>
    <row r="652" spans="1:22" ht="48.2" customHeight="1" x14ac:dyDescent="0.25">
      <c r="A652" s="17">
        <f>VLOOKUP(C652,[1]Werke!$A$1:$C$168,3,0)</f>
        <v>12</v>
      </c>
      <c r="B652" s="17" t="str">
        <f>VLOOKUP(C652,[1]Werke!$A$1:$C$168,2,0)</f>
        <v>AKL</v>
      </c>
      <c r="C652" s="18" t="s">
        <v>312</v>
      </c>
      <c r="D652" s="17" t="str">
        <f>VLOOKUP(C652,[1]Maliteslimalan!$A$1:$B$210,2,0)</f>
        <v>8000012897</v>
      </c>
      <c r="E652" s="19" t="str">
        <f>VLOOKUP(C652,[1]Bestellnr.!$A$1:$B$174,2,0)</f>
        <v>000006</v>
      </c>
      <c r="F652" s="20" t="str">
        <f>VLOOKUP(G652,$U$1:$V$1730,2,0)</f>
        <v>N   912 899 01</v>
      </c>
      <c r="G652" s="21">
        <v>100252100</v>
      </c>
      <c r="H652" s="17">
        <f>VLOOKUP(G652,Z$2:AA$1905,2,FALSE)</f>
        <v>2.648E-2</v>
      </c>
      <c r="I652" s="20"/>
      <c r="J652" s="17">
        <f>VLOOKUP(G652,W$2:X$1905,2,FALSE)</f>
        <v>400</v>
      </c>
      <c r="K652" s="17">
        <f>I652/J652</f>
        <v>0</v>
      </c>
      <c r="L652" s="22">
        <v>10</v>
      </c>
      <c r="M652" s="22">
        <v>20</v>
      </c>
      <c r="N652" s="22">
        <v>111444</v>
      </c>
      <c r="O652" s="22" t="str">
        <f>VLOOKUP(N652,$AL$1285:$AM$1310,2,FALSE)</f>
        <v>001006</v>
      </c>
      <c r="P652" s="22">
        <f>VLOOKUP(N652,AC$2:AD$1905,2,FALSE)</f>
        <v>34</v>
      </c>
      <c r="Q652" s="22"/>
      <c r="R652" s="23" t="s">
        <v>153</v>
      </c>
      <c r="S652" s="22">
        <f>VLOOKUP(R652,AC$2:AD$1905,2,FALSE)</f>
        <v>0.56999999999999995</v>
      </c>
      <c r="T652" s="24">
        <f>(H652*I652)+P652*Q652+S652*K652</f>
        <v>0</v>
      </c>
      <c r="U652" s="25">
        <f>IF(TRIM(N652&amp;"")="111444",
    IF(ROUNDUP(MAX(0,K652-(MAX(1,Q652)-1)*10)/10,0)=1,3,2),
    IF(TRIM(N652&amp;"")="VWPAL",
        IF(TRIM(R652&amp;"")="004147",1,2),
        ""
    )
)</f>
        <v>2</v>
      </c>
      <c r="V652" s="26" t="str">
        <f>IF(OR(TRIM(N652&amp;"")="111444",TRIM(N652&amp;"")="VWPAL"),
    IF(K652&lt;=0,"",
        IF(
            MIN(3,ROUNDUP(MAX(0,K652-(MAX(1,Q652)-1)*IF(TRIM(N652&amp;"")="111444",10,20))/IF(TRIM(N652&amp;"")="111444",10,20),0))=1,
            300,
            IF(
                MIN(3,ROUNDUP(MAX(0,K652-(MAX(1,Q652)-1)*IF(TRIM(N652&amp;"")="111444",10,20))/IF(TRIM(N652&amp;"")="111444",10,20),0))=2,
                450,
                600
            )
        )
    ),
    ""
)</f>
        <v/>
      </c>
    </row>
    <row r="653" spans="1:22" ht="48" customHeight="1" x14ac:dyDescent="0.25">
      <c r="A653" s="17"/>
      <c r="B653" s="17"/>
      <c r="C653" s="18"/>
      <c r="D653" s="17"/>
      <c r="E653" s="19"/>
      <c r="F653" s="20"/>
      <c r="G653" s="21"/>
      <c r="H653" s="17"/>
      <c r="I653" s="20"/>
      <c r="J653" s="17"/>
      <c r="K653" s="17"/>
      <c r="L653" s="22"/>
      <c r="M653" s="22"/>
      <c r="N653" s="22"/>
      <c r="O653" s="22"/>
      <c r="P653" s="22"/>
      <c r="Q653" s="22"/>
      <c r="R653" s="23"/>
      <c r="S653" s="22"/>
      <c r="T653" s="24"/>
      <c r="U653" s="25"/>
    </row>
    <row r="654" spans="1:22" ht="48.2" customHeight="1" x14ac:dyDescent="0.25">
      <c r="A654" s="17" t="str">
        <f>VLOOKUP(C654,[1]Werke!$A$1:$C$168,3,0)</f>
        <v>CP</v>
      </c>
      <c r="B654" s="17" t="str">
        <f>VLOOKUP(C654,[1]Werke!$A$1:$C$168,2,0)</f>
        <v>BAE</v>
      </c>
      <c r="C654" s="18" t="s">
        <v>300</v>
      </c>
      <c r="D654" s="17" t="str">
        <f>VLOOKUP(C654,[1]Maliteslimalan!$A$1:$B$210,2,0)</f>
        <v>8000012884</v>
      </c>
      <c r="E654" s="19" t="str">
        <f>VLOOKUP(C654,[1]Bestellnr.!$A$1:$B$174,2,0)</f>
        <v>000006</v>
      </c>
      <c r="F654" s="20" t="str">
        <f t="shared" ref="F654:F662" si="344">VLOOKUP(G654,$U$1:$V$1730,2,0)</f>
        <v>N   015 081 8</v>
      </c>
      <c r="G654" s="21">
        <v>110082700</v>
      </c>
      <c r="H654" s="17">
        <f t="shared" ref="H654:H662" si="345">VLOOKUP(G654,Z$2:AA$1905,2,FALSE)</f>
        <v>2.053E-2</v>
      </c>
      <c r="I654" s="20"/>
      <c r="J654" s="17">
        <f t="shared" ref="J654:J662" si="346">VLOOKUP(G654,W$2:X$1905,2,FALSE)</f>
        <v>500</v>
      </c>
      <c r="K654" s="17">
        <f t="shared" ref="K654:K662" si="347">I654/J654</f>
        <v>0</v>
      </c>
      <c r="L654" s="22">
        <v>20</v>
      </c>
      <c r="M654" s="22">
        <v>60</v>
      </c>
      <c r="N654" s="22" t="s">
        <v>155</v>
      </c>
      <c r="O654" s="22" t="str">
        <f t="shared" ref="O654:O662" si="348">VLOOKUP(N654,$AL$1285:$AM$1310,2,FALSE)</f>
        <v>001210</v>
      </c>
      <c r="P654" s="22">
        <f t="shared" ref="P654:P662" si="349">VLOOKUP(N654,AC$2:AD$1905,2,FALSE)</f>
        <v>55</v>
      </c>
      <c r="Q654" s="22"/>
      <c r="R654" s="23" t="s">
        <v>153</v>
      </c>
      <c r="S654" s="22">
        <f t="shared" ref="S654:S662" si="350">VLOOKUP(R654,AC$2:AD$1905,2,FALSE)</f>
        <v>0.56999999999999995</v>
      </c>
      <c r="T654" s="24">
        <f t="shared" ref="T654:T662" si="351">(H654*I654)+P654*Q654+S654*K654</f>
        <v>0</v>
      </c>
      <c r="U654" s="25">
        <f t="shared" ref="U654:U662" si="352">IF(TRIM(N654&amp;"")="111444",
    IF(ROUNDUP(MAX(0,K654-(MAX(1,Q654)-1)*10)/10,0)=1,3,2),
    IF(TRIM(N654&amp;"")="VWPAL",
        IF(TRIM(R654&amp;"")="004147",1,2),
        ""
    )
)</f>
        <v>2</v>
      </c>
      <c r="V654" s="26" t="str">
        <f t="shared" ref="V654:V662" si="353">IF(OR(TRIM(N654&amp;"")="111444",TRIM(N654&amp;"")="VWPAL"),
    IF(K654&lt;=0,"",
        IF(
            MIN(3,ROUNDUP(MAX(0,K654-(MAX(1,Q654)-1)*IF(TRIM(N654&amp;"")="111444",10,20))/IF(TRIM(N654&amp;"")="111444",10,20),0))=1,
            300,
            IF(
                MIN(3,ROUNDUP(MAX(0,K654-(MAX(1,Q654)-1)*IF(TRIM(N654&amp;"")="111444",10,20))/IF(TRIM(N654&amp;"")="111444",10,20),0))=2,
                450,
                600
            )
        )
    ),
    ""
)</f>
        <v/>
      </c>
    </row>
    <row r="655" spans="1:22" ht="48.2" customHeight="1" x14ac:dyDescent="0.25">
      <c r="A655" s="17">
        <f>VLOOKUP(C655,[1]Werke!$A$1:$C$168,3,0)</f>
        <v>49</v>
      </c>
      <c r="B655" s="17" t="str">
        <f>VLOOKUP(C655,[1]Werke!$A$1:$C$168,2,0)</f>
        <v>CT</v>
      </c>
      <c r="C655" s="18" t="s">
        <v>217</v>
      </c>
      <c r="D655" s="17" t="str">
        <f>VLOOKUP(C655,[1]Maliteslimalan!$A$1:$B$210,2,0)</f>
        <v>8000012574</v>
      </c>
      <c r="E655" s="19" t="str">
        <f>VLOOKUP(C655,[1]Bestellnr.!$A$1:$B$174,2,0)</f>
        <v>000001</v>
      </c>
      <c r="F655" s="20" t="str">
        <f t="shared" si="344"/>
        <v>N   015 081 8</v>
      </c>
      <c r="G655" s="21">
        <v>110082700</v>
      </c>
      <c r="H655" s="17">
        <f t="shared" si="345"/>
        <v>2.053E-2</v>
      </c>
      <c r="I655" s="20"/>
      <c r="J655" s="17">
        <f t="shared" si="346"/>
        <v>500</v>
      </c>
      <c r="K655" s="17">
        <f t="shared" si="347"/>
        <v>0</v>
      </c>
      <c r="L655" s="22">
        <v>20</v>
      </c>
      <c r="M655" s="22">
        <v>60</v>
      </c>
      <c r="N655" s="22" t="s">
        <v>155</v>
      </c>
      <c r="O655" s="22" t="str">
        <f t="shared" si="348"/>
        <v>001210</v>
      </c>
      <c r="P655" s="22">
        <f t="shared" si="349"/>
        <v>55</v>
      </c>
      <c r="Q655" s="22"/>
      <c r="R655" s="23" t="s">
        <v>153</v>
      </c>
      <c r="S655" s="22">
        <f t="shared" si="350"/>
        <v>0.56999999999999995</v>
      </c>
      <c r="T655" s="24">
        <f t="shared" si="351"/>
        <v>0</v>
      </c>
      <c r="U655" s="25">
        <f t="shared" si="352"/>
        <v>2</v>
      </c>
      <c r="V655" s="26" t="str">
        <f t="shared" si="353"/>
        <v/>
      </c>
    </row>
    <row r="656" spans="1:22" ht="48.2" customHeight="1" x14ac:dyDescent="0.25">
      <c r="A656" s="17">
        <f>VLOOKUP(C656,[1]Werke!$A$1:$C$168,3,0)</f>
        <v>43</v>
      </c>
      <c r="B656" s="17" t="str">
        <f>VLOOKUP(C656,[1]Werke!$A$1:$C$168,2,0)</f>
        <v>NP</v>
      </c>
      <c r="C656" s="18" t="s">
        <v>313</v>
      </c>
      <c r="D656" s="17">
        <f>VLOOKUP(C656,[1]Maliteslimalan!$A$1:$B$210,2,0)</f>
        <v>8000013770</v>
      </c>
      <c r="E656" s="19">
        <v>6</v>
      </c>
      <c r="F656" s="20" t="str">
        <f t="shared" si="344"/>
        <v>N   015 081 8</v>
      </c>
      <c r="G656" s="21">
        <v>110082700</v>
      </c>
      <c r="H656" s="17">
        <f t="shared" si="345"/>
        <v>2.053E-2</v>
      </c>
      <c r="I656" s="20"/>
      <c r="J656" s="17">
        <f t="shared" si="346"/>
        <v>500</v>
      </c>
      <c r="K656" s="17">
        <f t="shared" si="347"/>
        <v>0</v>
      </c>
      <c r="L656" s="22">
        <v>10</v>
      </c>
      <c r="M656" s="22">
        <v>30</v>
      </c>
      <c r="N656" s="22">
        <v>111444</v>
      </c>
      <c r="O656" s="22" t="str">
        <f t="shared" si="348"/>
        <v>001006</v>
      </c>
      <c r="P656" s="22">
        <f t="shared" si="349"/>
        <v>34</v>
      </c>
      <c r="Q656" s="22"/>
      <c r="R656" s="23" t="s">
        <v>153</v>
      </c>
      <c r="S656" s="22">
        <f t="shared" si="350"/>
        <v>0.56999999999999995</v>
      </c>
      <c r="T656" s="24">
        <f t="shared" si="351"/>
        <v>0</v>
      </c>
      <c r="U656" s="25">
        <f t="shared" si="352"/>
        <v>2</v>
      </c>
      <c r="V656" s="26" t="str">
        <f t="shared" si="353"/>
        <v/>
      </c>
    </row>
    <row r="657" spans="1:22" ht="48.2" customHeight="1" x14ac:dyDescent="0.25">
      <c r="A657" s="17">
        <f>VLOOKUP(C657,[1]Werke!$A$1:$C$168,3,0)</f>
        <v>69</v>
      </c>
      <c r="B657" s="17" t="str">
        <f>VLOOKUP(C657,[1]Werke!$A$1:$C$168,2,0)</f>
        <v>AKL</v>
      </c>
      <c r="C657" s="18" t="s">
        <v>238</v>
      </c>
      <c r="D657" s="17">
        <f>VLOOKUP(C657,[1]Maliteslimalan!$A$1:$B$210,2,0)</f>
        <v>8000017492</v>
      </c>
      <c r="E657" s="19">
        <v>6</v>
      </c>
      <c r="F657" s="20" t="str">
        <f t="shared" si="344"/>
        <v>N   015 081 8</v>
      </c>
      <c r="G657" s="21">
        <v>110082700</v>
      </c>
      <c r="H657" s="17">
        <f t="shared" si="345"/>
        <v>2.053E-2</v>
      </c>
      <c r="I657" s="20"/>
      <c r="J657" s="17">
        <f t="shared" si="346"/>
        <v>500</v>
      </c>
      <c r="K657" s="17">
        <f t="shared" si="347"/>
        <v>0</v>
      </c>
      <c r="L657" s="22">
        <v>10</v>
      </c>
      <c r="M657" s="22">
        <v>30</v>
      </c>
      <c r="N657" s="22">
        <v>111444</v>
      </c>
      <c r="O657" s="22" t="str">
        <f t="shared" si="348"/>
        <v>001006</v>
      </c>
      <c r="P657" s="22">
        <f t="shared" si="349"/>
        <v>34</v>
      </c>
      <c r="Q657" s="22"/>
      <c r="R657" s="23" t="s">
        <v>153</v>
      </c>
      <c r="S657" s="22">
        <f t="shared" si="350"/>
        <v>0.56999999999999995</v>
      </c>
      <c r="T657" s="24">
        <f t="shared" si="351"/>
        <v>0</v>
      </c>
      <c r="U657" s="25">
        <f t="shared" si="352"/>
        <v>2</v>
      </c>
      <c r="V657" s="26" t="str">
        <f t="shared" si="353"/>
        <v/>
      </c>
    </row>
    <row r="658" spans="1:22" ht="48.2" customHeight="1" x14ac:dyDescent="0.25">
      <c r="A658" s="17" t="str">
        <f>VLOOKUP(C658,[1]Werke!$A$1:$C$168,3,0)</f>
        <v>LD</v>
      </c>
      <c r="B658" s="17" t="str">
        <f>VLOOKUP(C658,[1]Werke!$A$1:$C$168,2,0)</f>
        <v>SLD</v>
      </c>
      <c r="C658" s="18">
        <v>83630</v>
      </c>
      <c r="D658" s="17" t="str">
        <f>VLOOKUP(C658,[1]Maliteslimalan!$A$1:$B$210,2,0)</f>
        <v>8000012862</v>
      </c>
      <c r="E658" s="19" t="str">
        <f>VLOOKUP(C658,[1]Bestellnr.!$A$1:$B$174,2,0)</f>
        <v>000006</v>
      </c>
      <c r="F658" s="20" t="str">
        <f t="shared" si="344"/>
        <v>N   015 081 8</v>
      </c>
      <c r="G658" s="21">
        <v>110082700</v>
      </c>
      <c r="H658" s="17">
        <f t="shared" si="345"/>
        <v>2.053E-2</v>
      </c>
      <c r="I658" s="20"/>
      <c r="J658" s="17">
        <f t="shared" si="346"/>
        <v>500</v>
      </c>
      <c r="K658" s="17">
        <f t="shared" si="347"/>
        <v>0</v>
      </c>
      <c r="L658" s="22">
        <v>10</v>
      </c>
      <c r="M658" s="22">
        <v>30</v>
      </c>
      <c r="N658" s="22">
        <v>111444</v>
      </c>
      <c r="O658" s="22" t="str">
        <f t="shared" si="348"/>
        <v>001006</v>
      </c>
      <c r="P658" s="22">
        <f t="shared" si="349"/>
        <v>34</v>
      </c>
      <c r="Q658" s="22"/>
      <c r="R658" s="23" t="s">
        <v>153</v>
      </c>
      <c r="S658" s="22">
        <f t="shared" si="350"/>
        <v>0.56999999999999995</v>
      </c>
      <c r="T658" s="24">
        <f t="shared" si="351"/>
        <v>0</v>
      </c>
      <c r="U658" s="25">
        <f t="shared" si="352"/>
        <v>2</v>
      </c>
      <c r="V658" s="26" t="str">
        <f t="shared" si="353"/>
        <v/>
      </c>
    </row>
    <row r="659" spans="1:22" ht="48.2" customHeight="1" x14ac:dyDescent="0.25">
      <c r="A659" s="17">
        <f>VLOOKUP(C659,[1]Werke!$A$1:$C$168,3,0)</f>
        <v>14</v>
      </c>
      <c r="B659" s="17" t="str">
        <f>VLOOKUP(C659,[1]Werke!$A$1:$C$168,2,0)</f>
        <v>D72</v>
      </c>
      <c r="C659" s="18" t="s">
        <v>220</v>
      </c>
      <c r="D659" s="17" t="str">
        <f>VLOOKUP(C659,[1]Maliteslimalan!$A$1:$B$210,2,0)</f>
        <v>8000013493</v>
      </c>
      <c r="E659" s="19">
        <f>VLOOKUP(C659,[1]Bestellnr.!$A$1:$B$174,2,0)</f>
        <v>0</v>
      </c>
      <c r="F659" s="20" t="str">
        <f t="shared" si="344"/>
        <v>N   015 081 8</v>
      </c>
      <c r="G659" s="21">
        <v>110082700</v>
      </c>
      <c r="H659" s="17">
        <f t="shared" si="345"/>
        <v>2.053E-2</v>
      </c>
      <c r="I659" s="20"/>
      <c r="J659" s="17">
        <f t="shared" si="346"/>
        <v>500</v>
      </c>
      <c r="K659" s="17">
        <f t="shared" si="347"/>
        <v>0</v>
      </c>
      <c r="L659" s="22">
        <v>10</v>
      </c>
      <c r="M659" s="22">
        <v>30</v>
      </c>
      <c r="N659" s="22">
        <v>111444</v>
      </c>
      <c r="O659" s="22" t="str">
        <f t="shared" si="348"/>
        <v>001006</v>
      </c>
      <c r="P659" s="22">
        <f t="shared" si="349"/>
        <v>34</v>
      </c>
      <c r="Q659" s="22"/>
      <c r="R659" s="23" t="s">
        <v>153</v>
      </c>
      <c r="S659" s="22">
        <f t="shared" si="350"/>
        <v>0.56999999999999995</v>
      </c>
      <c r="T659" s="24">
        <f t="shared" si="351"/>
        <v>0</v>
      </c>
      <c r="U659" s="25">
        <f t="shared" si="352"/>
        <v>2</v>
      </c>
      <c r="V659" s="26" t="str">
        <f t="shared" si="353"/>
        <v/>
      </c>
    </row>
    <row r="660" spans="1:22" ht="48.2" customHeight="1" x14ac:dyDescent="0.25">
      <c r="A660" s="17">
        <f>VLOOKUP(C660,[1]Werke!$A$1:$C$168,3,0)</f>
        <v>42</v>
      </c>
      <c r="B660" s="17" t="str">
        <f>VLOOKUP(C660,[1]Werke!$A$1:$C$168,2,0)</f>
        <v>CC1</v>
      </c>
      <c r="C660" s="18" t="s">
        <v>241</v>
      </c>
      <c r="D660" s="17" t="str">
        <f>VLOOKUP(C660,[1]Maliteslimalan!$A$1:$B$210,2,0)</f>
        <v>8000012577</v>
      </c>
      <c r="E660" s="19" t="str">
        <f>VLOOKUP(C660,[1]Bestellnr.!$A$1:$B$174,2,0)</f>
        <v>000001</v>
      </c>
      <c r="F660" s="20" t="str">
        <f t="shared" si="344"/>
        <v>N   015 081 8</v>
      </c>
      <c r="G660" s="21">
        <v>110082700</v>
      </c>
      <c r="H660" s="17">
        <f t="shared" si="345"/>
        <v>2.053E-2</v>
      </c>
      <c r="I660" s="20"/>
      <c r="J660" s="17">
        <f t="shared" si="346"/>
        <v>500</v>
      </c>
      <c r="K660" s="17">
        <f t="shared" si="347"/>
        <v>0</v>
      </c>
      <c r="L660" s="22">
        <v>20</v>
      </c>
      <c r="M660" s="22">
        <v>60</v>
      </c>
      <c r="N660" s="22" t="s">
        <v>155</v>
      </c>
      <c r="O660" s="22" t="str">
        <f t="shared" si="348"/>
        <v>001210</v>
      </c>
      <c r="P660" s="22">
        <f t="shared" si="349"/>
        <v>55</v>
      </c>
      <c r="Q660" s="22"/>
      <c r="R660" s="23" t="s">
        <v>153</v>
      </c>
      <c r="S660" s="22">
        <f t="shared" si="350"/>
        <v>0.56999999999999995</v>
      </c>
      <c r="T660" s="24">
        <f t="shared" si="351"/>
        <v>0</v>
      </c>
      <c r="U660" s="25">
        <f t="shared" si="352"/>
        <v>2</v>
      </c>
      <c r="V660" s="26" t="str">
        <f t="shared" si="353"/>
        <v/>
      </c>
    </row>
    <row r="661" spans="1:22" ht="48.2" customHeight="1" x14ac:dyDescent="0.25">
      <c r="A661" s="17">
        <f>VLOOKUP(C661,[1]Werke!$A$1:$C$168,3,0)</f>
        <v>42</v>
      </c>
      <c r="B661" s="17" t="str">
        <f>VLOOKUP(C661,[1]Werke!$A$1:$C$168,2,0)</f>
        <v>VS1</v>
      </c>
      <c r="C661" s="18" t="s">
        <v>307</v>
      </c>
      <c r="D661" s="17">
        <f>VLOOKUP(C661,[1]Maliteslimalan!$A$1:$B$210,2,0)</f>
        <v>8000016694</v>
      </c>
      <c r="E661" s="19">
        <v>6</v>
      </c>
      <c r="F661" s="20" t="str">
        <f t="shared" si="344"/>
        <v>N   015 081 8</v>
      </c>
      <c r="G661" s="21">
        <v>110082700</v>
      </c>
      <c r="H661" s="17">
        <f t="shared" si="345"/>
        <v>2.053E-2</v>
      </c>
      <c r="I661" s="20"/>
      <c r="J661" s="17">
        <f t="shared" si="346"/>
        <v>500</v>
      </c>
      <c r="K661" s="17">
        <f t="shared" si="347"/>
        <v>0</v>
      </c>
      <c r="L661" s="22">
        <v>20</v>
      </c>
      <c r="M661" s="22">
        <v>60</v>
      </c>
      <c r="N661" s="22" t="s">
        <v>155</v>
      </c>
      <c r="O661" s="22" t="str">
        <f t="shared" si="348"/>
        <v>001210</v>
      </c>
      <c r="P661" s="22">
        <f t="shared" si="349"/>
        <v>55</v>
      </c>
      <c r="Q661" s="22"/>
      <c r="R661" s="23" t="s">
        <v>153</v>
      </c>
      <c r="S661" s="22">
        <f t="shared" si="350"/>
        <v>0.56999999999999995</v>
      </c>
      <c r="T661" s="24">
        <f t="shared" si="351"/>
        <v>0</v>
      </c>
      <c r="U661" s="25">
        <f t="shared" si="352"/>
        <v>2</v>
      </c>
      <c r="V661" s="26" t="str">
        <f t="shared" si="353"/>
        <v/>
      </c>
    </row>
    <row r="662" spans="1:22" ht="48.2" customHeight="1" x14ac:dyDescent="0.25">
      <c r="A662" s="17">
        <f>VLOOKUP(C662,[1]Werke!$A$1:$C$168,3,0)</f>
        <v>49</v>
      </c>
      <c r="B662" s="17" t="str">
        <f>VLOOKUP(C662,[1]Werke!$A$1:$C$168,2,0)</f>
        <v>T03</v>
      </c>
      <c r="C662" s="18" t="s">
        <v>222</v>
      </c>
      <c r="D662" s="17" t="str">
        <f>VLOOKUP(C662,[1]Maliteslimalan!$A$1:$B$210,2,0)</f>
        <v>8000013725</v>
      </c>
      <c r="E662" s="19">
        <f>VLOOKUP(C662,[1]Bestellnr.!$A$1:$B$174,2,0)</f>
        <v>0</v>
      </c>
      <c r="F662" s="20" t="str">
        <f t="shared" si="344"/>
        <v>N   015 081 8</v>
      </c>
      <c r="G662" s="21">
        <v>110082700</v>
      </c>
      <c r="H662" s="17">
        <f t="shared" si="345"/>
        <v>2.053E-2</v>
      </c>
      <c r="I662" s="20"/>
      <c r="J662" s="17">
        <f t="shared" si="346"/>
        <v>500</v>
      </c>
      <c r="K662" s="17">
        <f t="shared" si="347"/>
        <v>0</v>
      </c>
      <c r="L662" s="22">
        <v>20</v>
      </c>
      <c r="M662" s="22">
        <v>60</v>
      </c>
      <c r="N662" s="22" t="s">
        <v>155</v>
      </c>
      <c r="O662" s="22" t="str">
        <f t="shared" si="348"/>
        <v>001210</v>
      </c>
      <c r="P662" s="22">
        <f t="shared" si="349"/>
        <v>55</v>
      </c>
      <c r="Q662" s="22"/>
      <c r="R662" s="23" t="s">
        <v>153</v>
      </c>
      <c r="S662" s="22">
        <f t="shared" si="350"/>
        <v>0.56999999999999995</v>
      </c>
      <c r="T662" s="24">
        <f t="shared" si="351"/>
        <v>0</v>
      </c>
      <c r="U662" s="25">
        <f t="shared" si="352"/>
        <v>2</v>
      </c>
      <c r="V662" s="26" t="str">
        <f t="shared" si="353"/>
        <v/>
      </c>
    </row>
    <row r="663" spans="1:22" ht="48.2" customHeight="1" x14ac:dyDescent="0.25">
      <c r="A663" s="17"/>
      <c r="B663" s="17"/>
      <c r="C663" s="18"/>
      <c r="D663" s="17"/>
      <c r="E663" s="19"/>
      <c r="F663" s="20"/>
      <c r="G663" s="21"/>
      <c r="H663" s="17"/>
      <c r="I663" s="20"/>
      <c r="J663" s="17"/>
      <c r="K663" s="17"/>
      <c r="L663" s="22"/>
      <c r="M663" s="22"/>
      <c r="N663" s="22"/>
      <c r="O663" s="22"/>
      <c r="P663" s="22"/>
      <c r="Q663" s="22"/>
      <c r="R663" s="23"/>
      <c r="S663" s="22"/>
      <c r="T663" s="24"/>
      <c r="U663" s="25"/>
    </row>
    <row r="664" spans="1:22" ht="48" customHeight="1" x14ac:dyDescent="0.25">
      <c r="A664" s="17" t="str">
        <f>VLOOKUP(C664,[1]Werke!$A$1:$C$168,3,0)</f>
        <v>CP</v>
      </c>
      <c r="B664" s="17" t="str">
        <f>VLOOKUP(C664,[1]Werke!$A$1:$C$168,2,0)</f>
        <v>BAE</v>
      </c>
      <c r="C664" s="18" t="s">
        <v>300</v>
      </c>
      <c r="D664" s="17" t="str">
        <f>VLOOKUP(C664,[1]Maliteslimalan!$A$1:$B$210,2,0)</f>
        <v>8000012884</v>
      </c>
      <c r="E664" s="19" t="str">
        <f>VLOOKUP(C664,[1]Bestellnr.!$A$1:$B$174,2,0)</f>
        <v>000006</v>
      </c>
      <c r="F664" s="20" t="str">
        <f>VLOOKUP(G664,$U$1:$V$1730,2,0)</f>
        <v>N   107 658 02</v>
      </c>
      <c r="G664" s="21">
        <v>100260400</v>
      </c>
      <c r="H664" s="17">
        <f>VLOOKUP(G664,Z$2:AA$1905,2,FALSE)</f>
        <v>2.043E-2</v>
      </c>
      <c r="I664" s="20"/>
      <c r="J664" s="17">
        <f>VLOOKUP(G664,W$2:X$1905,2,FALSE)</f>
        <v>500</v>
      </c>
      <c r="K664" s="17">
        <f>I664/J664</f>
        <v>0</v>
      </c>
      <c r="L664" s="22">
        <v>20</v>
      </c>
      <c r="M664" s="22">
        <v>20</v>
      </c>
      <c r="N664" s="22" t="s">
        <v>155</v>
      </c>
      <c r="O664" s="22" t="str">
        <f>VLOOKUP(N664,$AL$1285:$AM$1310,2,FALSE)</f>
        <v>001210</v>
      </c>
      <c r="P664" s="22">
        <f>VLOOKUP(N664,AC$2:AD$1905,2,FALSE)</f>
        <v>55</v>
      </c>
      <c r="Q664" s="22"/>
      <c r="R664" s="23" t="s">
        <v>153</v>
      </c>
      <c r="S664" s="22">
        <f>VLOOKUP(R664,AC$2:AD$1905,2,FALSE)</f>
        <v>0.56999999999999995</v>
      </c>
      <c r="T664" s="24">
        <f>(H664*I664)+P664*Q664+S664*K664</f>
        <v>0</v>
      </c>
      <c r="U664" s="25">
        <f>IF(TRIM(N664&amp;"")="111444",
    IF(ROUNDUP(MAX(0,K664-(MAX(1,Q664)-1)*10)/10,0)=1,3,2),
    IF(TRIM(N664&amp;"")="VWPAL",
        IF(TRIM(R664&amp;"")="004147",1,2),
        ""
    )
)</f>
        <v>2</v>
      </c>
      <c r="V664" s="26" t="str">
        <f>IF(OR(TRIM(N664&amp;"")="111444",TRIM(N664&amp;"")="VWPAL"),
    IF(K664&lt;=0,"",
        IF(
            MIN(3,ROUNDUP(MAX(0,K664-(MAX(1,Q664)-1)*IF(TRIM(N664&amp;"")="111444",10,20))/IF(TRIM(N664&amp;"")="111444",10,20),0))=1,
            300,
            IF(
                MIN(3,ROUNDUP(MAX(0,K664-(MAX(1,Q664)-1)*IF(TRIM(N664&amp;"")="111444",10,20))/IF(TRIM(N664&amp;"")="111444",10,20),0))=2,
                450,
                600
            )
        )
    ),
    ""
)</f>
        <v/>
      </c>
    </row>
    <row r="665" spans="1:22" ht="48" customHeight="1" x14ac:dyDescent="0.25">
      <c r="A665" s="17">
        <f>VLOOKUP(C665,[1]Werke!$A$1:$C$168,3,0)</f>
        <v>22</v>
      </c>
      <c r="B665" s="17" t="str">
        <f>VLOOKUP(C665,[1]Werke!$A$1:$C$168,2,0)</f>
        <v>13P</v>
      </c>
      <c r="C665" s="18" t="s">
        <v>215</v>
      </c>
      <c r="D665" s="17" t="str">
        <f>VLOOKUP(C665,[1]Maliteslimalan!$A$1:$B$210,2,0)</f>
        <v>8000014259</v>
      </c>
      <c r="E665" s="19" t="str">
        <f>VLOOKUP(C665,[1]Bestellnr.!$A$1:$B$174,2,0)</f>
        <v>000006</v>
      </c>
      <c r="F665" s="20" t="str">
        <f>VLOOKUP(G665,$U$1:$V$1730,2,0)</f>
        <v>N   107 658 02</v>
      </c>
      <c r="G665" s="21">
        <v>100260400</v>
      </c>
      <c r="H665" s="17">
        <f>VLOOKUP(G665,Z$2:AA$1905,2,FALSE)</f>
        <v>2.043E-2</v>
      </c>
      <c r="I665" s="20"/>
      <c r="J665" s="17">
        <f>VLOOKUP(G665,W$2:X$1905,2,FALSE)</f>
        <v>500</v>
      </c>
      <c r="K665" s="17">
        <f>I665/J665</f>
        <v>0</v>
      </c>
      <c r="L665" s="22">
        <v>10</v>
      </c>
      <c r="M665" s="22">
        <v>30</v>
      </c>
      <c r="N665" s="22">
        <v>111444</v>
      </c>
      <c r="O665" s="22" t="str">
        <f>VLOOKUP(N665,$AL$1285:$AM$1310,2,FALSE)</f>
        <v>001006</v>
      </c>
      <c r="P665" s="22">
        <f>VLOOKUP(N665,AC$2:AD$1905,2,FALSE)</f>
        <v>34</v>
      </c>
      <c r="Q665" s="22"/>
      <c r="R665" s="23" t="s">
        <v>153</v>
      </c>
      <c r="S665" s="22">
        <f>VLOOKUP(R665,AC$2:AD$1905,2,FALSE)</f>
        <v>0.56999999999999995</v>
      </c>
      <c r="T665" s="24">
        <f>(H665*I665)+P665*Q665+S665*K665</f>
        <v>0</v>
      </c>
      <c r="U665" s="25">
        <f>IF(TRIM(N665&amp;"")="111444",
    IF(ROUNDUP(MAX(0,K665-(MAX(1,Q665)-1)*10)/10,0)=1,3,2),
    IF(TRIM(N665&amp;"")="VWPAL",
        IF(TRIM(R665&amp;"")="004147",1,2),
        ""
    )
)</f>
        <v>2</v>
      </c>
      <c r="V665" s="26" t="str">
        <f>IF(OR(TRIM(N665&amp;"")="111444",TRIM(N665&amp;"")="VWPAL"),
    IF(K665&lt;=0,"",
        IF(
            MIN(3,ROUNDUP(MAX(0,K665-(MAX(1,Q665)-1)*IF(TRIM(N665&amp;"")="111444",10,20))/IF(TRIM(N665&amp;"")="111444",10,20),0))=1,
            300,
            IF(
                MIN(3,ROUNDUP(MAX(0,K665-(MAX(1,Q665)-1)*IF(TRIM(N665&amp;"")="111444",10,20))/IF(TRIM(N665&amp;"")="111444",10,20),0))=2,
                450,
                600
            )
        )
    ),
    ""
)</f>
        <v/>
      </c>
    </row>
    <row r="666" spans="1:22" ht="48" customHeight="1" x14ac:dyDescent="0.25">
      <c r="A666" s="17">
        <f>VLOOKUP(C666,[1]Werke!$A$1:$C$168,3,0)</f>
        <v>88</v>
      </c>
      <c r="B666" s="17" t="str">
        <f>VLOOKUP(C666,[1]Werke!$A$1:$C$168,2,0)</f>
        <v>02</v>
      </c>
      <c r="C666" s="20" t="s">
        <v>167</v>
      </c>
      <c r="D666" s="17" t="str">
        <f>VLOOKUP(C666,[1]Maliteslimalan!$A$1:$B$210,2,0)</f>
        <v>8000012643</v>
      </c>
      <c r="E666" s="19" t="str">
        <f>VLOOKUP(C666,[1]Bestellnr.!$A$1:$B$174,2,0)</f>
        <v>000088</v>
      </c>
      <c r="F666" s="20" t="str">
        <f>VLOOKUP(G666,$U$1:$V$1730,2,0)</f>
        <v>N   107 658 02</v>
      </c>
      <c r="G666" s="21">
        <v>100260400</v>
      </c>
      <c r="H666" s="17">
        <f>VLOOKUP(G666,Z$2:AA$1905,2,FALSE)</f>
        <v>2.043E-2</v>
      </c>
      <c r="I666" s="20"/>
      <c r="J666" s="17">
        <f>VLOOKUP(G666,W$2:X$1905,2,FALSE)</f>
        <v>500</v>
      </c>
      <c r="K666" s="17">
        <f>I666/J666</f>
        <v>0</v>
      </c>
      <c r="L666" s="22">
        <v>10</v>
      </c>
      <c r="M666" s="22">
        <v>30</v>
      </c>
      <c r="N666" s="22">
        <v>111444</v>
      </c>
      <c r="O666" s="22" t="str">
        <f>VLOOKUP(N666,$AL$1285:$AM$1310,2,FALSE)</f>
        <v>001006</v>
      </c>
      <c r="P666" s="22">
        <f>VLOOKUP(N666,AC$2:AD$1905,2,FALSE)</f>
        <v>34</v>
      </c>
      <c r="Q666" s="22"/>
      <c r="R666" s="23" t="s">
        <v>153</v>
      </c>
      <c r="S666" s="22">
        <f>VLOOKUP(R666,AC$2:AD$1905,2,FALSE)</f>
        <v>0.56999999999999995</v>
      </c>
      <c r="T666" s="24">
        <f>(H666*I666)+P666*Q666+S666*K666</f>
        <v>0</v>
      </c>
      <c r="U666" s="25">
        <f>IF(TRIM(N666&amp;"")="111444",
    IF(ROUNDUP(MAX(0,K666-(MAX(1,Q666)-1)*10)/10,0)=1,3,2),
    IF(TRIM(N666&amp;"")="VWPAL",
        IF(TRIM(R666&amp;"")="004147",1,2),
        ""
    )
)</f>
        <v>2</v>
      </c>
      <c r="V666" s="26" t="str">
        <f>IF(OR(TRIM(N666&amp;"")="111444",TRIM(N666&amp;"")="VWPAL"),
    IF(K666&lt;=0,"",
        IF(
            MIN(3,ROUNDUP(MAX(0,K666-(MAX(1,Q666)-1)*IF(TRIM(N666&amp;"")="111444",10,20))/IF(TRIM(N666&amp;"")="111444",10,20),0))=1,
            300,
            IF(
                MIN(3,ROUNDUP(MAX(0,K666-(MAX(1,Q666)-1)*IF(TRIM(N666&amp;"")="111444",10,20))/IF(TRIM(N666&amp;"")="111444",10,20),0))=2,
                450,
                600
            )
        )
    ),
    ""
)</f>
        <v/>
      </c>
    </row>
    <row r="667" spans="1:22" ht="48" customHeight="1" x14ac:dyDescent="0.25">
      <c r="A667" s="17">
        <f>VLOOKUP(C667,[1]Werke!$A$1:$C$168,3,0)</f>
        <v>14</v>
      </c>
      <c r="B667" s="17" t="str">
        <f>VLOOKUP(C667,[1]Werke!$A$1:$C$168,2,0)</f>
        <v>D72</v>
      </c>
      <c r="C667" s="18" t="s">
        <v>220</v>
      </c>
      <c r="D667" s="17" t="str">
        <f>VLOOKUP(C667,[1]Maliteslimalan!$A$1:$B$210,2,0)</f>
        <v>8000013493</v>
      </c>
      <c r="E667" s="19">
        <f>VLOOKUP(C667,[1]Bestellnr.!$A$1:$B$174,2,0)</f>
        <v>0</v>
      </c>
      <c r="F667" s="20" t="str">
        <f>VLOOKUP(G667,$U$1:$V$1730,2,0)</f>
        <v>N   107 658 02</v>
      </c>
      <c r="G667" s="21">
        <v>100260400</v>
      </c>
      <c r="H667" s="17">
        <f>VLOOKUP(G667,Z$2:AA$1905,2,FALSE)</f>
        <v>2.043E-2</v>
      </c>
      <c r="I667" s="20"/>
      <c r="J667" s="17">
        <f>VLOOKUP(G667,W$2:X$1905,2,FALSE)</f>
        <v>500</v>
      </c>
      <c r="K667" s="17">
        <f>I667/J667</f>
        <v>0</v>
      </c>
      <c r="L667" s="22">
        <v>10</v>
      </c>
      <c r="M667" s="22">
        <v>30</v>
      </c>
      <c r="N667" s="22">
        <v>111444</v>
      </c>
      <c r="O667" s="22" t="str">
        <f>VLOOKUP(N667,$AL$1285:$AM$1310,2,FALSE)</f>
        <v>001006</v>
      </c>
      <c r="P667" s="22">
        <f>VLOOKUP(N667,AC$2:AD$1905,2,FALSE)</f>
        <v>34</v>
      </c>
      <c r="Q667" s="22"/>
      <c r="R667" s="23" t="s">
        <v>153</v>
      </c>
      <c r="S667" s="22">
        <f>VLOOKUP(R667,AC$2:AD$1905,2,FALSE)</f>
        <v>0.56999999999999995</v>
      </c>
      <c r="T667" s="24">
        <f>(H667*I667)+P667*Q667+S667*K667</f>
        <v>0</v>
      </c>
      <c r="U667" s="25">
        <f>IF(TRIM(N667&amp;"")="111444",
    IF(ROUNDUP(MAX(0,K667-(MAX(1,Q667)-1)*10)/10,0)=1,3,2),
    IF(TRIM(N667&amp;"")="VWPAL",
        IF(TRIM(R667&amp;"")="004147",1,2),
        ""
    )
)</f>
        <v>2</v>
      </c>
      <c r="V667" s="26" t="str">
        <f>IF(OR(TRIM(N667&amp;"")="111444",TRIM(N667&amp;"")="VWPAL"),
    IF(K667&lt;=0,"",
        IF(
            MIN(3,ROUNDUP(MAX(0,K667-(MAX(1,Q667)-1)*IF(TRIM(N667&amp;"")="111444",10,20))/IF(TRIM(N667&amp;"")="111444",10,20),0))=1,
            300,
            IF(
                MIN(3,ROUNDUP(MAX(0,K667-(MAX(1,Q667)-1)*IF(TRIM(N667&amp;"")="111444",10,20))/IF(TRIM(N667&amp;"")="111444",10,20),0))=2,
                450,
                600
            )
        )
    ),
    ""
)</f>
        <v/>
      </c>
    </row>
    <row r="668" spans="1:22" ht="48" customHeight="1" x14ac:dyDescent="0.25">
      <c r="A668" s="17"/>
      <c r="B668" s="17"/>
      <c r="C668" s="18"/>
      <c r="D668" s="17"/>
      <c r="E668" s="19"/>
      <c r="F668" s="20"/>
      <c r="G668" s="21"/>
      <c r="H668" s="17"/>
      <c r="I668" s="20"/>
      <c r="J668" s="17"/>
      <c r="K668" s="17"/>
      <c r="L668" s="22"/>
      <c r="M668" s="22"/>
      <c r="N668" s="22"/>
      <c r="O668" s="22"/>
      <c r="P668" s="22"/>
      <c r="Q668" s="22"/>
      <c r="R668" s="23"/>
      <c r="S668" s="22"/>
      <c r="T668" s="24"/>
      <c r="U668" s="25"/>
    </row>
    <row r="669" spans="1:22" ht="48" customHeight="1" x14ac:dyDescent="0.25">
      <c r="A669" s="17" t="str">
        <f>VLOOKUP(C669,[1]Werke!$A$1:$C$168,3,0)</f>
        <v>CP</v>
      </c>
      <c r="B669" s="17" t="str">
        <f>VLOOKUP(C669,[1]Werke!$A$1:$C$168,2,0)</f>
        <v>BAE</v>
      </c>
      <c r="C669" s="18" t="s">
        <v>300</v>
      </c>
      <c r="D669" s="17" t="str">
        <f>VLOOKUP(C669,[1]Maliteslimalan!$A$1:$B$210,2,0)</f>
        <v>8000012884</v>
      </c>
      <c r="E669" s="19" t="str">
        <f>VLOOKUP(C669,[1]Bestellnr.!$A$1:$B$174,2,0)</f>
        <v>000006</v>
      </c>
      <c r="F669" s="20" t="str">
        <f>VLOOKUP(G669,$U$1:$V$1730,2,0)</f>
        <v>N   912 943 01</v>
      </c>
      <c r="G669" s="21">
        <v>100196400</v>
      </c>
      <c r="H669" s="17">
        <f>VLOOKUP(G669,Z$2:AA$1905,2,FALSE)</f>
        <v>6.7110000000000003E-2</v>
      </c>
      <c r="I669" s="20"/>
      <c r="J669" s="17">
        <f>VLOOKUP(G669,W$2:X$1905,2,FALSE)</f>
        <v>150</v>
      </c>
      <c r="K669" s="17">
        <f>I669/J669</f>
        <v>0</v>
      </c>
      <c r="L669" s="22">
        <v>20</v>
      </c>
      <c r="M669" s="22">
        <v>20</v>
      </c>
      <c r="N669" s="22" t="s">
        <v>155</v>
      </c>
      <c r="O669" s="22" t="str">
        <f>VLOOKUP(N669,$AL$1285:$AM$1310,2,FALSE)</f>
        <v>001210</v>
      </c>
      <c r="P669" s="22">
        <f>VLOOKUP(N669,AC$2:AD$1905,2,FALSE)</f>
        <v>55</v>
      </c>
      <c r="Q669" s="22"/>
      <c r="R669" s="23" t="s">
        <v>153</v>
      </c>
      <c r="S669" s="22">
        <f>VLOOKUP(R669,AC$2:AD$1905,2,FALSE)</f>
        <v>0.56999999999999995</v>
      </c>
      <c r="T669" s="24">
        <f>(H669*I669)+P669*Q669+S669*K669</f>
        <v>0</v>
      </c>
      <c r="U669" s="25">
        <f>IF(TRIM(N669&amp;"")="111444",
    IF(ROUNDUP(MAX(0,K669-(MAX(1,Q669)-1)*10)/10,0)=1,3,2),
    IF(TRIM(N669&amp;"")="VWPAL",
        IF(TRIM(R669&amp;"")="004147",1,2),
        ""
    )
)</f>
        <v>2</v>
      </c>
      <c r="V669" s="26" t="str">
        <f>IF(OR(TRIM(N669&amp;"")="111444",TRIM(N669&amp;"")="VWPAL"),
    IF(K669&lt;=0,"",
        IF(
            MIN(3,ROUNDUP(MAX(0,K669-(MAX(1,Q669)-1)*IF(TRIM(N669&amp;"")="111444",10,20))/IF(TRIM(N669&amp;"")="111444",10,20),0))=1,
            300,
            IF(
                MIN(3,ROUNDUP(MAX(0,K669-(MAX(1,Q669)-1)*IF(TRIM(N669&amp;"")="111444",10,20))/IF(TRIM(N669&amp;"")="111444",10,20),0))=2,
                450,
                600
            )
        )
    ),
    ""
)</f>
        <v/>
      </c>
    </row>
    <row r="670" spans="1:22" ht="48" customHeight="1" x14ac:dyDescent="0.25">
      <c r="A670" s="17">
        <f>VLOOKUP(C670,[1]Werke!$A$1:$C$168,3,0)</f>
        <v>14</v>
      </c>
      <c r="B670" s="17" t="str">
        <f>VLOOKUP(C670,[1]Werke!$A$1:$C$168,2,0)</f>
        <v>D72</v>
      </c>
      <c r="C670" s="18" t="s">
        <v>220</v>
      </c>
      <c r="D670" s="17" t="str">
        <f>VLOOKUP(C670,[1]Maliteslimalan!$A$1:$B$210,2,0)</f>
        <v>8000013493</v>
      </c>
      <c r="E670" s="19">
        <f>VLOOKUP(C670,[1]Bestellnr.!$A$1:$B$174,2,0)</f>
        <v>0</v>
      </c>
      <c r="F670" s="20" t="str">
        <f>VLOOKUP(G670,$U$1:$V$1730,2,0)</f>
        <v>N   912 943 01</v>
      </c>
      <c r="G670" s="21">
        <v>100196400</v>
      </c>
      <c r="H670" s="17">
        <f>VLOOKUP(G670,Z$2:AA$1905,2,FALSE)</f>
        <v>6.7110000000000003E-2</v>
      </c>
      <c r="I670" s="20"/>
      <c r="J670" s="17">
        <f>VLOOKUP(G670,W$2:X$1905,2,FALSE)</f>
        <v>150</v>
      </c>
      <c r="K670" s="17">
        <f>I670/J670</f>
        <v>0</v>
      </c>
      <c r="L670" s="22">
        <v>10</v>
      </c>
      <c r="M670" s="22">
        <v>30</v>
      </c>
      <c r="N670" s="22">
        <v>111444</v>
      </c>
      <c r="O670" s="22" t="str">
        <f>VLOOKUP(N670,$AL$1285:$AM$1310,2,FALSE)</f>
        <v>001006</v>
      </c>
      <c r="P670" s="22">
        <f>VLOOKUP(N670,AC$2:AD$1905,2,FALSE)</f>
        <v>34</v>
      </c>
      <c r="Q670" s="22"/>
      <c r="R670" s="23" t="s">
        <v>153</v>
      </c>
      <c r="S670" s="22">
        <f>VLOOKUP(R670,AC$2:AD$1905,2,FALSE)</f>
        <v>0.56999999999999995</v>
      </c>
      <c r="T670" s="24">
        <f>(H670*I670)+P670*Q670+S670*K670</f>
        <v>0</v>
      </c>
      <c r="U670" s="25">
        <f>IF(TRIM(N670&amp;"")="111444",
    IF(ROUNDUP(MAX(0,K670-(MAX(1,Q670)-1)*10)/10,0)=1,3,2),
    IF(TRIM(N670&amp;"")="VWPAL",
        IF(TRIM(R670&amp;"")="004147",1,2),
        ""
    )
)</f>
        <v>2</v>
      </c>
      <c r="V670" s="26" t="str">
        <f>IF(OR(TRIM(N670&amp;"")="111444",TRIM(N670&amp;"")="VWPAL"),
    IF(K670&lt;=0,"",
        IF(
            MIN(3,ROUNDUP(MAX(0,K670-(MAX(1,Q670)-1)*IF(TRIM(N670&amp;"")="111444",10,20))/IF(TRIM(N670&amp;"")="111444",10,20),0))=1,
            300,
            IF(
                MIN(3,ROUNDUP(MAX(0,K670-(MAX(1,Q670)-1)*IF(TRIM(N670&amp;"")="111444",10,20))/IF(TRIM(N670&amp;"")="111444",10,20),0))=2,
                450,
                600
            )
        )
    ),
    ""
)</f>
        <v/>
      </c>
    </row>
    <row r="671" spans="1:22" ht="48" customHeight="1" x14ac:dyDescent="0.25">
      <c r="A671" s="17"/>
      <c r="B671" s="17"/>
      <c r="C671" s="18"/>
      <c r="D671" s="17"/>
      <c r="E671" s="19"/>
      <c r="F671" s="20"/>
      <c r="G671" s="21"/>
      <c r="H671" s="17"/>
      <c r="I671" s="20"/>
      <c r="J671" s="17"/>
      <c r="K671" s="17"/>
      <c r="L671" s="22"/>
      <c r="M671" s="22"/>
      <c r="N671" s="22"/>
      <c r="O671" s="22"/>
      <c r="P671" s="22"/>
      <c r="Q671" s="22"/>
      <c r="R671" s="23"/>
      <c r="S671" s="22"/>
      <c r="T671" s="24"/>
      <c r="U671" s="25"/>
    </row>
    <row r="672" spans="1:22" ht="48.2" customHeight="1" x14ac:dyDescent="0.25">
      <c r="A672" s="17">
        <f>VLOOKUP(C672,[1]Werke!$A$1:$C$168,3,0)</f>
        <v>12</v>
      </c>
      <c r="B672" s="17" t="str">
        <f>VLOOKUP(C672,[1]Werke!$A$1:$C$168,2,0)</f>
        <v>U4</v>
      </c>
      <c r="C672" s="18" t="s">
        <v>314</v>
      </c>
      <c r="D672" s="17" t="str">
        <f>VLOOKUP(C672,[1]Maliteslimalan!$A$1:$B$210,2,0)</f>
        <v>8000014127</v>
      </c>
      <c r="E672" s="19" t="str">
        <f>VLOOKUP(C672,[1]Bestellnr.!$A$1:$B$174,2,0)</f>
        <v>000006</v>
      </c>
      <c r="F672" s="20" t="str">
        <f>VLOOKUP(G672,$U$1:$V$1730,2,0)</f>
        <v>N   912 727 01</v>
      </c>
      <c r="G672" s="21">
        <v>110064500</v>
      </c>
      <c r="H672" s="17">
        <f>VLOOKUP(G672,Z$2:AA$1905,2,FALSE)</f>
        <v>2.4570000000000002E-2</v>
      </c>
      <c r="I672" s="20"/>
      <c r="J672" s="17">
        <f>VLOOKUP(G672,W$2:X$1905,2,FALSE)</f>
        <v>550</v>
      </c>
      <c r="K672" s="17">
        <f>I672/J672</f>
        <v>0</v>
      </c>
      <c r="L672" s="22">
        <v>10</v>
      </c>
      <c r="M672" s="22">
        <v>10</v>
      </c>
      <c r="N672" s="22">
        <v>111444</v>
      </c>
      <c r="O672" s="22" t="str">
        <f>VLOOKUP(N672,$AL$1285:$AM$1310,2,FALSE)</f>
        <v>001006</v>
      </c>
      <c r="P672" s="22">
        <f>VLOOKUP(N672,AC$2:AD$1905,2,FALSE)</f>
        <v>34</v>
      </c>
      <c r="Q672" s="22"/>
      <c r="R672" s="23" t="s">
        <v>153</v>
      </c>
      <c r="S672" s="22">
        <f>VLOOKUP(R672,AC$2:AD$1905,2,FALSE)</f>
        <v>0.56999999999999995</v>
      </c>
      <c r="T672" s="24">
        <f>(H672*I672)+P672*Q672+S672*K672</f>
        <v>0</v>
      </c>
      <c r="U672" s="25">
        <f>IF(TRIM(N672&amp;"")="111444",
    IF(ROUNDUP(MAX(0,K672-(MAX(1,Q672)-1)*10)/10,0)=1,3,2),
    IF(TRIM(N672&amp;"")="VWPAL",
        IF(TRIM(R672&amp;"")="004147",1,2),
        ""
    )
)</f>
        <v>2</v>
      </c>
      <c r="V672" s="26" t="str">
        <f>IF(OR(TRIM(N672&amp;"")="111444",TRIM(N672&amp;"")="VWPAL"),
    IF(K672&lt;=0,"",
        IF(
            MIN(3,ROUNDUP(MAX(0,K672-(MAX(1,Q672)-1)*IF(TRIM(N672&amp;"")="111444",10,20))/IF(TRIM(N672&amp;"")="111444",10,20),0))=1,
            300,
            IF(
                MIN(3,ROUNDUP(MAX(0,K672-(MAX(1,Q672)-1)*IF(TRIM(N672&amp;"")="111444",10,20))/IF(TRIM(N672&amp;"")="111444",10,20),0))=2,
                450,
                600
            )
        )
    ),
    ""
)</f>
        <v/>
      </c>
    </row>
    <row r="673" spans="1:22" ht="48.2" customHeight="1" x14ac:dyDescent="0.25">
      <c r="A673" s="17">
        <f>VLOOKUP(C673,[1]Werke!$A$1:$C$168,3,0)</f>
        <v>14</v>
      </c>
      <c r="B673" s="17" t="str">
        <f>VLOOKUP(C673,[1]Werke!$A$1:$C$168,2,0)</f>
        <v>D72</v>
      </c>
      <c r="C673" s="18" t="s">
        <v>220</v>
      </c>
      <c r="D673" s="17" t="str">
        <f>VLOOKUP(C673,[1]Maliteslimalan!$A$1:$B$210,2,0)</f>
        <v>8000013493</v>
      </c>
      <c r="E673" s="19">
        <f>VLOOKUP(C673,[1]Bestellnr.!$A$1:$B$174,2,0)</f>
        <v>0</v>
      </c>
      <c r="F673" s="20" t="str">
        <f>VLOOKUP(G673,$U$1:$V$1730,2,0)</f>
        <v>N   912 727 01</v>
      </c>
      <c r="G673" s="21">
        <v>110064500</v>
      </c>
      <c r="H673" s="17">
        <f>VLOOKUP(G673,Z$2:AA$1905,2,FALSE)</f>
        <v>2.4570000000000002E-2</v>
      </c>
      <c r="I673" s="20"/>
      <c r="J673" s="17">
        <v>550</v>
      </c>
      <c r="K673" s="17">
        <f>I673/J673</f>
        <v>0</v>
      </c>
      <c r="L673" s="22">
        <v>20</v>
      </c>
      <c r="M673" s="22">
        <v>20</v>
      </c>
      <c r="N673" s="22" t="s">
        <v>155</v>
      </c>
      <c r="O673" s="22" t="str">
        <f>VLOOKUP(N673,$AL$1285:$AM$1310,2,FALSE)</f>
        <v>001210</v>
      </c>
      <c r="P673" s="22">
        <f>VLOOKUP(N673,AC$2:AD$1905,2,FALSE)</f>
        <v>55</v>
      </c>
      <c r="Q673" s="22"/>
      <c r="R673" s="23" t="s">
        <v>153</v>
      </c>
      <c r="S673" s="22">
        <f>VLOOKUP(R673,AC$2:AD$1905,2,FALSE)</f>
        <v>0.56999999999999995</v>
      </c>
      <c r="T673" s="24">
        <f>(H673*I673)+P673*Q673+S673*K673</f>
        <v>0</v>
      </c>
      <c r="U673" s="25">
        <f>IF(TRIM(N673&amp;"")="111444",
    IF(ROUNDUP(MAX(0,K673-(MAX(1,Q673)-1)*10)/10,0)=1,3,2),
    IF(TRIM(N673&amp;"")="VWPAL",
        IF(TRIM(R673&amp;"")="004147",1,2),
        ""
    )
)</f>
        <v>2</v>
      </c>
      <c r="V673" s="26" t="str">
        <f>IF(OR(TRIM(N673&amp;"")="111444",TRIM(N673&amp;"")="VWPAL"),
    IF(K673&lt;=0,"",
        IF(
            MIN(3,ROUNDUP(MAX(0,K673-(MAX(1,Q673)-1)*IF(TRIM(N673&amp;"")="111444",10,20))/IF(TRIM(N673&amp;"")="111444",10,20),0))=1,
            300,
            IF(
                MIN(3,ROUNDUP(MAX(0,K673-(MAX(1,Q673)-1)*IF(TRIM(N673&amp;"")="111444",10,20))/IF(TRIM(N673&amp;"")="111444",10,20),0))=2,
                450,
                600
            )
        )
    ),
    ""
)</f>
        <v/>
      </c>
    </row>
    <row r="674" spans="1:22" ht="48.2" customHeight="1" x14ac:dyDescent="0.25">
      <c r="A674" s="17"/>
      <c r="B674" s="17"/>
      <c r="C674" s="18"/>
      <c r="D674" s="17"/>
      <c r="E674" s="19"/>
      <c r="F674" s="20"/>
      <c r="G674" s="21"/>
      <c r="H674" s="17"/>
      <c r="I674" s="20"/>
      <c r="J674" s="17"/>
      <c r="K674" s="17"/>
      <c r="L674" s="22"/>
      <c r="M674" s="22"/>
      <c r="N674" s="22"/>
      <c r="O674" s="22"/>
      <c r="P674" s="22"/>
      <c r="Q674" s="22"/>
      <c r="R674" s="23"/>
      <c r="S674" s="22"/>
      <c r="T674" s="24"/>
      <c r="U674" s="25"/>
    </row>
    <row r="675" spans="1:22" ht="48" customHeight="1" x14ac:dyDescent="0.25">
      <c r="A675" s="17" t="str">
        <f>VLOOKUP(C675,[1]Werke!$A$1:$C$168,3,0)</f>
        <v>CP</v>
      </c>
      <c r="B675" s="17" t="str">
        <f>VLOOKUP(C675,[1]Werke!$A$1:$C$168,2,0)</f>
        <v>BAE</v>
      </c>
      <c r="C675" s="18" t="s">
        <v>300</v>
      </c>
      <c r="D675" s="17" t="str">
        <f>VLOOKUP(C675,[1]Maliteslimalan!$A$1:$B$210,2,0)</f>
        <v>8000012884</v>
      </c>
      <c r="E675" s="19" t="str">
        <f>VLOOKUP(C675,[1]Bestellnr.!$A$1:$B$174,2,0)</f>
        <v>000006</v>
      </c>
      <c r="F675" s="20" t="str">
        <f>VLOOKUP(G675,$U$1:$V$1730,2,0)</f>
        <v>N   912 942 01</v>
      </c>
      <c r="G675" s="21">
        <v>100169200</v>
      </c>
      <c r="H675" s="17">
        <f>VLOOKUP(G675,Z$2:AA$1905,2,FALSE)</f>
        <v>9.4780000000000003E-2</v>
      </c>
      <c r="I675" s="20"/>
      <c r="J675" s="17">
        <f>VLOOKUP(G675,W$2:X$1905,2,FALSE)</f>
        <v>100</v>
      </c>
      <c r="K675" s="17">
        <f>I675/J675</f>
        <v>0</v>
      </c>
      <c r="L675" s="22">
        <v>20</v>
      </c>
      <c r="M675" s="22">
        <v>40</v>
      </c>
      <c r="N675" s="22" t="s">
        <v>155</v>
      </c>
      <c r="O675" s="22" t="str">
        <f>VLOOKUP(N675,$AL$1285:$AM$1310,2,FALSE)</f>
        <v>001210</v>
      </c>
      <c r="P675" s="22">
        <f>VLOOKUP(N675,AC$2:AD$1905,2,FALSE)</f>
        <v>55</v>
      </c>
      <c r="Q675" s="22"/>
      <c r="R675" s="23" t="s">
        <v>153</v>
      </c>
      <c r="S675" s="22">
        <f>VLOOKUP(R675,AC$2:AD$1905,2,FALSE)</f>
        <v>0.56999999999999995</v>
      </c>
      <c r="T675" s="24">
        <f>(H675*I675)+P675*Q675+S675*K675</f>
        <v>0</v>
      </c>
      <c r="U675" s="25">
        <f>IF(TRIM(N675&amp;"")="111444",
    IF(ROUNDUP(MAX(0,K675-(MAX(1,Q675)-1)*10)/10,0)=1,3,2),
    IF(TRIM(N675&amp;"")="VWPAL",
        IF(TRIM(R675&amp;"")="004147",1,2),
        ""
    )
)</f>
        <v>2</v>
      </c>
      <c r="V675" s="26" t="str">
        <f>IF(OR(TRIM(N675&amp;"")="111444",TRIM(N675&amp;"")="VWPAL"),
    IF(K675&lt;=0,"",
        IF(
            MIN(3,ROUNDUP(MAX(0,K675-(MAX(1,Q675)-1)*IF(TRIM(N675&amp;"")="111444",10,20))/IF(TRIM(N675&amp;"")="111444",10,20),0))=1,
            300,
            IF(
                MIN(3,ROUNDUP(MAX(0,K675-(MAX(1,Q675)-1)*IF(TRIM(N675&amp;"")="111444",10,20))/IF(TRIM(N675&amp;"")="111444",10,20),0))=2,
                450,
                600
            )
        )
    ),
    ""
)</f>
        <v/>
      </c>
    </row>
    <row r="676" spans="1:22" ht="48" customHeight="1" x14ac:dyDescent="0.25">
      <c r="A676" s="17">
        <f>VLOOKUP(C676,[1]Werke!$A$1:$C$168,3,0)</f>
        <v>14</v>
      </c>
      <c r="B676" s="17" t="str">
        <f>VLOOKUP(C676,[1]Werke!$A$1:$C$168,2,0)</f>
        <v>D72</v>
      </c>
      <c r="C676" s="18" t="s">
        <v>220</v>
      </c>
      <c r="D676" s="17" t="str">
        <f>VLOOKUP(C676,[1]Maliteslimalan!$A$1:$B$210,2,0)</f>
        <v>8000013493</v>
      </c>
      <c r="E676" s="19">
        <f>VLOOKUP(C676,[1]Bestellnr.!$A$1:$B$174,2,0)</f>
        <v>0</v>
      </c>
      <c r="F676" s="20" t="str">
        <f>VLOOKUP(G676,$U$1:$V$1730,2,0)</f>
        <v>N   912 942 01</v>
      </c>
      <c r="G676" s="21">
        <v>100169200</v>
      </c>
      <c r="H676" s="17">
        <f>VLOOKUP(G676,Z$2:AA$1905,2,FALSE)</f>
        <v>9.4780000000000003E-2</v>
      </c>
      <c r="I676" s="20"/>
      <c r="J676" s="17">
        <f>VLOOKUP(G676,W$2:X$1905,2,FALSE)</f>
        <v>100</v>
      </c>
      <c r="K676" s="17">
        <f>I676/J676</f>
        <v>0</v>
      </c>
      <c r="L676" s="22">
        <v>10</v>
      </c>
      <c r="M676" s="22">
        <v>30</v>
      </c>
      <c r="N676" s="22">
        <v>111444</v>
      </c>
      <c r="O676" s="22" t="str">
        <f>VLOOKUP(N676,$AL$1285:$AM$1310,2,FALSE)</f>
        <v>001006</v>
      </c>
      <c r="P676" s="22">
        <f>VLOOKUP(N676,AC$2:AD$1905,2,FALSE)</f>
        <v>34</v>
      </c>
      <c r="Q676" s="22"/>
      <c r="R676" s="23" t="s">
        <v>153</v>
      </c>
      <c r="S676" s="22">
        <f>VLOOKUP(R676,AC$2:AD$1905,2,FALSE)</f>
        <v>0.56999999999999995</v>
      </c>
      <c r="T676" s="24">
        <f>(H676*I676)+P676*Q676+S676*K676</f>
        <v>0</v>
      </c>
      <c r="U676" s="25">
        <f>IF(TRIM(N676&amp;"")="111444",
    IF(ROUNDUP(MAX(0,K676-(MAX(1,Q676)-1)*10)/10,0)=1,3,2),
    IF(TRIM(N676&amp;"")="VWPAL",
        IF(TRIM(R676&amp;"")="004147",1,2),
        ""
    )
)</f>
        <v>2</v>
      </c>
      <c r="V676" s="26" t="str">
        <f>IF(OR(TRIM(N676&amp;"")="111444",TRIM(N676&amp;"")="VWPAL"),
    IF(K676&lt;=0,"",
        IF(
            MIN(3,ROUNDUP(MAX(0,K676-(MAX(1,Q676)-1)*IF(TRIM(N676&amp;"")="111444",10,20))/IF(TRIM(N676&amp;"")="111444",10,20),0))=1,
            300,
            IF(
                MIN(3,ROUNDUP(MAX(0,K676-(MAX(1,Q676)-1)*IF(TRIM(N676&amp;"")="111444",10,20))/IF(TRIM(N676&amp;"")="111444",10,20),0))=2,
                450,
                600
            )
        )
    ),
    ""
)</f>
        <v/>
      </c>
    </row>
    <row r="677" spans="1:22" ht="48.2" customHeight="1" x14ac:dyDescent="0.25">
      <c r="A677" s="17"/>
      <c r="B677" s="17"/>
      <c r="C677" s="18"/>
      <c r="D677" s="17"/>
      <c r="E677" s="19"/>
      <c r="F677" s="20"/>
      <c r="G677" s="21"/>
      <c r="H677" s="17"/>
      <c r="I677" s="20"/>
      <c r="J677" s="17"/>
      <c r="K677" s="17"/>
      <c r="L677" s="22"/>
      <c r="M677" s="22"/>
      <c r="N677" s="22"/>
      <c r="O677" s="22"/>
      <c r="P677" s="22"/>
      <c r="Q677" s="22"/>
      <c r="R677" s="23"/>
      <c r="S677" s="22"/>
      <c r="T677" s="24"/>
      <c r="U677" s="25"/>
    </row>
    <row r="678" spans="1:22" ht="48" customHeight="1" x14ac:dyDescent="0.25">
      <c r="A678" s="17">
        <f>VLOOKUP(C678,[1]Werke!$A$1:$C$168,3,0)</f>
        <v>21</v>
      </c>
      <c r="B678" s="17" t="str">
        <f>VLOOKUP(C678,[1]Werke!$A$1:$C$168,2,0)</f>
        <v>GZA</v>
      </c>
      <c r="C678" s="18" t="s">
        <v>315</v>
      </c>
      <c r="D678" s="17" t="str">
        <f>VLOOKUP(C678,[1]Maliteslimalan!$A$1:$B$210,2,0)</f>
        <v>8000012553</v>
      </c>
      <c r="E678" s="19" t="str">
        <f>VLOOKUP(C678,[1]Bestellnr.!$A$1:$B$174,2,0)</f>
        <v>000006</v>
      </c>
      <c r="F678" s="20" t="str">
        <f>VLOOKUP(G678,$U$1:$V$1730,2,0)</f>
        <v>N   912 991 01</v>
      </c>
      <c r="G678" s="21" t="s">
        <v>0</v>
      </c>
      <c r="H678" s="17">
        <f>VLOOKUP(G678,Z$2:AA$1905,2,FALSE)</f>
        <v>2.3029999999999998E-2</v>
      </c>
      <c r="I678" s="20"/>
      <c r="J678" s="17">
        <f>VLOOKUP(G678,W$2:X$1905,2,FALSE)</f>
        <v>500</v>
      </c>
      <c r="K678" s="17">
        <f>I678/J678</f>
        <v>0</v>
      </c>
      <c r="L678" s="22">
        <v>10</v>
      </c>
      <c r="M678" s="22">
        <v>30</v>
      </c>
      <c r="N678" s="22">
        <v>111444</v>
      </c>
      <c r="O678" s="22" t="str">
        <f>VLOOKUP(N678,$AL$1285:$AM$1310,2,FALSE)</f>
        <v>001006</v>
      </c>
      <c r="P678" s="22">
        <f>VLOOKUP(N678,AC$2:AD$1905,2,FALSE)</f>
        <v>34</v>
      </c>
      <c r="Q678" s="22"/>
      <c r="R678" s="23" t="s">
        <v>153</v>
      </c>
      <c r="S678" s="22">
        <f>VLOOKUP(R678,AC$2:AD$1905,2,FALSE)</f>
        <v>0.56999999999999995</v>
      </c>
      <c r="T678" s="24">
        <f>(H678*I678)+P678*Q678+S678*K678</f>
        <v>0</v>
      </c>
      <c r="U678" s="25">
        <f>IF(TRIM(N678&amp;"")="111444",
    IF(ROUNDUP(MAX(0,K678-(MAX(1,Q678)-1)*10)/10,0)=1,3,2),
    IF(TRIM(N678&amp;"")="VWPAL",
        IF(TRIM(R678&amp;"")="004147",1,2),
        ""
    )
)</f>
        <v>2</v>
      </c>
      <c r="V678" s="26" t="str">
        <f>IF(OR(TRIM(N678&amp;"")="111444",TRIM(N678&amp;"")="VWPAL"),
    IF(K678&lt;=0,"",
        IF(
            MIN(3,ROUNDUP(MAX(0,K678-(MAX(1,Q678)-1)*IF(TRIM(N678&amp;"")="111444",10,20))/IF(TRIM(N678&amp;"")="111444",10,20),0))=1,
            300,
            IF(
                MIN(3,ROUNDUP(MAX(0,K678-(MAX(1,Q678)-1)*IF(TRIM(N678&amp;"")="111444",10,20))/IF(TRIM(N678&amp;"")="111444",10,20),0))=2,
                450,
                600
            )
        )
    ),
    ""
)</f>
        <v/>
      </c>
    </row>
    <row r="679" spans="1:22" ht="48" customHeight="1" x14ac:dyDescent="0.25">
      <c r="A679" s="17">
        <f>VLOOKUP(C679,[1]Werke!$A$1:$C$168,3,0)</f>
        <v>31</v>
      </c>
      <c r="B679" s="17" t="str">
        <f>VLOOKUP(C679,[1]Werke!$A$1:$C$168,2,0)</f>
        <v>BH7</v>
      </c>
      <c r="C679" s="18" t="s">
        <v>250</v>
      </c>
      <c r="D679" s="17">
        <f>VLOOKUP(C679,[1]Maliteslimalan!$A$1:$B$210,2,0)</f>
        <v>8000015577</v>
      </c>
      <c r="E679" s="19">
        <v>6</v>
      </c>
      <c r="F679" s="20" t="str">
        <f>VLOOKUP(G679,$U$1:$V$1730,2,0)</f>
        <v>N   912 991 01</v>
      </c>
      <c r="G679" s="21" t="s">
        <v>0</v>
      </c>
      <c r="H679" s="17">
        <f>VLOOKUP(G679,Z$2:AA$1905,2,FALSE)</f>
        <v>2.3029999999999998E-2</v>
      </c>
      <c r="I679" s="20"/>
      <c r="J679" s="17">
        <f>VLOOKUP(G679,W$2:X$1905,2,FALSE)</f>
        <v>500</v>
      </c>
      <c r="K679" s="17">
        <f>I679/J679</f>
        <v>0</v>
      </c>
      <c r="L679" s="22">
        <v>10</v>
      </c>
      <c r="M679" s="22">
        <v>10</v>
      </c>
      <c r="N679" s="22">
        <v>111444</v>
      </c>
      <c r="O679" s="22" t="str">
        <f>VLOOKUP(N679,$AL$1285:$AM$1310,2,FALSE)</f>
        <v>001006</v>
      </c>
      <c r="P679" s="22">
        <f>VLOOKUP(N679,AC$2:AD$1905,2,FALSE)</f>
        <v>34</v>
      </c>
      <c r="Q679" s="22"/>
      <c r="R679" s="23" t="s">
        <v>153</v>
      </c>
      <c r="S679" s="22">
        <f>VLOOKUP(R679,AC$2:AD$1905,2,FALSE)</f>
        <v>0.56999999999999995</v>
      </c>
      <c r="T679" s="24">
        <f>(H679*I679)+P679*Q679+S679*K679</f>
        <v>0</v>
      </c>
      <c r="U679" s="25">
        <f>IF(TRIM(N679&amp;"")="111444",
    IF(ROUNDUP(MAX(0,K679-(MAX(1,Q679)-1)*10)/10,0)=1,3,2),
    IF(TRIM(N679&amp;"")="VWPAL",
        IF(TRIM(R679&amp;"")="004147",1,2),
        ""
    )
)</f>
        <v>2</v>
      </c>
      <c r="V679" s="26" t="str">
        <f>IF(OR(TRIM(N679&amp;"")="111444",TRIM(N679&amp;"")="VWPAL"),
    IF(K679&lt;=0,"",
        IF(
            MIN(3,ROUNDUP(MAX(0,K679-(MAX(1,Q679)-1)*IF(TRIM(N679&amp;"")="111444",10,20))/IF(TRIM(N679&amp;"")="111444",10,20),0))=1,
            300,
            IF(
                MIN(3,ROUNDUP(MAX(0,K679-(MAX(1,Q679)-1)*IF(TRIM(N679&amp;"")="111444",10,20))/IF(TRIM(N679&amp;"")="111444",10,20),0))=2,
                450,
                600
            )
        )
    ),
    ""
)</f>
        <v/>
      </c>
    </row>
    <row r="680" spans="1:22" ht="48" customHeight="1" x14ac:dyDescent="0.25">
      <c r="A680" s="17">
        <f>VLOOKUP(C680,[1]Werke!$A$1:$C$168,3,0)</f>
        <v>14</v>
      </c>
      <c r="B680" s="17" t="str">
        <f>VLOOKUP(C680,[1]Werke!$A$1:$C$168,2,0)</f>
        <v>D85</v>
      </c>
      <c r="C680" s="18" t="s">
        <v>239</v>
      </c>
      <c r="D680" s="17" t="str">
        <f>VLOOKUP(C680,[1]Maliteslimalan!$A$1:$B$210,2,0)</f>
        <v>8000012682</v>
      </c>
      <c r="E680" s="19">
        <f>VLOOKUP(C680,[1]Bestellnr.!$A$1:$B$174,2,0)</f>
        <v>0</v>
      </c>
      <c r="F680" s="20" t="str">
        <f>VLOOKUP(G680,$U$1:$V$1730,2,0)</f>
        <v>N   912 991 01</v>
      </c>
      <c r="G680" s="21" t="s">
        <v>0</v>
      </c>
      <c r="H680" s="17">
        <f>VLOOKUP(G680,Z$2:AA$1905,2,FALSE)</f>
        <v>2.3029999999999998E-2</v>
      </c>
      <c r="I680" s="20"/>
      <c r="J680" s="17">
        <f>VLOOKUP(G680,W$2:X$1905,2,FALSE)</f>
        <v>500</v>
      </c>
      <c r="K680" s="17">
        <f>I680/J680</f>
        <v>0</v>
      </c>
      <c r="L680" s="22">
        <v>10</v>
      </c>
      <c r="M680" s="22">
        <v>30</v>
      </c>
      <c r="N680" s="22">
        <v>111444</v>
      </c>
      <c r="O680" s="22" t="str">
        <f>VLOOKUP(N680,$AL$1285:$AM$1310,2,FALSE)</f>
        <v>001006</v>
      </c>
      <c r="P680" s="22">
        <f>VLOOKUP(N680,AC$2:AD$1905,2,FALSE)</f>
        <v>34</v>
      </c>
      <c r="Q680" s="22"/>
      <c r="R680" s="23" t="s">
        <v>153</v>
      </c>
      <c r="S680" s="22">
        <f>VLOOKUP(R680,AC$2:AD$1905,2,FALSE)</f>
        <v>0.56999999999999995</v>
      </c>
      <c r="T680" s="24">
        <f>(H680*I680)+P680*Q680+S680*K680</f>
        <v>0</v>
      </c>
      <c r="U680" s="25">
        <f>IF(TRIM(N680&amp;"")="111444",
    IF(ROUNDUP(MAX(0,K680-(MAX(1,Q680)-1)*10)/10,0)=1,3,2),
    IF(TRIM(N680&amp;"")="VWPAL",
        IF(TRIM(R680&amp;"")="004147",1,2),
        ""
    )
)</f>
        <v>2</v>
      </c>
      <c r="V680" s="26" t="str">
        <f>IF(OR(TRIM(N680&amp;"")="111444",TRIM(N680&amp;"")="VWPAL"),
    IF(K680&lt;=0,"",
        IF(
            MIN(3,ROUNDUP(MAX(0,K680-(MAX(1,Q680)-1)*IF(TRIM(N680&amp;"")="111444",10,20))/IF(TRIM(N680&amp;"")="111444",10,20),0))=1,
            300,
            IF(
                MIN(3,ROUNDUP(MAX(0,K680-(MAX(1,Q680)-1)*IF(TRIM(N680&amp;"")="111444",10,20))/IF(TRIM(N680&amp;"")="111444",10,20),0))=2,
                450,
                600
            )
        )
    ),
    ""
)</f>
        <v/>
      </c>
    </row>
    <row r="681" spans="1:22" ht="48" customHeight="1" x14ac:dyDescent="0.25">
      <c r="A681" s="17" t="str">
        <f>VLOOKUP(C681,[1]Werke!$A$1:$C$168,3,0)</f>
        <v>MU</v>
      </c>
      <c r="B681" s="17">
        <f>VLOOKUP(C681,[1]Werke!$A$1:$C$168,2,0)</f>
        <v>188</v>
      </c>
      <c r="C681" s="18" t="s">
        <v>302</v>
      </c>
      <c r="D681" s="17">
        <f>VLOOKUP(C681,[1]Maliteslimalan!$A$1:$B$210,2,0)</f>
        <v>8000014056</v>
      </c>
      <c r="E681" s="19">
        <v>6</v>
      </c>
      <c r="F681" s="20" t="str">
        <f>VLOOKUP(G681,$U$1:$V$1730,2,0)</f>
        <v>N   912 991 01</v>
      </c>
      <c r="G681" s="21" t="s">
        <v>0</v>
      </c>
      <c r="H681" s="17">
        <f>VLOOKUP(G681,Z$2:AA$1905,2,FALSE)</f>
        <v>2.3029999999999998E-2</v>
      </c>
      <c r="I681" s="20"/>
      <c r="J681" s="17">
        <f>VLOOKUP(G681,W$2:X$1905,2,FALSE)</f>
        <v>500</v>
      </c>
      <c r="K681" s="17">
        <f>I681/J681</f>
        <v>0</v>
      </c>
      <c r="L681" s="22">
        <v>10</v>
      </c>
      <c r="M681" s="22">
        <v>30</v>
      </c>
      <c r="N681" s="22">
        <v>111444</v>
      </c>
      <c r="O681" s="22" t="str">
        <f>VLOOKUP(N681,$AL$1285:$AM$1310,2,FALSE)</f>
        <v>001006</v>
      </c>
      <c r="P681" s="22">
        <f>VLOOKUP(N681,AC$2:AD$1905,2,FALSE)</f>
        <v>34</v>
      </c>
      <c r="Q681" s="22"/>
      <c r="R681" s="23" t="s">
        <v>153</v>
      </c>
      <c r="S681" s="22">
        <f>VLOOKUP(R681,AC$2:AD$1905,2,FALSE)</f>
        <v>0.56999999999999995</v>
      </c>
      <c r="T681" s="24">
        <f>(H681*I681)+P681*Q681+S681*K681</f>
        <v>0</v>
      </c>
      <c r="U681" s="25">
        <f>IF(TRIM(N681&amp;"")="111444",
    IF(ROUNDUP(MAX(0,K681-(MAX(1,Q681)-1)*10)/10,0)=1,3,2),
    IF(TRIM(N681&amp;"")="VWPAL",
        IF(TRIM(R681&amp;"")="004147",1,2),
        ""
    )
)</f>
        <v>2</v>
      </c>
      <c r="V681" s="26" t="str">
        <f>IF(OR(TRIM(N681&amp;"")="111444",TRIM(N681&amp;"")="VWPAL"),
    IF(K681&lt;=0,"",
        IF(
            MIN(3,ROUNDUP(MAX(0,K681-(MAX(1,Q681)-1)*IF(TRIM(N681&amp;"")="111444",10,20))/IF(TRIM(N681&amp;"")="111444",10,20),0))=1,
            300,
            IF(
                MIN(3,ROUNDUP(MAX(0,K681-(MAX(1,Q681)-1)*IF(TRIM(N681&amp;"")="111444",10,20))/IF(TRIM(N681&amp;"")="111444",10,20),0))=2,
                450,
                600
            )
        )
    ),
    ""
)</f>
        <v/>
      </c>
    </row>
    <row r="682" spans="1:22" ht="48" customHeight="1" x14ac:dyDescent="0.25">
      <c r="A682" s="17"/>
      <c r="B682" s="17"/>
      <c r="C682" s="18"/>
      <c r="D682" s="17"/>
      <c r="E682" s="19"/>
      <c r="F682" s="20"/>
      <c r="G682" s="21"/>
      <c r="H682" s="17"/>
      <c r="I682" s="20"/>
      <c r="J682" s="17"/>
      <c r="K682" s="17"/>
      <c r="L682" s="22"/>
      <c r="M682" s="22"/>
      <c r="N682" s="22"/>
      <c r="O682" s="22"/>
      <c r="P682" s="22"/>
      <c r="Q682" s="22"/>
      <c r="R682" s="23"/>
      <c r="S682" s="22"/>
      <c r="T682" s="24"/>
      <c r="U682" s="25"/>
    </row>
    <row r="683" spans="1:22" ht="48" customHeight="1" x14ac:dyDescent="0.25">
      <c r="A683" s="17">
        <f>VLOOKUP(C683,[1]Werke!$A$1:$C$168,3,0)</f>
        <v>21</v>
      </c>
      <c r="B683" s="17" t="str">
        <f>VLOOKUP(C683,[1]Werke!$A$1:$C$168,2,0)</f>
        <v>GZD</v>
      </c>
      <c r="C683" s="18" t="s">
        <v>154</v>
      </c>
      <c r="D683" s="17" t="str">
        <f>VLOOKUP(C683,[1]Maliteslimalan!$A$1:$B$210,2,0)</f>
        <v>8000012572</v>
      </c>
      <c r="E683" s="19" t="str">
        <f>VLOOKUP(C683,[1]Bestellnr.!$A$1:$B$174,2,0)</f>
        <v>000006</v>
      </c>
      <c r="F683" s="20" t="str">
        <f t="shared" ref="F683:F692" si="354">VLOOKUP(G683,$U$1:$V$1730,2,0)</f>
        <v>N   108 834 01</v>
      </c>
      <c r="G683" s="21">
        <v>100313900</v>
      </c>
      <c r="H683" s="17">
        <f t="shared" ref="H683:H692" si="355">VLOOKUP(G683,Z$2:AA$1905,2,FALSE)</f>
        <v>9.6019999999999994E-2</v>
      </c>
      <c r="I683" s="20"/>
      <c r="J683" s="17">
        <f>VLOOKUP(G683,W$2:X$1905,2,FALSE)</f>
        <v>125</v>
      </c>
      <c r="K683" s="17">
        <f t="shared" ref="K683:K692" si="356">I683/J683</f>
        <v>0</v>
      </c>
      <c r="L683" s="22">
        <v>20</v>
      </c>
      <c r="M683" s="22">
        <v>40</v>
      </c>
      <c r="N683" s="22" t="s">
        <v>155</v>
      </c>
      <c r="O683" s="22" t="str">
        <f t="shared" ref="O683:O692" si="357">VLOOKUP(N683,$AL$1285:$AM$1310,2,FALSE)</f>
        <v>001210</v>
      </c>
      <c r="P683" s="22">
        <f t="shared" ref="P683:P692" si="358">VLOOKUP(N683,AC$2:AD$1905,2,FALSE)</f>
        <v>55</v>
      </c>
      <c r="Q683" s="22"/>
      <c r="R683" s="23" t="s">
        <v>153</v>
      </c>
      <c r="S683" s="22">
        <f t="shared" ref="S683:S692" si="359">VLOOKUP(R683,AC$2:AD$1905,2,FALSE)</f>
        <v>0.56999999999999995</v>
      </c>
      <c r="T683" s="24">
        <f t="shared" ref="T683:T692" si="360">(H683*I683)+P683*Q683+S683*K683</f>
        <v>0</v>
      </c>
      <c r="U683" s="25">
        <f t="shared" ref="U683:U692" si="361">IF(TRIM(N683&amp;"")="111444",
    IF(ROUNDUP(MAX(0,K683-(MAX(1,Q683)-1)*10)/10,0)=1,3,2),
    IF(TRIM(N683&amp;"")="VWPAL",
        IF(TRIM(R683&amp;"")="004147",1,2),
        ""
    )
)</f>
        <v>2</v>
      </c>
      <c r="V683" s="26" t="str">
        <f t="shared" ref="V683:V692" si="362">IF(OR(TRIM(N683&amp;"")="111444",TRIM(N683&amp;"")="VWPAL"),
    IF(K683&lt;=0,"",
        IF(
            MIN(3,ROUNDUP(MAX(0,K683-(MAX(1,Q683)-1)*IF(TRIM(N683&amp;"")="111444",10,20))/IF(TRIM(N683&amp;"")="111444",10,20),0))=1,
            300,
            IF(
                MIN(3,ROUNDUP(MAX(0,K683-(MAX(1,Q683)-1)*IF(TRIM(N683&amp;"")="111444",10,20))/IF(TRIM(N683&amp;"")="111444",10,20),0))=2,
                450,
                600
            )
        )
    ),
    ""
)</f>
        <v/>
      </c>
    </row>
    <row r="684" spans="1:22" ht="48" customHeight="1" x14ac:dyDescent="0.25">
      <c r="A684" s="17">
        <f>VLOOKUP(C684,[1]Werke!$A$1:$C$168,3,0)</f>
        <v>13</v>
      </c>
      <c r="B684" s="17" t="str">
        <f>VLOOKUP(C684,[1]Werke!$A$1:$C$168,2,0)</f>
        <v>H30</v>
      </c>
      <c r="C684" s="18">
        <v>30367</v>
      </c>
      <c r="D684" s="17">
        <f>VLOOKUP(C684,[1]Maliteslimalan!$A$1:$B$210,2,0)</f>
        <v>8000015910</v>
      </c>
      <c r="E684" s="19">
        <v>6</v>
      </c>
      <c r="F684" s="20" t="str">
        <f t="shared" si="354"/>
        <v>N   108 834 01</v>
      </c>
      <c r="G684" s="21">
        <v>100313900</v>
      </c>
      <c r="H684" s="17">
        <f t="shared" si="355"/>
        <v>9.6019999999999994E-2</v>
      </c>
      <c r="I684" s="20"/>
      <c r="J684" s="17">
        <v>125</v>
      </c>
      <c r="K684" s="17">
        <f t="shared" si="356"/>
        <v>0</v>
      </c>
      <c r="L684" s="22">
        <v>20</v>
      </c>
      <c r="M684" s="22">
        <v>20</v>
      </c>
      <c r="N684" s="22" t="s">
        <v>155</v>
      </c>
      <c r="O684" s="22" t="str">
        <f t="shared" si="357"/>
        <v>001210</v>
      </c>
      <c r="P684" s="22">
        <f t="shared" si="358"/>
        <v>55</v>
      </c>
      <c r="Q684" s="22"/>
      <c r="R684" s="23" t="s">
        <v>153</v>
      </c>
      <c r="S684" s="22">
        <f t="shared" si="359"/>
        <v>0.56999999999999995</v>
      </c>
      <c r="T684" s="24">
        <f t="shared" si="360"/>
        <v>0</v>
      </c>
      <c r="U684" s="25">
        <f t="shared" si="361"/>
        <v>2</v>
      </c>
      <c r="V684" s="26" t="str">
        <f t="shared" si="362"/>
        <v/>
      </c>
    </row>
    <row r="685" spans="1:22" ht="48" customHeight="1" x14ac:dyDescent="0.25">
      <c r="A685" s="17">
        <f>VLOOKUP(C685,[1]Werke!$A$1:$C$168,3,0)</f>
        <v>31</v>
      </c>
      <c r="B685" s="17" t="str">
        <f>VLOOKUP(C685,[1]Werke!$A$1:$C$168,2,0)</f>
        <v>BH7</v>
      </c>
      <c r="C685" s="18" t="s">
        <v>250</v>
      </c>
      <c r="D685" s="17">
        <f>VLOOKUP(C685,[1]Maliteslimalan!$A$1:$B$210,2,0)</f>
        <v>8000015577</v>
      </c>
      <c r="E685" s="19">
        <v>6</v>
      </c>
      <c r="F685" s="20" t="str">
        <f t="shared" si="354"/>
        <v>N   108 834 01</v>
      </c>
      <c r="G685" s="21">
        <v>100313900</v>
      </c>
      <c r="H685" s="17">
        <f t="shared" si="355"/>
        <v>9.6019999999999994E-2</v>
      </c>
      <c r="I685" s="20"/>
      <c r="J685" s="17">
        <f>VLOOKUP(G685,W$2:X$1905,2,FALSE)</f>
        <v>125</v>
      </c>
      <c r="K685" s="17">
        <f t="shared" si="356"/>
        <v>0</v>
      </c>
      <c r="L685" s="22">
        <v>20</v>
      </c>
      <c r="M685" s="22">
        <v>60</v>
      </c>
      <c r="N685" s="22" t="s">
        <v>155</v>
      </c>
      <c r="O685" s="22" t="str">
        <f t="shared" si="357"/>
        <v>001210</v>
      </c>
      <c r="P685" s="22">
        <f t="shared" si="358"/>
        <v>55</v>
      </c>
      <c r="Q685" s="22"/>
      <c r="R685" s="23" t="s">
        <v>153</v>
      </c>
      <c r="S685" s="22">
        <f t="shared" si="359"/>
        <v>0.56999999999999995</v>
      </c>
      <c r="T685" s="24">
        <f t="shared" si="360"/>
        <v>0</v>
      </c>
      <c r="U685" s="25">
        <f t="shared" si="361"/>
        <v>2</v>
      </c>
      <c r="V685" s="26" t="str">
        <f t="shared" si="362"/>
        <v/>
      </c>
    </row>
    <row r="686" spans="1:22" ht="48" customHeight="1" x14ac:dyDescent="0.25">
      <c r="A686" s="17" t="str">
        <f>VLOOKUP(C686,[1]Werke!$A$1:$C$168,3,0)</f>
        <v>LD</v>
      </c>
      <c r="B686" s="17" t="str">
        <f>VLOOKUP(C686,[1]Werke!$A$1:$C$168,2,0)</f>
        <v>SLD</v>
      </c>
      <c r="C686" s="18">
        <v>83630</v>
      </c>
      <c r="D686" s="17" t="str">
        <f>VLOOKUP(C686,[1]Maliteslimalan!$A$1:$B$210,2,0)</f>
        <v>8000012862</v>
      </c>
      <c r="E686" s="19" t="str">
        <f>VLOOKUP(C686,[1]Bestellnr.!$A$1:$B$174,2,0)</f>
        <v>000006</v>
      </c>
      <c r="F686" s="20" t="str">
        <f t="shared" si="354"/>
        <v>N   108 834 01</v>
      </c>
      <c r="G686" s="21">
        <v>100313900</v>
      </c>
      <c r="H686" s="17">
        <f t="shared" si="355"/>
        <v>9.6019999999999994E-2</v>
      </c>
      <c r="I686" s="20"/>
      <c r="J686" s="17">
        <f>VLOOKUP(G686,W$2:X$1905,2,FALSE)</f>
        <v>125</v>
      </c>
      <c r="K686" s="17">
        <f t="shared" si="356"/>
        <v>0</v>
      </c>
      <c r="L686" s="22">
        <v>10</v>
      </c>
      <c r="M686" s="22">
        <v>30</v>
      </c>
      <c r="N686" s="22">
        <v>111444</v>
      </c>
      <c r="O686" s="22" t="str">
        <f t="shared" si="357"/>
        <v>001006</v>
      </c>
      <c r="P686" s="22">
        <f t="shared" si="358"/>
        <v>34</v>
      </c>
      <c r="Q686" s="22"/>
      <c r="R686" s="23" t="s">
        <v>153</v>
      </c>
      <c r="S686" s="22">
        <f t="shared" si="359"/>
        <v>0.56999999999999995</v>
      </c>
      <c r="T686" s="24">
        <f t="shared" si="360"/>
        <v>0</v>
      </c>
      <c r="U686" s="25">
        <f t="shared" si="361"/>
        <v>2</v>
      </c>
      <c r="V686" s="26" t="str">
        <f t="shared" si="362"/>
        <v/>
      </c>
    </row>
    <row r="687" spans="1:22" ht="48" customHeight="1" x14ac:dyDescent="0.25">
      <c r="A687" s="17">
        <f>VLOOKUP(C687,[1]Werke!$A$1:$C$168,3,0)</f>
        <v>14</v>
      </c>
      <c r="B687" s="17" t="str">
        <f>VLOOKUP(C687,[1]Werke!$A$1:$C$168,2,0)</f>
        <v>D85</v>
      </c>
      <c r="C687" s="18" t="s">
        <v>239</v>
      </c>
      <c r="D687" s="17" t="str">
        <f>VLOOKUP(C687,[1]Maliteslimalan!$A$1:$B$210,2,0)</f>
        <v>8000012682</v>
      </c>
      <c r="E687" s="19">
        <f>VLOOKUP(C687,[1]Bestellnr.!$A$1:$B$174,2,0)</f>
        <v>0</v>
      </c>
      <c r="F687" s="20" t="str">
        <f t="shared" si="354"/>
        <v>N   108 834 01</v>
      </c>
      <c r="G687" s="21">
        <v>100313900</v>
      </c>
      <c r="H687" s="17">
        <f t="shared" si="355"/>
        <v>9.6019999999999994E-2</v>
      </c>
      <c r="I687" s="20"/>
      <c r="J687" s="17">
        <f>VLOOKUP(G687,W$2:X$1905,2,FALSE)</f>
        <v>125</v>
      </c>
      <c r="K687" s="17">
        <f t="shared" si="356"/>
        <v>0</v>
      </c>
      <c r="L687" s="22">
        <v>10</v>
      </c>
      <c r="M687" s="22">
        <v>30</v>
      </c>
      <c r="N687" s="22">
        <v>111444</v>
      </c>
      <c r="O687" s="22" t="str">
        <f t="shared" si="357"/>
        <v>001006</v>
      </c>
      <c r="P687" s="22">
        <f t="shared" si="358"/>
        <v>34</v>
      </c>
      <c r="Q687" s="22"/>
      <c r="R687" s="23" t="s">
        <v>153</v>
      </c>
      <c r="S687" s="22">
        <f t="shared" si="359"/>
        <v>0.56999999999999995</v>
      </c>
      <c r="T687" s="24">
        <f t="shared" si="360"/>
        <v>0</v>
      </c>
      <c r="U687" s="25">
        <f t="shared" si="361"/>
        <v>2</v>
      </c>
      <c r="V687" s="26" t="str">
        <f t="shared" si="362"/>
        <v/>
      </c>
    </row>
    <row r="688" spans="1:22" ht="48" customHeight="1" x14ac:dyDescent="0.25">
      <c r="A688" s="17">
        <f>VLOOKUP(C688,[1]Werke!$A$1:$C$168,3,0)</f>
        <v>11</v>
      </c>
      <c r="B688" s="17" t="str">
        <f>VLOOKUP(C688,[1]Werke!$A$1:$C$168,2,0)</f>
        <v>AKL</v>
      </c>
      <c r="C688" s="18" t="s">
        <v>253</v>
      </c>
      <c r="D688" s="17" t="str">
        <f>VLOOKUP(C688,[1]Maliteslimalan!$A$1:$B$210,2,0)</f>
        <v>8000012831</v>
      </c>
      <c r="E688" s="19" t="str">
        <f>VLOOKUP(C688,[1]Bestellnr.!$A$1:$B$174,2,0)</f>
        <v>000006</v>
      </c>
      <c r="F688" s="20" t="str">
        <f t="shared" si="354"/>
        <v>N   108 834 01</v>
      </c>
      <c r="G688" s="21">
        <v>100313900</v>
      </c>
      <c r="H688" s="17">
        <f t="shared" si="355"/>
        <v>9.6019999999999994E-2</v>
      </c>
      <c r="I688" s="20"/>
      <c r="J688" s="17">
        <v>125</v>
      </c>
      <c r="K688" s="17">
        <f t="shared" si="356"/>
        <v>0</v>
      </c>
      <c r="L688" s="22">
        <v>20</v>
      </c>
      <c r="M688" s="22">
        <v>20</v>
      </c>
      <c r="N688" s="22" t="s">
        <v>155</v>
      </c>
      <c r="O688" s="22" t="str">
        <f t="shared" si="357"/>
        <v>001210</v>
      </c>
      <c r="P688" s="22">
        <f t="shared" si="358"/>
        <v>55</v>
      </c>
      <c r="Q688" s="22"/>
      <c r="R688" s="23" t="s">
        <v>153</v>
      </c>
      <c r="S688" s="22">
        <f t="shared" si="359"/>
        <v>0.56999999999999995</v>
      </c>
      <c r="T688" s="24">
        <f t="shared" si="360"/>
        <v>0</v>
      </c>
      <c r="U688" s="25">
        <f t="shared" si="361"/>
        <v>2</v>
      </c>
      <c r="V688" s="26" t="str">
        <f t="shared" si="362"/>
        <v/>
      </c>
    </row>
    <row r="689" spans="1:22" ht="48" customHeight="1" x14ac:dyDescent="0.25">
      <c r="A689" s="17">
        <f>VLOOKUP(C689,[1]Werke!$A$1:$C$168,3,0)</f>
        <v>33</v>
      </c>
      <c r="B689" s="17" t="str">
        <f>VLOOKUP(C689,[1]Werke!$A$1:$C$168,2,0)</f>
        <v>KQ1</v>
      </c>
      <c r="C689" s="18" t="s">
        <v>316</v>
      </c>
      <c r="D689" s="17">
        <f>VLOOKUP(C689,[1]Maliteslimalan!$A$1:$B$210,2,0)</f>
        <v>8000016858</v>
      </c>
      <c r="E689" s="19">
        <v>6</v>
      </c>
      <c r="F689" s="20" t="str">
        <f t="shared" si="354"/>
        <v>N   108 834 01</v>
      </c>
      <c r="G689" s="21">
        <v>100313900</v>
      </c>
      <c r="H689" s="17">
        <f t="shared" si="355"/>
        <v>9.6019999999999994E-2</v>
      </c>
      <c r="I689" s="20"/>
      <c r="J689" s="17">
        <f>VLOOKUP(G689,W$2:X$1905,2,FALSE)</f>
        <v>125</v>
      </c>
      <c r="K689" s="17">
        <f t="shared" si="356"/>
        <v>0</v>
      </c>
      <c r="L689" s="22">
        <v>20</v>
      </c>
      <c r="M689" s="22">
        <v>60</v>
      </c>
      <c r="N689" s="22" t="s">
        <v>155</v>
      </c>
      <c r="O689" s="22" t="str">
        <f t="shared" si="357"/>
        <v>001210</v>
      </c>
      <c r="P689" s="22">
        <f t="shared" si="358"/>
        <v>55</v>
      </c>
      <c r="Q689" s="22"/>
      <c r="R689" s="23" t="s">
        <v>153</v>
      </c>
      <c r="S689" s="22">
        <f t="shared" si="359"/>
        <v>0.56999999999999995</v>
      </c>
      <c r="T689" s="24">
        <f t="shared" si="360"/>
        <v>0</v>
      </c>
      <c r="U689" s="25">
        <f t="shared" si="361"/>
        <v>2</v>
      </c>
      <c r="V689" s="26" t="str">
        <f t="shared" si="362"/>
        <v/>
      </c>
    </row>
    <row r="690" spans="1:22" ht="48" customHeight="1" x14ac:dyDescent="0.25">
      <c r="A690" s="17">
        <f>VLOOKUP(C690,[1]Werke!$A$1:$C$168,3,0)</f>
        <v>43</v>
      </c>
      <c r="B690" s="17" t="str">
        <f>VLOOKUP(C690,[1]Werke!$A$1:$C$168,2,0)</f>
        <v>FGK</v>
      </c>
      <c r="C690" s="18" t="s">
        <v>292</v>
      </c>
      <c r="D690" s="17" t="str">
        <f>VLOOKUP(C690,[1]Maliteslimalan!$A$1:$B$210,2,0)</f>
        <v>8000012785</v>
      </c>
      <c r="E690" s="19" t="str">
        <f>VLOOKUP(C690,[1]Bestellnr.!$A$1:$B$174,2,0)</f>
        <v>000006</v>
      </c>
      <c r="F690" s="20" t="str">
        <f t="shared" si="354"/>
        <v>N   108 834 01</v>
      </c>
      <c r="G690" s="21">
        <v>100313900</v>
      </c>
      <c r="H690" s="17">
        <f t="shared" si="355"/>
        <v>9.6019999999999994E-2</v>
      </c>
      <c r="I690" s="20"/>
      <c r="J690" s="17">
        <v>120</v>
      </c>
      <c r="K690" s="17">
        <f t="shared" si="356"/>
        <v>0</v>
      </c>
      <c r="L690" s="22">
        <v>20</v>
      </c>
      <c r="M690" s="22">
        <v>60</v>
      </c>
      <c r="N690" s="22" t="s">
        <v>155</v>
      </c>
      <c r="O690" s="22" t="str">
        <f t="shared" si="357"/>
        <v>001210</v>
      </c>
      <c r="P690" s="22">
        <f t="shared" si="358"/>
        <v>55</v>
      </c>
      <c r="Q690" s="22"/>
      <c r="R690" s="23" t="s">
        <v>153</v>
      </c>
      <c r="S690" s="22">
        <f t="shared" si="359"/>
        <v>0.56999999999999995</v>
      </c>
      <c r="T690" s="24">
        <f t="shared" si="360"/>
        <v>0</v>
      </c>
      <c r="U690" s="25">
        <f t="shared" si="361"/>
        <v>2</v>
      </c>
      <c r="V690" s="26" t="str">
        <f t="shared" si="362"/>
        <v/>
      </c>
    </row>
    <row r="691" spans="1:22" ht="48" customHeight="1" x14ac:dyDescent="0.25">
      <c r="A691" s="17">
        <f>VLOOKUP(C691,[1]Werke!$A$1:$C$168,3,0)</f>
        <v>24</v>
      </c>
      <c r="B691" s="17" t="str">
        <f>VLOOKUP(C691,[1]Werke!$A$1:$C$168,2,0)</f>
        <v>CKV</v>
      </c>
      <c r="C691" s="18" t="s">
        <v>243</v>
      </c>
      <c r="D691" s="17" t="str">
        <f>VLOOKUP(C691,[1]Maliteslimalan!$A$1:$B$210,2,0)</f>
        <v>8000013217</v>
      </c>
      <c r="E691" s="19" t="str">
        <f>VLOOKUP(C691,[1]Bestellnr.!$A$1:$B$174,2,0)</f>
        <v>000006</v>
      </c>
      <c r="F691" s="20" t="str">
        <f t="shared" si="354"/>
        <v>N   108 834 01</v>
      </c>
      <c r="G691" s="21">
        <v>100313900</v>
      </c>
      <c r="H691" s="17">
        <f t="shared" si="355"/>
        <v>9.6019999999999994E-2</v>
      </c>
      <c r="I691" s="20"/>
      <c r="J691" s="17">
        <f>VLOOKUP(G691,W$2:X$1905,2,FALSE)</f>
        <v>125</v>
      </c>
      <c r="K691" s="17">
        <f t="shared" si="356"/>
        <v>0</v>
      </c>
      <c r="L691" s="22">
        <v>10</v>
      </c>
      <c r="M691" s="22">
        <v>30</v>
      </c>
      <c r="N691" s="22">
        <v>111444</v>
      </c>
      <c r="O691" s="22" t="str">
        <f t="shared" si="357"/>
        <v>001006</v>
      </c>
      <c r="P691" s="22">
        <f t="shared" si="358"/>
        <v>34</v>
      </c>
      <c r="Q691" s="22"/>
      <c r="R691" s="23" t="s">
        <v>153</v>
      </c>
      <c r="S691" s="22">
        <f t="shared" si="359"/>
        <v>0.56999999999999995</v>
      </c>
      <c r="T691" s="24">
        <f t="shared" si="360"/>
        <v>0</v>
      </c>
      <c r="U691" s="25">
        <f t="shared" si="361"/>
        <v>2</v>
      </c>
      <c r="V691" s="26" t="str">
        <f t="shared" si="362"/>
        <v/>
      </c>
    </row>
    <row r="692" spans="1:22" ht="48" customHeight="1" x14ac:dyDescent="0.25">
      <c r="A692" s="17" t="str">
        <f>VLOOKUP(C692,[1]Werke!$A$1:$C$168,3,0)</f>
        <v>HT</v>
      </c>
      <c r="B692" s="17">
        <f>VLOOKUP(C692,[1]Werke!$A$1:$C$168,2,0)</f>
        <v>34</v>
      </c>
      <c r="C692" s="18">
        <v>80245</v>
      </c>
      <c r="D692" s="17">
        <f>VLOOKUP(C692,[1]Maliteslimalan!$A$1:$B$210,2,0)</f>
        <v>8000012604</v>
      </c>
      <c r="E692" s="19">
        <v>6</v>
      </c>
      <c r="F692" s="20" t="str">
        <f t="shared" si="354"/>
        <v>N   108 834 01</v>
      </c>
      <c r="G692" s="21">
        <v>100313900</v>
      </c>
      <c r="H692" s="17">
        <f t="shared" si="355"/>
        <v>9.6019999999999994E-2</v>
      </c>
      <c r="I692" s="20"/>
      <c r="J692" s="17">
        <f>VLOOKUP(G692,W$2:X$1905,2,FALSE)</f>
        <v>125</v>
      </c>
      <c r="K692" s="17">
        <f t="shared" si="356"/>
        <v>0</v>
      </c>
      <c r="L692" s="22">
        <v>20</v>
      </c>
      <c r="M692" s="22">
        <v>40</v>
      </c>
      <c r="N692" s="22" t="s">
        <v>155</v>
      </c>
      <c r="O692" s="22" t="str">
        <f t="shared" si="357"/>
        <v>001210</v>
      </c>
      <c r="P692" s="22">
        <f t="shared" si="358"/>
        <v>55</v>
      </c>
      <c r="Q692" s="22"/>
      <c r="R692" s="23" t="s">
        <v>153</v>
      </c>
      <c r="S692" s="22">
        <f t="shared" si="359"/>
        <v>0.56999999999999995</v>
      </c>
      <c r="T692" s="24">
        <f t="shared" si="360"/>
        <v>0</v>
      </c>
      <c r="U692" s="25">
        <f t="shared" si="361"/>
        <v>2</v>
      </c>
      <c r="V692" s="26" t="str">
        <f t="shared" si="362"/>
        <v/>
      </c>
    </row>
    <row r="693" spans="1:22" ht="48" customHeight="1" x14ac:dyDescent="0.25">
      <c r="A693" s="17"/>
      <c r="B693" s="17"/>
      <c r="C693" s="18"/>
      <c r="D693" s="17"/>
      <c r="E693" s="19"/>
      <c r="F693" s="20"/>
      <c r="G693" s="21"/>
      <c r="H693" s="17"/>
      <c r="I693" s="20"/>
      <c r="J693" s="17"/>
      <c r="K693" s="17"/>
      <c r="L693" s="22"/>
      <c r="M693" s="22"/>
      <c r="N693" s="22"/>
      <c r="O693" s="22"/>
      <c r="P693" s="22"/>
      <c r="Q693" s="22"/>
      <c r="R693" s="23"/>
      <c r="S693" s="22"/>
      <c r="T693" s="24"/>
      <c r="U693" s="25"/>
    </row>
    <row r="694" spans="1:22" ht="48.2" customHeight="1" x14ac:dyDescent="0.25">
      <c r="A694" s="17" t="str">
        <f>VLOOKUP(C694,[1]Werke!$A$1:$C$168,3,0)</f>
        <v>14S</v>
      </c>
      <c r="B694" s="17" t="str">
        <f>VLOOKUP(C694,[1]Werke!$A$1:$C$168,2,0)</f>
        <v>LZG</v>
      </c>
      <c r="C694" s="18" t="s">
        <v>311</v>
      </c>
      <c r="D694" s="17" t="str">
        <f>VLOOKUP(C694,[1]Maliteslimalan!$A$1:$B$210,2,0)</f>
        <v>8000014767</v>
      </c>
      <c r="E694" s="19" t="str">
        <f>VLOOKUP(C694,[1]Bestellnr.!$A$1:$B$174,2,0)</f>
        <v>000006</v>
      </c>
      <c r="F694" s="20" t="str">
        <f>VLOOKUP(G694,$U$1:$V$1730,2,0)</f>
        <v>N   107 443 03</v>
      </c>
      <c r="G694" s="21">
        <v>100299600</v>
      </c>
      <c r="H694" s="17">
        <f>VLOOKUP(G694,Z$2:AA$1905,2,FALSE)</f>
        <v>1.95E-2</v>
      </c>
      <c r="I694" s="20"/>
      <c r="J694" s="17">
        <f>VLOOKUP(G694,W$2:X$1905,2,FALSE)</f>
        <v>600</v>
      </c>
      <c r="K694" s="17">
        <f>I694/J694</f>
        <v>0</v>
      </c>
      <c r="L694" s="22">
        <v>10</v>
      </c>
      <c r="M694" s="22">
        <v>30</v>
      </c>
      <c r="N694" s="22">
        <v>111444</v>
      </c>
      <c r="O694" s="22" t="str">
        <f>VLOOKUP(N694,$AL$1285:$AM$1310,2,FALSE)</f>
        <v>001006</v>
      </c>
      <c r="P694" s="22">
        <f>VLOOKUP(N694,AC$2:AD$1905,2,FALSE)</f>
        <v>34</v>
      </c>
      <c r="Q694" s="22"/>
      <c r="R694" s="23" t="s">
        <v>153</v>
      </c>
      <c r="S694" s="22">
        <f>VLOOKUP(R694,AC$2:AD$1905,2,FALSE)</f>
        <v>0.56999999999999995</v>
      </c>
      <c r="T694" s="24">
        <f>(H694*I694)+P694*Q694+S694*K694</f>
        <v>0</v>
      </c>
      <c r="U694" s="25">
        <f>IF(TRIM(N694&amp;"")="111444",
    IF(ROUNDUP(MAX(0,K694-(MAX(1,Q694)-1)*10)/10,0)=1,3,2),
    IF(TRIM(N694&amp;"")="VWPAL",
        IF(TRIM(R694&amp;"")="004147",1,2),
        ""
    )
)</f>
        <v>2</v>
      </c>
      <c r="V694" s="26" t="str">
        <f>IF(OR(TRIM(N694&amp;"")="111444",TRIM(N694&amp;"")="VWPAL"),
    IF(K694&lt;=0,"",
        IF(
            MIN(3,ROUNDUP(MAX(0,K694-(MAX(1,Q694)-1)*IF(TRIM(N694&amp;"")="111444",10,20))/IF(TRIM(N694&amp;"")="111444",10,20),0))=1,
            300,
            IF(
                MIN(3,ROUNDUP(MAX(0,K694-(MAX(1,Q694)-1)*IF(TRIM(N694&amp;"")="111444",10,20))/IF(TRIM(N694&amp;"")="111444",10,20),0))=2,
                450,
                600
            )
        )
    ),
    ""
)</f>
        <v/>
      </c>
    </row>
    <row r="695" spans="1:22" ht="48.2" customHeight="1" x14ac:dyDescent="0.25">
      <c r="A695" s="17" t="str">
        <f>VLOOKUP(C695,[1]Werke!$A$1:$C$168,3,0)</f>
        <v>26D</v>
      </c>
      <c r="B695" s="17" t="str">
        <f>VLOOKUP(C695,[1]Werke!$A$1:$C$168,2,0)</f>
        <v>G18</v>
      </c>
      <c r="C695" s="18" t="s">
        <v>257</v>
      </c>
      <c r="D695" s="17" t="str">
        <f>VLOOKUP(C695,[1]Maliteslimalan!$A$1:$B$210,2,0)</f>
        <v>8000012600</v>
      </c>
      <c r="E695" s="19">
        <f>VLOOKUP(C695,[1]Bestellnr.!$A$1:$B$174,2,0)</f>
        <v>0</v>
      </c>
      <c r="F695" s="20" t="str">
        <f>VLOOKUP(G695,$U$1:$V$1730,2,0)</f>
        <v>N   107 443 03</v>
      </c>
      <c r="G695" s="21">
        <v>100299600</v>
      </c>
      <c r="H695" s="17">
        <f>VLOOKUP(G695,Z$2:AA$1905,2,FALSE)</f>
        <v>1.95E-2</v>
      </c>
      <c r="I695" s="20"/>
      <c r="J695" s="17">
        <f>VLOOKUP(G695,W$2:X$1905,2,FALSE)</f>
        <v>600</v>
      </c>
      <c r="K695" s="17">
        <f>I695/J695</f>
        <v>0</v>
      </c>
      <c r="L695" s="22">
        <v>10</v>
      </c>
      <c r="M695" s="22">
        <v>30</v>
      </c>
      <c r="N695" s="22">
        <v>111444</v>
      </c>
      <c r="O695" s="22" t="str">
        <f>VLOOKUP(N695,$AL$1285:$AM$1310,2,FALSE)</f>
        <v>001006</v>
      </c>
      <c r="P695" s="22">
        <f>VLOOKUP(N695,AC$2:AD$1905,2,FALSE)</f>
        <v>34</v>
      </c>
      <c r="Q695" s="22"/>
      <c r="R695" s="23" t="s">
        <v>153</v>
      </c>
      <c r="S695" s="22">
        <f>VLOOKUP(R695,AC$2:AD$1905,2,FALSE)</f>
        <v>0.56999999999999995</v>
      </c>
      <c r="T695" s="24">
        <f>(H695*I695)+P695*Q695+S695*K695</f>
        <v>0</v>
      </c>
      <c r="U695" s="25">
        <f>IF(TRIM(N695&amp;"")="111444",
    IF(ROUNDUP(MAX(0,K695-(MAX(1,Q695)-1)*10)/10,0)=1,3,2),
    IF(TRIM(N695&amp;"")="VWPAL",
        IF(TRIM(R695&amp;"")="004147",1,2),
        ""
    )
)</f>
        <v>2</v>
      </c>
      <c r="V695" s="26" t="str">
        <f>IF(OR(TRIM(N695&amp;"")="111444",TRIM(N695&amp;"")="VWPAL"),
    IF(K695&lt;=0,"",
        IF(
            MIN(3,ROUNDUP(MAX(0,K695-(MAX(1,Q695)-1)*IF(TRIM(N695&amp;"")="111444",10,20))/IF(TRIM(N695&amp;"")="111444",10,20),0))=1,
            300,
            IF(
                MIN(3,ROUNDUP(MAX(0,K695-(MAX(1,Q695)-1)*IF(TRIM(N695&amp;"")="111444",10,20))/IF(TRIM(N695&amp;"")="111444",10,20),0))=2,
                450,
                600
            )
        )
    ),
    ""
)</f>
        <v/>
      </c>
    </row>
    <row r="696" spans="1:22" ht="48.2" customHeight="1" x14ac:dyDescent="0.25">
      <c r="A696" s="17" t="str">
        <f>VLOOKUP(C696,[1]Werke!$A$1:$C$168,3,0)</f>
        <v>26D</v>
      </c>
      <c r="B696" s="17" t="str">
        <f>VLOOKUP(C696,[1]Werke!$A$1:$C$168,2,0)</f>
        <v>G18</v>
      </c>
      <c r="C696" s="18" t="s">
        <v>275</v>
      </c>
      <c r="D696" s="17" t="str">
        <f>VLOOKUP(C696,[1]Maliteslimalan!$A$1:$B$210,2,0)</f>
        <v>8000012880</v>
      </c>
      <c r="E696" s="19">
        <f>VLOOKUP(C696,[1]Bestellnr.!$A$1:$B$174,2,0)</f>
        <v>0</v>
      </c>
      <c r="F696" s="20" t="str">
        <f>VLOOKUP(G696,$U$1:$V$1730,2,0)</f>
        <v>N   107 443 03</v>
      </c>
      <c r="G696" s="21">
        <v>100299600</v>
      </c>
      <c r="H696" s="17">
        <f>VLOOKUP(G696,Z$2:AA$1905,2,FALSE)</f>
        <v>1.95E-2</v>
      </c>
      <c r="I696" s="20"/>
      <c r="J696" s="17">
        <f>VLOOKUP(G696,W$2:X$1905,2,FALSE)</f>
        <v>600</v>
      </c>
      <c r="K696" s="17">
        <f>I696/J696</f>
        <v>0</v>
      </c>
      <c r="L696" s="22">
        <v>10</v>
      </c>
      <c r="M696" s="22">
        <v>30</v>
      </c>
      <c r="N696" s="22">
        <v>111444</v>
      </c>
      <c r="O696" s="22" t="str">
        <f>VLOOKUP(N696,$AL$1285:$AM$1310,2,FALSE)</f>
        <v>001006</v>
      </c>
      <c r="P696" s="22">
        <f>VLOOKUP(N696,AC$2:AD$1905,2,FALSE)</f>
        <v>34</v>
      </c>
      <c r="Q696" s="22"/>
      <c r="R696" s="23" t="s">
        <v>153</v>
      </c>
      <c r="S696" s="22">
        <f>VLOOKUP(R696,AC$2:AD$1905,2,FALSE)</f>
        <v>0.56999999999999995</v>
      </c>
      <c r="T696" s="24">
        <f>(H696*I696)+P696*Q696+S696*K696</f>
        <v>0</v>
      </c>
      <c r="U696" s="25">
        <f>IF(TRIM(N696&amp;"")="111444",
    IF(ROUNDUP(MAX(0,K696-(MAX(1,Q696)-1)*10)/10,0)=1,3,2),
    IF(TRIM(N696&amp;"")="VWPAL",
        IF(TRIM(R696&amp;"")="004147",1,2),
        ""
    )
)</f>
        <v>2</v>
      </c>
      <c r="V696" s="26" t="str">
        <f>IF(OR(TRIM(N696&amp;"")="111444",TRIM(N696&amp;"")="VWPAL"),
    IF(K696&lt;=0,"",
        IF(
            MIN(3,ROUNDUP(MAX(0,K696-(MAX(1,Q696)-1)*IF(TRIM(N696&amp;"")="111444",10,20))/IF(TRIM(N696&amp;"")="111444",10,20),0))=1,
            300,
            IF(
                MIN(3,ROUNDUP(MAX(0,K696-(MAX(1,Q696)-1)*IF(TRIM(N696&amp;"")="111444",10,20))/IF(TRIM(N696&amp;"")="111444",10,20),0))=2,
                450,
                600
            )
        )
    ),
    ""
)</f>
        <v/>
      </c>
    </row>
    <row r="697" spans="1:22" ht="48" customHeight="1" x14ac:dyDescent="0.25">
      <c r="A697" s="17"/>
      <c r="B697" s="17"/>
      <c r="C697" s="18"/>
      <c r="D697" s="17"/>
      <c r="E697" s="19"/>
      <c r="F697" s="20"/>
      <c r="G697" s="21"/>
      <c r="H697" s="17"/>
      <c r="I697" s="20"/>
      <c r="J697" s="17"/>
      <c r="K697" s="17"/>
      <c r="L697" s="22"/>
      <c r="M697" s="22"/>
      <c r="N697" s="22"/>
      <c r="O697" s="22"/>
      <c r="P697" s="22"/>
      <c r="Q697" s="22"/>
      <c r="R697" s="23"/>
      <c r="S697" s="22"/>
      <c r="T697" s="24"/>
      <c r="U697" s="25"/>
    </row>
    <row r="698" spans="1:22" ht="48" customHeight="1" x14ac:dyDescent="0.25">
      <c r="A698" s="17">
        <f>VLOOKUP(C698,[1]Werke!$A$1:$C$168,3,0)</f>
        <v>31</v>
      </c>
      <c r="B698" s="17" t="str">
        <f>VLOOKUP(C698,[1]Werke!$A$1:$C$168,2,0)</f>
        <v>B62</v>
      </c>
      <c r="C698" s="18">
        <v>10362</v>
      </c>
      <c r="D698" s="17" t="str">
        <f>VLOOKUP(C698,[1]Maliteslimalan!$A$1:$B$210,2,0)</f>
        <v>8000012742</v>
      </c>
      <c r="E698" s="19">
        <v>6</v>
      </c>
      <c r="F698" s="20" t="str">
        <f t="shared" ref="F698:F711" si="363">VLOOKUP(G698,$U$1:$V$1730,2,0)</f>
        <v>N   913 019 01</v>
      </c>
      <c r="G698" s="21">
        <v>100331200</v>
      </c>
      <c r="H698" s="17">
        <f t="shared" ref="H698:H711" si="364">VLOOKUP(G698,Z$2:AA$1905,2,FALSE)</f>
        <v>1.6500000000000001E-2</v>
      </c>
      <c r="I698" s="20"/>
      <c r="J698" s="17">
        <f t="shared" ref="J698:J704" si="365">VLOOKUP(G698,W$2:X$1905,2,FALSE)</f>
        <v>500</v>
      </c>
      <c r="K698" s="17">
        <f t="shared" ref="K698:K711" si="366">I698/J698</f>
        <v>0</v>
      </c>
      <c r="L698" s="22">
        <v>20</v>
      </c>
      <c r="M698" s="22">
        <v>60</v>
      </c>
      <c r="N698" s="22" t="s">
        <v>155</v>
      </c>
      <c r="O698" s="22" t="str">
        <f t="shared" ref="O698:O711" si="367">VLOOKUP(N698,$AL$1285:$AM$1310,2,FALSE)</f>
        <v>001210</v>
      </c>
      <c r="P698" s="22">
        <f t="shared" ref="P698:P711" si="368">VLOOKUP(N698,AC$2:AD$1905,2,FALSE)</f>
        <v>55</v>
      </c>
      <c r="Q698" s="22"/>
      <c r="R698" s="23" t="s">
        <v>153</v>
      </c>
      <c r="S698" s="22">
        <f t="shared" ref="S698:S711" si="369">VLOOKUP(R698,AC$2:AD$1905,2,FALSE)</f>
        <v>0.56999999999999995</v>
      </c>
      <c r="T698" s="24">
        <f t="shared" ref="T698:T711" si="370">(H698*I698)+P698*Q698+S698*K698</f>
        <v>0</v>
      </c>
      <c r="U698" s="25">
        <f t="shared" ref="U698:U711" si="371">IF(TRIM(N698&amp;"")="111444",
    IF(ROUNDUP(MAX(0,K698-(MAX(1,Q698)-1)*10)/10,0)=1,3,2),
    IF(TRIM(N698&amp;"")="VWPAL",
        IF(TRIM(R698&amp;"")="004147",1,2),
        ""
    )
)</f>
        <v>2</v>
      </c>
      <c r="V698" s="26" t="str">
        <f t="shared" ref="V698:V711" si="372">IF(OR(TRIM(N698&amp;"")="111444",TRIM(N698&amp;"")="VWPAL"),
    IF(K698&lt;=0,"",
        IF(
            MIN(3,ROUNDUP(MAX(0,K698-(MAX(1,Q698)-1)*IF(TRIM(N698&amp;"")="111444",10,20))/IF(TRIM(N698&amp;"")="111444",10,20),0))=1,
            300,
            IF(
                MIN(3,ROUNDUP(MAX(0,K698-(MAX(1,Q698)-1)*IF(TRIM(N698&amp;"")="111444",10,20))/IF(TRIM(N698&amp;"")="111444",10,20),0))=2,
                450,
                600
            )
        )
    ),
    ""
)</f>
        <v/>
      </c>
    </row>
    <row r="699" spans="1:22" ht="48" customHeight="1" x14ac:dyDescent="0.25">
      <c r="A699" s="17" t="str">
        <f>VLOOKUP(C699,[1]Werke!$A$1:$C$168,3,0)</f>
        <v>3P</v>
      </c>
      <c r="B699" s="17" t="str">
        <f>VLOOKUP(C699,[1]Werke!$A$1:$C$168,2,0)</f>
        <v>BP4</v>
      </c>
      <c r="C699" s="18" t="s">
        <v>234</v>
      </c>
      <c r="D699" s="17" t="str">
        <f>VLOOKUP(C699,[1]Maliteslimalan!$A$1:$B$210,2,0)</f>
        <v>8000012617</v>
      </c>
      <c r="E699" s="19" t="str">
        <f>VLOOKUP(C699,[1]Bestellnr.!$A$1:$B$174,2,0)</f>
        <v>000055</v>
      </c>
      <c r="F699" s="20" t="str">
        <f t="shared" si="363"/>
        <v>N   913 019 01</v>
      </c>
      <c r="G699" s="21">
        <v>100331200</v>
      </c>
      <c r="H699" s="17">
        <f t="shared" si="364"/>
        <v>1.6500000000000001E-2</v>
      </c>
      <c r="I699" s="20"/>
      <c r="J699" s="17">
        <f t="shared" si="365"/>
        <v>500</v>
      </c>
      <c r="K699" s="17">
        <f t="shared" si="366"/>
        <v>0</v>
      </c>
      <c r="L699" s="22">
        <v>20</v>
      </c>
      <c r="M699" s="22">
        <v>60</v>
      </c>
      <c r="N699" s="22" t="s">
        <v>155</v>
      </c>
      <c r="O699" s="22" t="str">
        <f t="shared" si="367"/>
        <v>001210</v>
      </c>
      <c r="P699" s="22">
        <f t="shared" si="368"/>
        <v>55</v>
      </c>
      <c r="Q699" s="22"/>
      <c r="R699" s="23" t="s">
        <v>153</v>
      </c>
      <c r="S699" s="22">
        <f t="shared" si="369"/>
        <v>0.56999999999999995</v>
      </c>
      <c r="T699" s="24">
        <f t="shared" si="370"/>
        <v>0</v>
      </c>
      <c r="U699" s="25">
        <f t="shared" si="371"/>
        <v>2</v>
      </c>
      <c r="V699" s="26" t="str">
        <f t="shared" si="372"/>
        <v/>
      </c>
    </row>
    <row r="700" spans="1:22" ht="48" customHeight="1" x14ac:dyDescent="0.25">
      <c r="A700" s="17">
        <f>VLOOKUP(C700,[1]Werke!$A$1:$C$168,3,0)</f>
        <v>14</v>
      </c>
      <c r="B700" s="17" t="str">
        <f>VLOOKUP(C700,[1]Werke!$A$1:$C$168,2,0)</f>
        <v>D72</v>
      </c>
      <c r="C700" s="18" t="s">
        <v>220</v>
      </c>
      <c r="D700" s="17" t="str">
        <f>VLOOKUP(C700,[1]Maliteslimalan!$A$1:$B$210,2,0)</f>
        <v>8000013493</v>
      </c>
      <c r="E700" s="19">
        <f>VLOOKUP(C700,[1]Bestellnr.!$A$1:$B$174,2,0)</f>
        <v>0</v>
      </c>
      <c r="F700" s="20" t="str">
        <f t="shared" si="363"/>
        <v>N   913 019 01</v>
      </c>
      <c r="G700" s="21">
        <v>100331200</v>
      </c>
      <c r="H700" s="17">
        <f t="shared" si="364"/>
        <v>1.6500000000000001E-2</v>
      </c>
      <c r="I700" s="20"/>
      <c r="J700" s="17">
        <f t="shared" si="365"/>
        <v>500</v>
      </c>
      <c r="K700" s="17">
        <f t="shared" si="366"/>
        <v>0</v>
      </c>
      <c r="L700" s="22">
        <v>10</v>
      </c>
      <c r="M700" s="22">
        <v>30</v>
      </c>
      <c r="N700" s="22">
        <v>111444</v>
      </c>
      <c r="O700" s="22" t="str">
        <f t="shared" si="367"/>
        <v>001006</v>
      </c>
      <c r="P700" s="22">
        <f t="shared" si="368"/>
        <v>34</v>
      </c>
      <c r="Q700" s="22"/>
      <c r="R700" s="23" t="s">
        <v>153</v>
      </c>
      <c r="S700" s="22">
        <f t="shared" si="369"/>
        <v>0.56999999999999995</v>
      </c>
      <c r="T700" s="24">
        <f t="shared" si="370"/>
        <v>0</v>
      </c>
      <c r="U700" s="25">
        <f t="shared" si="371"/>
        <v>2</v>
      </c>
      <c r="V700" s="26" t="str">
        <f t="shared" si="372"/>
        <v/>
      </c>
    </row>
    <row r="701" spans="1:22" ht="48" customHeight="1" x14ac:dyDescent="0.25">
      <c r="A701" s="17">
        <f>VLOOKUP(C701,[1]Werke!$A$1:$C$168,3,0)</f>
        <v>21</v>
      </c>
      <c r="B701" s="17" t="str">
        <f>VLOOKUP(C701,[1]Werke!$A$1:$C$168,2,0)</f>
        <v>GZD</v>
      </c>
      <c r="C701" s="18" t="s">
        <v>223</v>
      </c>
      <c r="D701" s="17" t="str">
        <f>VLOOKUP(C701,[1]Maliteslimalan!$A$1:$B$210,2,0)</f>
        <v>8000012572</v>
      </c>
      <c r="E701" s="19" t="str">
        <f>VLOOKUP(C701,[1]Bestellnr.!$A$1:$B$174,2,0)</f>
        <v>000006</v>
      </c>
      <c r="F701" s="20" t="str">
        <f t="shared" si="363"/>
        <v>N   913 019 01</v>
      </c>
      <c r="G701" s="21">
        <v>100331200</v>
      </c>
      <c r="H701" s="17">
        <f t="shared" si="364"/>
        <v>1.6500000000000001E-2</v>
      </c>
      <c r="I701" s="20"/>
      <c r="J701" s="17">
        <f t="shared" si="365"/>
        <v>500</v>
      </c>
      <c r="K701" s="17">
        <f t="shared" si="366"/>
        <v>0</v>
      </c>
      <c r="L701" s="22">
        <v>20</v>
      </c>
      <c r="M701" s="22">
        <v>20</v>
      </c>
      <c r="N701" s="22" t="s">
        <v>155</v>
      </c>
      <c r="O701" s="22" t="str">
        <f t="shared" si="367"/>
        <v>001210</v>
      </c>
      <c r="P701" s="22">
        <f t="shared" si="368"/>
        <v>55</v>
      </c>
      <c r="Q701" s="22"/>
      <c r="R701" s="23" t="s">
        <v>153</v>
      </c>
      <c r="S701" s="22">
        <f t="shared" si="369"/>
        <v>0.56999999999999995</v>
      </c>
      <c r="T701" s="24">
        <f t="shared" si="370"/>
        <v>0</v>
      </c>
      <c r="U701" s="25">
        <f t="shared" si="371"/>
        <v>2</v>
      </c>
      <c r="V701" s="26" t="str">
        <f t="shared" si="372"/>
        <v/>
      </c>
    </row>
    <row r="702" spans="1:22" ht="48" customHeight="1" x14ac:dyDescent="0.25">
      <c r="A702" s="17" t="str">
        <f>VLOOKUP(C702,[1]Werke!$A$1:$C$168,3,0)</f>
        <v>IM</v>
      </c>
      <c r="B702" s="17">
        <f>VLOOKUP(C702,[1]Werke!$A$1:$C$168,2,0)</f>
        <v>889</v>
      </c>
      <c r="C702" s="18" t="s">
        <v>225</v>
      </c>
      <c r="D702" s="17">
        <f>VLOOKUP(C702,[1]Maliteslimalan!$A$1:$B$210,2,0)</f>
        <v>8000017117</v>
      </c>
      <c r="E702" s="19">
        <v>6</v>
      </c>
      <c r="F702" s="20" t="str">
        <f t="shared" si="363"/>
        <v>N   913 019 01</v>
      </c>
      <c r="G702" s="21">
        <v>100331200</v>
      </c>
      <c r="H702" s="17">
        <f t="shared" si="364"/>
        <v>1.6500000000000001E-2</v>
      </c>
      <c r="I702" s="20"/>
      <c r="J702" s="17">
        <f t="shared" si="365"/>
        <v>500</v>
      </c>
      <c r="K702" s="17">
        <f t="shared" si="366"/>
        <v>0</v>
      </c>
      <c r="L702" s="22">
        <v>10</v>
      </c>
      <c r="M702" s="22">
        <v>30</v>
      </c>
      <c r="N702" s="22">
        <v>111444</v>
      </c>
      <c r="O702" s="22" t="str">
        <f t="shared" si="367"/>
        <v>001006</v>
      </c>
      <c r="P702" s="22">
        <f t="shared" si="368"/>
        <v>34</v>
      </c>
      <c r="Q702" s="22"/>
      <c r="R702" s="23" t="s">
        <v>153</v>
      </c>
      <c r="S702" s="22">
        <f t="shared" si="369"/>
        <v>0.56999999999999995</v>
      </c>
      <c r="T702" s="24">
        <f t="shared" si="370"/>
        <v>0</v>
      </c>
      <c r="U702" s="25">
        <f t="shared" si="371"/>
        <v>2</v>
      </c>
      <c r="V702" s="26" t="str">
        <f t="shared" si="372"/>
        <v/>
      </c>
    </row>
    <row r="703" spans="1:22" ht="48" customHeight="1" x14ac:dyDescent="0.25">
      <c r="A703" s="17" t="str">
        <f>VLOOKUP(C703,[1]Werke!$A$1:$C$168,3,0)</f>
        <v>LD</v>
      </c>
      <c r="B703" s="17" t="str">
        <f>VLOOKUP(C703,[1]Werke!$A$1:$C$168,2,0)</f>
        <v>SLD</v>
      </c>
      <c r="C703" s="18">
        <v>83630</v>
      </c>
      <c r="D703" s="17" t="str">
        <f>VLOOKUP(C703,[1]Maliteslimalan!$A$1:$B$210,2,0)</f>
        <v>8000012862</v>
      </c>
      <c r="E703" s="19" t="str">
        <f>VLOOKUP(C703,[1]Bestellnr.!$A$1:$B$174,2,0)</f>
        <v>000006</v>
      </c>
      <c r="F703" s="20" t="str">
        <f t="shared" si="363"/>
        <v>N   913 019 01</v>
      </c>
      <c r="G703" s="21">
        <v>100331200</v>
      </c>
      <c r="H703" s="17">
        <f t="shared" si="364"/>
        <v>1.6500000000000001E-2</v>
      </c>
      <c r="I703" s="20"/>
      <c r="J703" s="17">
        <f t="shared" si="365"/>
        <v>500</v>
      </c>
      <c r="K703" s="17">
        <f t="shared" si="366"/>
        <v>0</v>
      </c>
      <c r="L703" s="22">
        <v>10</v>
      </c>
      <c r="M703" s="22">
        <v>30</v>
      </c>
      <c r="N703" s="22">
        <v>111444</v>
      </c>
      <c r="O703" s="22" t="str">
        <f t="shared" si="367"/>
        <v>001006</v>
      </c>
      <c r="P703" s="22">
        <f t="shared" si="368"/>
        <v>34</v>
      </c>
      <c r="Q703" s="22"/>
      <c r="R703" s="23" t="s">
        <v>153</v>
      </c>
      <c r="S703" s="22">
        <f t="shared" si="369"/>
        <v>0.56999999999999995</v>
      </c>
      <c r="T703" s="24">
        <f t="shared" si="370"/>
        <v>0</v>
      </c>
      <c r="U703" s="25">
        <f t="shared" si="371"/>
        <v>2</v>
      </c>
      <c r="V703" s="26" t="str">
        <f t="shared" si="372"/>
        <v/>
      </c>
    </row>
    <row r="704" spans="1:22" ht="48" customHeight="1" x14ac:dyDescent="0.25">
      <c r="A704" s="17" t="str">
        <f>VLOOKUP(C704,[1]Werke!$A$1:$C$168,3,0)</f>
        <v>16D</v>
      </c>
      <c r="B704" s="17">
        <f>VLOOKUP(C704,[1]Werke!$A$1:$C$168,2,0)</f>
        <v>210</v>
      </c>
      <c r="C704" s="18" t="s">
        <v>226</v>
      </c>
      <c r="D704" s="17" t="str">
        <f>VLOOKUP(C704,[1]Maliteslimalan!$A$1:$B$210,2,0)</f>
        <v>8000012565</v>
      </c>
      <c r="E704" s="19">
        <f>VLOOKUP(C704,[1]Bestellnr.!$A$1:$B$174,2,0)</f>
        <v>0</v>
      </c>
      <c r="F704" s="20" t="str">
        <f t="shared" si="363"/>
        <v>N   913 019 01</v>
      </c>
      <c r="G704" s="21">
        <v>100331200</v>
      </c>
      <c r="H704" s="17">
        <f t="shared" si="364"/>
        <v>1.6500000000000001E-2</v>
      </c>
      <c r="I704" s="20"/>
      <c r="J704" s="17">
        <f t="shared" si="365"/>
        <v>500</v>
      </c>
      <c r="K704" s="17">
        <f t="shared" si="366"/>
        <v>0</v>
      </c>
      <c r="L704" s="22">
        <v>10</v>
      </c>
      <c r="M704" s="22">
        <v>30</v>
      </c>
      <c r="N704" s="22">
        <v>111444</v>
      </c>
      <c r="O704" s="22" t="str">
        <f t="shared" si="367"/>
        <v>001006</v>
      </c>
      <c r="P704" s="22">
        <f t="shared" si="368"/>
        <v>34</v>
      </c>
      <c r="Q704" s="22"/>
      <c r="R704" s="23" t="s">
        <v>153</v>
      </c>
      <c r="S704" s="22">
        <f t="shared" si="369"/>
        <v>0.56999999999999995</v>
      </c>
      <c r="T704" s="24">
        <f t="shared" si="370"/>
        <v>0</v>
      </c>
      <c r="U704" s="25">
        <f t="shared" si="371"/>
        <v>2</v>
      </c>
      <c r="V704" s="26" t="str">
        <f t="shared" si="372"/>
        <v/>
      </c>
    </row>
    <row r="705" spans="1:22" ht="48" customHeight="1" x14ac:dyDescent="0.25">
      <c r="A705" s="17">
        <f>VLOOKUP(C705,[1]Werke!$A$1:$C$168,3,0)</f>
        <v>11</v>
      </c>
      <c r="B705" s="17" t="str">
        <f>VLOOKUP(C705,[1]Werke!$A$1:$C$168,2,0)</f>
        <v>AKL</v>
      </c>
      <c r="C705" s="18" t="s">
        <v>317</v>
      </c>
      <c r="D705" s="17" t="str">
        <f>VLOOKUP(C705,[1]Maliteslimalan!$A$1:$B$210,2,0)</f>
        <v>8000014562</v>
      </c>
      <c r="E705" s="19" t="str">
        <f>VLOOKUP(C705,[1]Bestellnr.!$A$1:$B$174,2,0)</f>
        <v>000006</v>
      </c>
      <c r="F705" s="20" t="str">
        <f t="shared" si="363"/>
        <v>N   913 019 01</v>
      </c>
      <c r="G705" s="21">
        <v>100331200</v>
      </c>
      <c r="H705" s="17">
        <f t="shared" si="364"/>
        <v>1.6500000000000001E-2</v>
      </c>
      <c r="I705" s="20"/>
      <c r="J705" s="17">
        <v>500</v>
      </c>
      <c r="K705" s="17">
        <f t="shared" si="366"/>
        <v>0</v>
      </c>
      <c r="L705" s="22">
        <v>10</v>
      </c>
      <c r="M705" s="22">
        <v>30</v>
      </c>
      <c r="N705" s="22">
        <v>111444</v>
      </c>
      <c r="O705" s="22" t="str">
        <f t="shared" si="367"/>
        <v>001006</v>
      </c>
      <c r="P705" s="22">
        <f t="shared" si="368"/>
        <v>34</v>
      </c>
      <c r="Q705" s="22"/>
      <c r="R705" s="23" t="s">
        <v>153</v>
      </c>
      <c r="S705" s="22">
        <f t="shared" si="369"/>
        <v>0.56999999999999995</v>
      </c>
      <c r="T705" s="24">
        <f t="shared" si="370"/>
        <v>0</v>
      </c>
      <c r="U705" s="25">
        <f t="shared" si="371"/>
        <v>2</v>
      </c>
      <c r="V705" s="26" t="str">
        <f t="shared" si="372"/>
        <v/>
      </c>
    </row>
    <row r="706" spans="1:22" ht="48" customHeight="1" x14ac:dyDescent="0.25">
      <c r="A706" s="17">
        <f>VLOOKUP(C706,[1]Werke!$A$1:$C$168,3,0)</f>
        <v>28</v>
      </c>
      <c r="B706" s="17" t="str">
        <f>VLOOKUP(C706,[1]Werke!$A$1:$C$168,2,0)</f>
        <v>S1</v>
      </c>
      <c r="C706" s="18" t="s">
        <v>318</v>
      </c>
      <c r="D706" s="17" t="str">
        <f>VLOOKUP(C706,[1]Maliteslimalan!$A$1:$B$210,2,0)</f>
        <v>8000012653</v>
      </c>
      <c r="E706" s="19" t="str">
        <f>VLOOKUP(C706,[1]Bestellnr.!$A$1:$B$174,2,0)</f>
        <v>000006</v>
      </c>
      <c r="F706" s="20" t="str">
        <f t="shared" si="363"/>
        <v>N   913 019 01</v>
      </c>
      <c r="G706" s="21">
        <v>100331200</v>
      </c>
      <c r="H706" s="17">
        <f t="shared" si="364"/>
        <v>1.6500000000000001E-2</v>
      </c>
      <c r="I706" s="20"/>
      <c r="J706" s="17">
        <f>VLOOKUP(G706,W$2:X$1905,2,FALSE)</f>
        <v>500</v>
      </c>
      <c r="K706" s="17">
        <f t="shared" si="366"/>
        <v>0</v>
      </c>
      <c r="L706" s="22">
        <v>20</v>
      </c>
      <c r="M706" s="22">
        <v>60</v>
      </c>
      <c r="N706" s="22" t="s">
        <v>155</v>
      </c>
      <c r="O706" s="22" t="str">
        <f t="shared" si="367"/>
        <v>001210</v>
      </c>
      <c r="P706" s="22">
        <f t="shared" si="368"/>
        <v>55</v>
      </c>
      <c r="Q706" s="22"/>
      <c r="R706" s="23" t="s">
        <v>153</v>
      </c>
      <c r="S706" s="22">
        <f t="shared" si="369"/>
        <v>0.56999999999999995</v>
      </c>
      <c r="T706" s="24">
        <f t="shared" si="370"/>
        <v>0</v>
      </c>
      <c r="U706" s="25">
        <f t="shared" si="371"/>
        <v>2</v>
      </c>
      <c r="V706" s="26" t="str">
        <f t="shared" si="372"/>
        <v/>
      </c>
    </row>
    <row r="707" spans="1:22" ht="48" customHeight="1" x14ac:dyDescent="0.25">
      <c r="A707" s="17">
        <f>VLOOKUP(C707,[1]Werke!$A$1:$C$168,3,0)</f>
        <v>33</v>
      </c>
      <c r="B707" s="17" t="str">
        <f>VLOOKUP(C707,[1]Werke!$A$1:$C$168,2,0)</f>
        <v>KK2</v>
      </c>
      <c r="C707" s="18" t="s">
        <v>233</v>
      </c>
      <c r="D707" s="17" t="str">
        <f>VLOOKUP(C707,[1]Maliteslimalan!$A$1:$B$210,2,0)</f>
        <v>8000012709</v>
      </c>
      <c r="E707" s="19" t="str">
        <f>VLOOKUP(C707,[1]Bestellnr.!$A$1:$B$174,2,0)</f>
        <v>000055</v>
      </c>
      <c r="F707" s="20" t="str">
        <f t="shared" si="363"/>
        <v>N   913 019 01</v>
      </c>
      <c r="G707" s="21">
        <v>100331200</v>
      </c>
      <c r="H707" s="17">
        <f t="shared" si="364"/>
        <v>1.6500000000000001E-2</v>
      </c>
      <c r="I707" s="20"/>
      <c r="J707" s="17">
        <v>500</v>
      </c>
      <c r="K707" s="17">
        <f t="shared" si="366"/>
        <v>0</v>
      </c>
      <c r="L707" s="22">
        <v>20</v>
      </c>
      <c r="M707" s="22">
        <v>20</v>
      </c>
      <c r="N707" s="22" t="s">
        <v>155</v>
      </c>
      <c r="O707" s="22" t="str">
        <f t="shared" si="367"/>
        <v>001210</v>
      </c>
      <c r="P707" s="22">
        <f t="shared" si="368"/>
        <v>55</v>
      </c>
      <c r="Q707" s="22"/>
      <c r="R707" s="23" t="s">
        <v>153</v>
      </c>
      <c r="S707" s="22">
        <f t="shared" si="369"/>
        <v>0.56999999999999995</v>
      </c>
      <c r="T707" s="24">
        <f t="shared" si="370"/>
        <v>0</v>
      </c>
      <c r="U707" s="25">
        <f t="shared" si="371"/>
        <v>2</v>
      </c>
      <c r="V707" s="26" t="str">
        <f t="shared" si="372"/>
        <v/>
      </c>
    </row>
    <row r="708" spans="1:22" ht="48" customHeight="1" x14ac:dyDescent="0.25">
      <c r="A708" s="17">
        <f>VLOOKUP(C708,[1]Werke!$A$1:$C$168,3,0)</f>
        <v>43</v>
      </c>
      <c r="B708" s="17" t="str">
        <f>VLOOKUP(C708,[1]Werke!$A$1:$C$168,2,0)</f>
        <v>FCK</v>
      </c>
      <c r="C708" s="18" t="s">
        <v>237</v>
      </c>
      <c r="D708" s="17" t="str">
        <f>VLOOKUP(C708,[1]Maliteslimalan!$A$1:$B$210,2,0)</f>
        <v>8000012579</v>
      </c>
      <c r="E708" s="19" t="str">
        <f>VLOOKUP(C708,[1]Bestellnr.!$A$1:$B$174,2,0)</f>
        <v>000006</v>
      </c>
      <c r="F708" s="20" t="str">
        <f t="shared" si="363"/>
        <v>N   913 019 01</v>
      </c>
      <c r="G708" s="21">
        <v>100331200</v>
      </c>
      <c r="H708" s="17">
        <f t="shared" si="364"/>
        <v>1.6500000000000001E-2</v>
      </c>
      <c r="I708" s="20"/>
      <c r="J708" s="17">
        <f>VLOOKUP(G708,W$2:X$1905,2,FALSE)</f>
        <v>500</v>
      </c>
      <c r="K708" s="17">
        <f t="shared" si="366"/>
        <v>0</v>
      </c>
      <c r="L708" s="22">
        <v>10</v>
      </c>
      <c r="M708" s="22">
        <v>30</v>
      </c>
      <c r="N708" s="22">
        <v>111444</v>
      </c>
      <c r="O708" s="22" t="str">
        <f t="shared" si="367"/>
        <v>001006</v>
      </c>
      <c r="P708" s="22">
        <f t="shared" si="368"/>
        <v>34</v>
      </c>
      <c r="Q708" s="22"/>
      <c r="R708" s="23" t="s">
        <v>153</v>
      </c>
      <c r="S708" s="22">
        <f t="shared" si="369"/>
        <v>0.56999999999999995</v>
      </c>
      <c r="T708" s="24">
        <f t="shared" si="370"/>
        <v>0</v>
      </c>
      <c r="U708" s="25">
        <f t="shared" si="371"/>
        <v>2</v>
      </c>
      <c r="V708" s="26" t="str">
        <f t="shared" si="372"/>
        <v/>
      </c>
    </row>
    <row r="709" spans="1:22" ht="48" customHeight="1" x14ac:dyDescent="0.25">
      <c r="A709" s="17">
        <f>VLOOKUP(C709,[1]Werke!$A$1:$C$168,3,0)</f>
        <v>15</v>
      </c>
      <c r="B709" s="17" t="str">
        <f>VLOOKUP(C709,[1]Werke!$A$1:$C$168,2,0)</f>
        <v>H9A</v>
      </c>
      <c r="C709" s="18" t="s">
        <v>240</v>
      </c>
      <c r="D709" s="17">
        <f>VLOOKUP(C709,[1]Maliteslimalan!$A$1:$B$210,2,0)</f>
        <v>8000017580</v>
      </c>
      <c r="E709" s="19">
        <v>6</v>
      </c>
      <c r="F709" s="20" t="str">
        <f t="shared" si="363"/>
        <v>N   913 019 01</v>
      </c>
      <c r="G709" s="21">
        <v>100331200</v>
      </c>
      <c r="H709" s="17">
        <f t="shared" si="364"/>
        <v>1.6500000000000001E-2</v>
      </c>
      <c r="I709" s="20"/>
      <c r="J709" s="17">
        <f>VLOOKUP(G709,W$2:X$1905,2,FALSE)</f>
        <v>500</v>
      </c>
      <c r="K709" s="17">
        <f t="shared" si="366"/>
        <v>0</v>
      </c>
      <c r="L709" s="22">
        <v>20</v>
      </c>
      <c r="M709" s="22">
        <v>60</v>
      </c>
      <c r="N709" s="22" t="s">
        <v>155</v>
      </c>
      <c r="O709" s="22" t="str">
        <f t="shared" si="367"/>
        <v>001210</v>
      </c>
      <c r="P709" s="22">
        <f t="shared" si="368"/>
        <v>55</v>
      </c>
      <c r="Q709" s="22"/>
      <c r="R709" s="23" t="s">
        <v>153</v>
      </c>
      <c r="S709" s="22">
        <f t="shared" si="369"/>
        <v>0.56999999999999995</v>
      </c>
      <c r="T709" s="24">
        <f t="shared" si="370"/>
        <v>0</v>
      </c>
      <c r="U709" s="25">
        <f t="shared" si="371"/>
        <v>2</v>
      </c>
      <c r="V709" s="26" t="str">
        <f t="shared" si="372"/>
        <v/>
      </c>
    </row>
    <row r="710" spans="1:22" ht="48" customHeight="1" x14ac:dyDescent="0.25">
      <c r="A710" s="17" t="str">
        <f>VLOOKUP(C710,[1]Werke!$A$1:$C$168,3,0)</f>
        <v>HT</v>
      </c>
      <c r="B710" s="17">
        <f>VLOOKUP(C710,[1]Werke!$A$1:$C$168,2,0)</f>
        <v>34</v>
      </c>
      <c r="C710" s="18">
        <v>80245</v>
      </c>
      <c r="D710" s="17">
        <f>VLOOKUP(C710,[1]Maliteslimalan!$A$1:$B$210,2,0)</f>
        <v>8000012604</v>
      </c>
      <c r="E710" s="19">
        <v>6</v>
      </c>
      <c r="F710" s="20" t="str">
        <f t="shared" si="363"/>
        <v>N   913 019 01</v>
      </c>
      <c r="G710" s="21">
        <v>100331200</v>
      </c>
      <c r="H710" s="17">
        <f t="shared" si="364"/>
        <v>1.6500000000000001E-2</v>
      </c>
      <c r="I710" s="20"/>
      <c r="J710" s="17">
        <f>VLOOKUP(G710,W$2:X$1905,2,FALSE)</f>
        <v>500</v>
      </c>
      <c r="K710" s="17">
        <f t="shared" si="366"/>
        <v>0</v>
      </c>
      <c r="L710" s="22">
        <v>10</v>
      </c>
      <c r="M710" s="22">
        <v>30</v>
      </c>
      <c r="N710" s="22">
        <v>111444</v>
      </c>
      <c r="O710" s="22" t="str">
        <f t="shared" si="367"/>
        <v>001006</v>
      </c>
      <c r="P710" s="22">
        <f t="shared" si="368"/>
        <v>34</v>
      </c>
      <c r="Q710" s="22"/>
      <c r="R710" s="23" t="s">
        <v>153</v>
      </c>
      <c r="S710" s="22">
        <f t="shared" si="369"/>
        <v>0.56999999999999995</v>
      </c>
      <c r="T710" s="24">
        <f t="shared" si="370"/>
        <v>0</v>
      </c>
      <c r="U710" s="25">
        <f t="shared" si="371"/>
        <v>2</v>
      </c>
      <c r="V710" s="26" t="str">
        <f t="shared" si="372"/>
        <v/>
      </c>
    </row>
    <row r="711" spans="1:22" ht="48" customHeight="1" x14ac:dyDescent="0.25">
      <c r="A711" s="17" t="str">
        <f>VLOOKUP(C711,[1]Werke!$A$1:$C$168,3,0)</f>
        <v>3R</v>
      </c>
      <c r="B711" s="17" t="str">
        <f>VLOOKUP(C711,[1]Werke!$A$1:$C$168,2,0)</f>
        <v>BC9</v>
      </c>
      <c r="C711" s="18" t="s">
        <v>244</v>
      </c>
      <c r="D711" s="17">
        <f>VLOOKUP(C711,[1]Maliteslimalan!$A$1:$B$210,2,0)</f>
        <v>8000017021</v>
      </c>
      <c r="E711" s="19">
        <v>6</v>
      </c>
      <c r="F711" s="20" t="str">
        <f t="shared" si="363"/>
        <v>N   913 019 01</v>
      </c>
      <c r="G711" s="21">
        <v>100331200</v>
      </c>
      <c r="H711" s="17">
        <f t="shared" si="364"/>
        <v>1.6500000000000001E-2</v>
      </c>
      <c r="I711" s="20"/>
      <c r="J711" s="17">
        <f>VLOOKUP(G711,W$2:X$1905,2,FALSE)</f>
        <v>500</v>
      </c>
      <c r="K711" s="17">
        <f t="shared" si="366"/>
        <v>0</v>
      </c>
      <c r="L711" s="22">
        <v>10</v>
      </c>
      <c r="M711" s="22">
        <v>30</v>
      </c>
      <c r="N711" s="22">
        <v>111444</v>
      </c>
      <c r="O711" s="22" t="str">
        <f t="shared" si="367"/>
        <v>001006</v>
      </c>
      <c r="P711" s="22">
        <f t="shared" si="368"/>
        <v>34</v>
      </c>
      <c r="Q711" s="22"/>
      <c r="R711" s="23" t="s">
        <v>153</v>
      </c>
      <c r="S711" s="22">
        <f t="shared" si="369"/>
        <v>0.56999999999999995</v>
      </c>
      <c r="T711" s="24">
        <f t="shared" si="370"/>
        <v>0</v>
      </c>
      <c r="U711" s="25">
        <f t="shared" si="371"/>
        <v>2</v>
      </c>
      <c r="V711" s="26" t="str">
        <f t="shared" si="372"/>
        <v/>
      </c>
    </row>
    <row r="712" spans="1:22" ht="48" customHeight="1" x14ac:dyDescent="0.25">
      <c r="A712" s="17"/>
      <c r="B712" s="17"/>
      <c r="C712" s="18"/>
      <c r="D712" s="17"/>
      <c r="E712" s="19"/>
      <c r="F712" s="20"/>
      <c r="G712" s="21"/>
      <c r="H712" s="17"/>
      <c r="I712" s="20"/>
      <c r="J712" s="17"/>
      <c r="K712" s="17"/>
      <c r="L712" s="22"/>
      <c r="M712" s="22"/>
      <c r="N712" s="22"/>
      <c r="O712" s="22"/>
      <c r="P712" s="22"/>
      <c r="Q712" s="22"/>
      <c r="R712" s="23"/>
      <c r="S712" s="22"/>
      <c r="T712" s="24"/>
      <c r="U712" s="25"/>
    </row>
    <row r="713" spans="1:22" ht="48.2" customHeight="1" x14ac:dyDescent="0.25">
      <c r="A713" s="17">
        <f>VLOOKUP(C713,[1]Werke!$A$1:$C$168,3,0)</f>
        <v>14</v>
      </c>
      <c r="B713" s="17" t="str">
        <f>VLOOKUP(C713,[1]Werke!$A$1:$C$168,2,0)</f>
        <v>D86</v>
      </c>
      <c r="C713" s="18" t="s">
        <v>251</v>
      </c>
      <c r="D713" s="17" t="str">
        <f>VLOOKUP(C713,[1]Maliteslimalan!$A$1:$B$210,2,0)</f>
        <v>8000012642</v>
      </c>
      <c r="E713" s="19">
        <f>VLOOKUP(C713,[1]Bestellnr.!$A$1:$B$174,2,0)</f>
        <v>0</v>
      </c>
      <c r="F713" s="20" t="str">
        <f t="shared" ref="F713:F722" si="373">VLOOKUP(G713,$U$1:$V$1730,2,0)</f>
        <v>N   101 064 02</v>
      </c>
      <c r="G713" s="21">
        <v>970411000</v>
      </c>
      <c r="H713" s="17">
        <f t="shared" ref="H713:H722" si="374">VLOOKUP(G713,Z$2:AA$1905,2,FALSE)</f>
        <v>2.3650000000000001E-2</v>
      </c>
      <c r="I713" s="20"/>
      <c r="J713" s="17">
        <f t="shared" ref="J713:J722" si="375">VLOOKUP(G713,W$2:X$1905,2,FALSE)</f>
        <v>550</v>
      </c>
      <c r="K713" s="17">
        <f t="shared" ref="K713:K722" si="376">I713/J713</f>
        <v>0</v>
      </c>
      <c r="L713" s="22">
        <v>10</v>
      </c>
      <c r="M713" s="22">
        <v>30</v>
      </c>
      <c r="N713" s="22">
        <v>111444</v>
      </c>
      <c r="O713" s="22" t="str">
        <f t="shared" ref="O713:O722" si="377">VLOOKUP(N713,$AL$1285:$AM$1310,2,FALSE)</f>
        <v>001006</v>
      </c>
      <c r="P713" s="22">
        <f t="shared" ref="P713:P722" si="378">VLOOKUP(N713,AC$2:AD$1905,2,FALSE)</f>
        <v>34</v>
      </c>
      <c r="Q713" s="22"/>
      <c r="R713" s="23" t="s">
        <v>153</v>
      </c>
      <c r="S713" s="22">
        <f t="shared" ref="S713:S722" si="379">VLOOKUP(R713,AC$2:AD$1905,2,FALSE)</f>
        <v>0.56999999999999995</v>
      </c>
      <c r="T713" s="24">
        <f t="shared" ref="T713:T722" si="380">(H713*I713)+P713*Q713+S713*K713</f>
        <v>0</v>
      </c>
      <c r="U713" s="25">
        <f t="shared" ref="U713:U722" si="381">IF(TRIM(N713&amp;"")="111444",
    IF(ROUNDUP(MAX(0,K713-(MAX(1,Q713)-1)*10)/10,0)=1,3,2),
    IF(TRIM(N713&amp;"")="VWPAL",
        IF(TRIM(R713&amp;"")="004147",1,2),
        ""
    )
)</f>
        <v>2</v>
      </c>
      <c r="V713" s="26" t="str">
        <f t="shared" ref="V713:V722" si="382">IF(OR(TRIM(N713&amp;"")="111444",TRIM(N713&amp;"")="VWPAL"),
    IF(K713&lt;=0,"",
        IF(
            MIN(3,ROUNDUP(MAX(0,K713-(MAX(1,Q713)-1)*IF(TRIM(N713&amp;"")="111444",10,20))/IF(TRIM(N713&amp;"")="111444",10,20),0))=1,
            300,
            IF(
                MIN(3,ROUNDUP(MAX(0,K713-(MAX(1,Q713)-1)*IF(TRIM(N713&amp;"")="111444",10,20))/IF(TRIM(N713&amp;"")="111444",10,20),0))=2,
                450,
                600
            )
        )
    ),
    ""
)</f>
        <v/>
      </c>
    </row>
    <row r="714" spans="1:22" ht="48.2" customHeight="1" x14ac:dyDescent="0.25">
      <c r="A714" s="17" t="str">
        <f>VLOOKUP(C714,[1]Werke!$A$1:$C$168,3,0)</f>
        <v>IM</v>
      </c>
      <c r="B714" s="17">
        <f>VLOOKUP(C714,[1]Werke!$A$1:$C$168,2,0)</f>
        <v>889</v>
      </c>
      <c r="C714" s="18" t="s">
        <v>225</v>
      </c>
      <c r="D714" s="17">
        <f>VLOOKUP(C714,[1]Maliteslimalan!$A$1:$B$210,2,0)</f>
        <v>8000017117</v>
      </c>
      <c r="E714" s="19">
        <v>6</v>
      </c>
      <c r="F714" s="20" t="str">
        <f t="shared" si="373"/>
        <v>N   101 064 02</v>
      </c>
      <c r="G714" s="21">
        <v>970411000</v>
      </c>
      <c r="H714" s="17">
        <f t="shared" si="374"/>
        <v>2.3650000000000001E-2</v>
      </c>
      <c r="I714" s="20"/>
      <c r="J714" s="17">
        <f t="shared" si="375"/>
        <v>550</v>
      </c>
      <c r="K714" s="17">
        <f t="shared" si="376"/>
        <v>0</v>
      </c>
      <c r="L714" s="22">
        <v>10</v>
      </c>
      <c r="M714" s="22">
        <v>30</v>
      </c>
      <c r="N714" s="22">
        <v>111444</v>
      </c>
      <c r="O714" s="22" t="str">
        <f t="shared" si="377"/>
        <v>001006</v>
      </c>
      <c r="P714" s="22">
        <f t="shared" si="378"/>
        <v>34</v>
      </c>
      <c r="Q714" s="22"/>
      <c r="R714" s="23" t="s">
        <v>153</v>
      </c>
      <c r="S714" s="22">
        <f t="shared" si="379"/>
        <v>0.56999999999999995</v>
      </c>
      <c r="T714" s="24">
        <f t="shared" si="380"/>
        <v>0</v>
      </c>
      <c r="U714" s="25">
        <f t="shared" si="381"/>
        <v>2</v>
      </c>
      <c r="V714" s="26" t="str">
        <f t="shared" si="382"/>
        <v/>
      </c>
    </row>
    <row r="715" spans="1:22" ht="48.2" customHeight="1" x14ac:dyDescent="0.25">
      <c r="A715" s="17">
        <f>VLOOKUP(C715,[1]Werke!$A$1:$C$168,3,0)</f>
        <v>11</v>
      </c>
      <c r="B715" s="17" t="str">
        <f>VLOOKUP(C715,[1]Werke!$A$1:$C$168,2,0)</f>
        <v>AKL</v>
      </c>
      <c r="C715" s="18" t="s">
        <v>227</v>
      </c>
      <c r="D715" s="17" t="str">
        <f>VLOOKUP(C715,[1]Maliteslimalan!$A$1:$B$210,2,0)</f>
        <v>8000012570</v>
      </c>
      <c r="E715" s="19" t="str">
        <f>VLOOKUP(C715,[1]Bestellnr.!$A$1:$B$174,2,0)</f>
        <v>000006</v>
      </c>
      <c r="F715" s="20" t="str">
        <f t="shared" si="373"/>
        <v>N   101 064 02</v>
      </c>
      <c r="G715" s="21">
        <v>970411000</v>
      </c>
      <c r="H715" s="17">
        <f t="shared" si="374"/>
        <v>2.3650000000000001E-2</v>
      </c>
      <c r="I715" s="20"/>
      <c r="J715" s="17">
        <f t="shared" si="375"/>
        <v>550</v>
      </c>
      <c r="K715" s="17">
        <f t="shared" si="376"/>
        <v>0</v>
      </c>
      <c r="L715" s="22">
        <v>10</v>
      </c>
      <c r="M715" s="22">
        <v>30</v>
      </c>
      <c r="N715" s="22">
        <v>111444</v>
      </c>
      <c r="O715" s="22" t="str">
        <f t="shared" si="377"/>
        <v>001006</v>
      </c>
      <c r="P715" s="22">
        <f t="shared" si="378"/>
        <v>34</v>
      </c>
      <c r="Q715" s="22"/>
      <c r="R715" s="23" t="s">
        <v>153</v>
      </c>
      <c r="S715" s="22">
        <f t="shared" si="379"/>
        <v>0.56999999999999995</v>
      </c>
      <c r="T715" s="24">
        <f t="shared" si="380"/>
        <v>0</v>
      </c>
      <c r="U715" s="25">
        <f t="shared" si="381"/>
        <v>2</v>
      </c>
      <c r="V715" s="26" t="str">
        <f t="shared" si="382"/>
        <v/>
      </c>
    </row>
    <row r="716" spans="1:22" ht="48.2" customHeight="1" x14ac:dyDescent="0.25">
      <c r="A716" s="17">
        <f>VLOOKUP(C716,[1]Werke!$A$1:$C$168,3,0)</f>
        <v>35</v>
      </c>
      <c r="B716" s="17" t="str">
        <f>VLOOKUP(C716,[1]Werke!$A$1:$C$168,2,0)</f>
        <v>AKL</v>
      </c>
      <c r="C716" s="18" t="s">
        <v>231</v>
      </c>
      <c r="D716" s="17" t="str">
        <f>VLOOKUP(C716,[1]Maliteslimalan!$A$1:$B$210,2,0)</f>
        <v>8000013262</v>
      </c>
      <c r="E716" s="19" t="str">
        <f>VLOOKUP(C716,[1]Bestellnr.!$A$1:$B$174,2,0)</f>
        <v>000006</v>
      </c>
      <c r="F716" s="20" t="str">
        <f t="shared" si="373"/>
        <v>N   101 064 02</v>
      </c>
      <c r="G716" s="21">
        <v>970411000</v>
      </c>
      <c r="H716" s="17">
        <f t="shared" si="374"/>
        <v>2.3650000000000001E-2</v>
      </c>
      <c r="I716" s="20"/>
      <c r="J716" s="17">
        <f t="shared" si="375"/>
        <v>550</v>
      </c>
      <c r="K716" s="17">
        <f t="shared" si="376"/>
        <v>0</v>
      </c>
      <c r="L716" s="22">
        <v>10</v>
      </c>
      <c r="M716" s="22">
        <v>30</v>
      </c>
      <c r="N716" s="22">
        <v>111444</v>
      </c>
      <c r="O716" s="22" t="str">
        <f t="shared" si="377"/>
        <v>001006</v>
      </c>
      <c r="P716" s="22">
        <f t="shared" si="378"/>
        <v>34</v>
      </c>
      <c r="Q716" s="22"/>
      <c r="R716" s="23" t="s">
        <v>153</v>
      </c>
      <c r="S716" s="22">
        <f t="shared" si="379"/>
        <v>0.56999999999999995</v>
      </c>
      <c r="T716" s="24">
        <f t="shared" si="380"/>
        <v>0</v>
      </c>
      <c r="U716" s="25">
        <f t="shared" si="381"/>
        <v>2</v>
      </c>
      <c r="V716" s="26" t="str">
        <f t="shared" si="382"/>
        <v/>
      </c>
    </row>
    <row r="717" spans="1:22" ht="48.2" customHeight="1" x14ac:dyDescent="0.25">
      <c r="A717" s="17" t="str">
        <f>VLOOKUP(C717,[1]Werke!$A$1:$C$168,3,0)</f>
        <v>K3</v>
      </c>
      <c r="B717" s="17">
        <f>VLOOKUP(C717,[1]Werke!$A$1:$C$168,2,0)</f>
        <v>501</v>
      </c>
      <c r="C717" s="18">
        <v>15501</v>
      </c>
      <c r="D717" s="17">
        <f>VLOOKUP(C717,[1]Maliteslimalan!$A$1:$B$210,2,0)</f>
        <v>8000012800</v>
      </c>
      <c r="E717" s="19">
        <v>6</v>
      </c>
      <c r="F717" s="20" t="str">
        <f t="shared" si="373"/>
        <v>N   101 064 02</v>
      </c>
      <c r="G717" s="21">
        <v>970411000</v>
      </c>
      <c r="H717" s="17">
        <f t="shared" si="374"/>
        <v>2.3650000000000001E-2</v>
      </c>
      <c r="I717" s="20"/>
      <c r="J717" s="17">
        <f t="shared" si="375"/>
        <v>550</v>
      </c>
      <c r="K717" s="17">
        <f t="shared" si="376"/>
        <v>0</v>
      </c>
      <c r="L717" s="22">
        <v>10</v>
      </c>
      <c r="M717" s="22">
        <v>30</v>
      </c>
      <c r="N717" s="22">
        <v>111444</v>
      </c>
      <c r="O717" s="22" t="str">
        <f t="shared" si="377"/>
        <v>001006</v>
      </c>
      <c r="P717" s="22">
        <f t="shared" si="378"/>
        <v>34</v>
      </c>
      <c r="Q717" s="22"/>
      <c r="R717" s="23" t="s">
        <v>153</v>
      </c>
      <c r="S717" s="22">
        <f t="shared" si="379"/>
        <v>0.56999999999999995</v>
      </c>
      <c r="T717" s="24">
        <f t="shared" si="380"/>
        <v>0</v>
      </c>
      <c r="U717" s="25">
        <f t="shared" si="381"/>
        <v>2</v>
      </c>
      <c r="V717" s="26" t="str">
        <f t="shared" si="382"/>
        <v/>
      </c>
    </row>
    <row r="718" spans="1:22" ht="48.2" customHeight="1" x14ac:dyDescent="0.25">
      <c r="A718" s="17" t="str">
        <f>VLOOKUP(C718,[1]Werke!$A$1:$C$168,3,0)</f>
        <v>LD</v>
      </c>
      <c r="B718" s="17" t="str">
        <f>VLOOKUP(C718,[1]Werke!$A$1:$C$168,2,0)</f>
        <v>SLD</v>
      </c>
      <c r="C718" s="18">
        <v>83630</v>
      </c>
      <c r="D718" s="17" t="str">
        <f>VLOOKUP(C718,[1]Maliteslimalan!$A$1:$B$210,2,0)</f>
        <v>8000012862</v>
      </c>
      <c r="E718" s="19" t="str">
        <f>VLOOKUP(C718,[1]Bestellnr.!$A$1:$B$174,2,0)</f>
        <v>000006</v>
      </c>
      <c r="F718" s="20" t="str">
        <f t="shared" si="373"/>
        <v>N   101 064 02</v>
      </c>
      <c r="G718" s="21">
        <v>970411000</v>
      </c>
      <c r="H718" s="17">
        <f t="shared" si="374"/>
        <v>2.3650000000000001E-2</v>
      </c>
      <c r="I718" s="20"/>
      <c r="J718" s="17">
        <f t="shared" si="375"/>
        <v>550</v>
      </c>
      <c r="K718" s="17">
        <f t="shared" si="376"/>
        <v>0</v>
      </c>
      <c r="L718" s="22">
        <v>10</v>
      </c>
      <c r="M718" s="22">
        <v>30</v>
      </c>
      <c r="N718" s="22">
        <v>111444</v>
      </c>
      <c r="O718" s="22" t="str">
        <f t="shared" si="377"/>
        <v>001006</v>
      </c>
      <c r="P718" s="22">
        <f t="shared" si="378"/>
        <v>34</v>
      </c>
      <c r="Q718" s="22"/>
      <c r="R718" s="23" t="s">
        <v>153</v>
      </c>
      <c r="S718" s="22">
        <f t="shared" si="379"/>
        <v>0.56999999999999995</v>
      </c>
      <c r="T718" s="24">
        <f t="shared" si="380"/>
        <v>0</v>
      </c>
      <c r="U718" s="25">
        <f t="shared" si="381"/>
        <v>2</v>
      </c>
      <c r="V718" s="26" t="str">
        <f t="shared" si="382"/>
        <v/>
      </c>
    </row>
    <row r="719" spans="1:22" ht="48.2" customHeight="1" x14ac:dyDescent="0.25">
      <c r="A719" s="17">
        <f>VLOOKUP(C719,[1]Werke!$A$1:$C$168,3,0)</f>
        <v>24</v>
      </c>
      <c r="B719" s="17" t="str">
        <f>VLOOKUP(C719,[1]Werke!$A$1:$C$168,2,0)</f>
        <v>CKV</v>
      </c>
      <c r="C719" s="18" t="s">
        <v>243</v>
      </c>
      <c r="D719" s="17" t="str">
        <f>VLOOKUP(C719,[1]Maliteslimalan!$A$1:$B$210,2,0)</f>
        <v>8000013217</v>
      </c>
      <c r="E719" s="19" t="str">
        <f>VLOOKUP(C719,[1]Bestellnr.!$A$1:$B$174,2,0)</f>
        <v>000006</v>
      </c>
      <c r="F719" s="20" t="str">
        <f t="shared" si="373"/>
        <v>N   101 064 02</v>
      </c>
      <c r="G719" s="21">
        <v>970411000</v>
      </c>
      <c r="H719" s="17">
        <f t="shared" si="374"/>
        <v>2.3650000000000001E-2</v>
      </c>
      <c r="I719" s="20"/>
      <c r="J719" s="17">
        <f t="shared" si="375"/>
        <v>550</v>
      </c>
      <c r="K719" s="17">
        <f t="shared" si="376"/>
        <v>0</v>
      </c>
      <c r="L719" s="22">
        <v>10</v>
      </c>
      <c r="M719" s="22">
        <v>30</v>
      </c>
      <c r="N719" s="22">
        <v>111444</v>
      </c>
      <c r="O719" s="22" t="str">
        <f t="shared" si="377"/>
        <v>001006</v>
      </c>
      <c r="P719" s="22">
        <f t="shared" si="378"/>
        <v>34</v>
      </c>
      <c r="Q719" s="22"/>
      <c r="R719" s="23" t="s">
        <v>153</v>
      </c>
      <c r="S719" s="22">
        <f t="shared" si="379"/>
        <v>0.56999999999999995</v>
      </c>
      <c r="T719" s="24">
        <f t="shared" si="380"/>
        <v>0</v>
      </c>
      <c r="U719" s="25">
        <f t="shared" si="381"/>
        <v>2</v>
      </c>
      <c r="V719" s="26" t="str">
        <f t="shared" si="382"/>
        <v/>
      </c>
    </row>
    <row r="720" spans="1:22" ht="48.2" customHeight="1" x14ac:dyDescent="0.25">
      <c r="A720" s="17">
        <f>VLOOKUP(C720,[1]Werke!$A$1:$C$168,3,0)</f>
        <v>24</v>
      </c>
      <c r="B720" s="17" t="str">
        <f>VLOOKUP(C720,[1]Werke!$A$1:$C$168,2,0)</f>
        <v>CKS</v>
      </c>
      <c r="C720" s="18" t="s">
        <v>245</v>
      </c>
      <c r="D720" s="17" t="str">
        <f>VLOOKUP(C720,[1]Maliteslimalan!$A$1:$B$210,2,0)</f>
        <v>8000012647</v>
      </c>
      <c r="E720" s="19" t="str">
        <f>VLOOKUP(C720,[1]Bestellnr.!$A$1:$B$174,2,0)</f>
        <v>000006</v>
      </c>
      <c r="F720" s="20" t="str">
        <f t="shared" si="373"/>
        <v>N   101 064 02</v>
      </c>
      <c r="G720" s="21">
        <v>970411000</v>
      </c>
      <c r="H720" s="17">
        <f t="shared" si="374"/>
        <v>2.3650000000000001E-2</v>
      </c>
      <c r="I720" s="20"/>
      <c r="J720" s="17">
        <f t="shared" si="375"/>
        <v>550</v>
      </c>
      <c r="K720" s="17">
        <f t="shared" si="376"/>
        <v>0</v>
      </c>
      <c r="L720" s="22">
        <v>10</v>
      </c>
      <c r="M720" s="22">
        <v>30</v>
      </c>
      <c r="N720" s="22">
        <v>111444</v>
      </c>
      <c r="O720" s="22" t="str">
        <f t="shared" si="377"/>
        <v>001006</v>
      </c>
      <c r="P720" s="22">
        <f t="shared" si="378"/>
        <v>34</v>
      </c>
      <c r="Q720" s="22"/>
      <c r="R720" s="23" t="s">
        <v>153</v>
      </c>
      <c r="S720" s="22">
        <f t="shared" si="379"/>
        <v>0.56999999999999995</v>
      </c>
      <c r="T720" s="24">
        <f t="shared" si="380"/>
        <v>0</v>
      </c>
      <c r="U720" s="25">
        <f t="shared" si="381"/>
        <v>2</v>
      </c>
      <c r="V720" s="26" t="str">
        <f t="shared" si="382"/>
        <v/>
      </c>
    </row>
    <row r="721" spans="1:22" ht="48.2" customHeight="1" x14ac:dyDescent="0.25">
      <c r="A721" s="17" t="str">
        <f>VLOOKUP(C721,[1]Werke!$A$1:$C$168,3,0)</f>
        <v>HT</v>
      </c>
      <c r="B721" s="17">
        <f>VLOOKUP(C721,[1]Werke!$A$1:$C$168,2,0)</f>
        <v>34</v>
      </c>
      <c r="C721" s="18">
        <v>80245</v>
      </c>
      <c r="D721" s="17">
        <f>VLOOKUP(C721,[1]Maliteslimalan!$A$1:$B$210,2,0)</f>
        <v>8000012604</v>
      </c>
      <c r="E721" s="19">
        <v>6</v>
      </c>
      <c r="F721" s="20" t="str">
        <f t="shared" si="373"/>
        <v>N   101 064 02</v>
      </c>
      <c r="G721" s="21">
        <v>970411000</v>
      </c>
      <c r="H721" s="17">
        <f t="shared" si="374"/>
        <v>2.3650000000000001E-2</v>
      </c>
      <c r="I721" s="20"/>
      <c r="J721" s="17">
        <f t="shared" si="375"/>
        <v>550</v>
      </c>
      <c r="K721" s="17">
        <f t="shared" si="376"/>
        <v>0</v>
      </c>
      <c r="L721" s="22">
        <v>20</v>
      </c>
      <c r="M721" s="22">
        <v>60</v>
      </c>
      <c r="N721" s="22" t="s">
        <v>155</v>
      </c>
      <c r="O721" s="22" t="str">
        <f t="shared" si="377"/>
        <v>001210</v>
      </c>
      <c r="P721" s="22">
        <f t="shared" si="378"/>
        <v>55</v>
      </c>
      <c r="Q721" s="22"/>
      <c r="R721" s="23" t="s">
        <v>153</v>
      </c>
      <c r="S721" s="22">
        <f t="shared" si="379"/>
        <v>0.56999999999999995</v>
      </c>
      <c r="T721" s="24">
        <f t="shared" si="380"/>
        <v>0</v>
      </c>
      <c r="U721" s="25">
        <f t="shared" si="381"/>
        <v>2</v>
      </c>
      <c r="V721" s="26" t="str">
        <f t="shared" si="382"/>
        <v/>
      </c>
    </row>
    <row r="722" spans="1:22" ht="48.2" customHeight="1" x14ac:dyDescent="0.25">
      <c r="A722" s="17" t="str">
        <f>VLOOKUP(C722,[1]Werke!$A$1:$C$168,3,0)</f>
        <v>3T</v>
      </c>
      <c r="B722" s="17" t="str">
        <f>VLOOKUP(C722,[1]Werke!$A$1:$C$168,2,0)</f>
        <v>BZ5</v>
      </c>
      <c r="C722" s="18" t="s">
        <v>242</v>
      </c>
      <c r="D722" s="17">
        <f>VLOOKUP(C722,[1]Maliteslimalan!$A$1:$B$210,2,0)</f>
        <v>8000012711</v>
      </c>
      <c r="E722" s="19">
        <v>6</v>
      </c>
      <c r="F722" s="20" t="str">
        <f t="shared" si="373"/>
        <v>N   101 064 02</v>
      </c>
      <c r="G722" s="21">
        <v>970411000</v>
      </c>
      <c r="H722" s="17">
        <f t="shared" si="374"/>
        <v>2.3650000000000001E-2</v>
      </c>
      <c r="I722" s="20"/>
      <c r="J722" s="17">
        <f t="shared" si="375"/>
        <v>550</v>
      </c>
      <c r="K722" s="17">
        <f t="shared" si="376"/>
        <v>0</v>
      </c>
      <c r="L722" s="22">
        <v>10</v>
      </c>
      <c r="M722" s="22">
        <v>30</v>
      </c>
      <c r="N722" s="22">
        <v>111444</v>
      </c>
      <c r="O722" s="22" t="str">
        <f t="shared" si="377"/>
        <v>001006</v>
      </c>
      <c r="P722" s="22">
        <f t="shared" si="378"/>
        <v>34</v>
      </c>
      <c r="Q722" s="22"/>
      <c r="R722" s="23" t="s">
        <v>153</v>
      </c>
      <c r="S722" s="22">
        <f t="shared" si="379"/>
        <v>0.56999999999999995</v>
      </c>
      <c r="T722" s="24">
        <f t="shared" si="380"/>
        <v>0</v>
      </c>
      <c r="U722" s="25">
        <f t="shared" si="381"/>
        <v>2</v>
      </c>
      <c r="V722" s="26" t="str">
        <f t="shared" si="382"/>
        <v/>
      </c>
    </row>
    <row r="723" spans="1:22" ht="48.2" customHeight="1" x14ac:dyDescent="0.25">
      <c r="A723" s="17"/>
      <c r="B723" s="17"/>
      <c r="C723" s="18"/>
      <c r="D723" s="17"/>
      <c r="E723" s="19"/>
      <c r="F723" s="20"/>
      <c r="G723" s="21"/>
      <c r="H723" s="17"/>
      <c r="I723" s="20"/>
      <c r="J723" s="17"/>
      <c r="K723" s="17"/>
      <c r="L723" s="22"/>
      <c r="M723" s="22"/>
      <c r="N723" s="22"/>
      <c r="O723" s="22"/>
      <c r="P723" s="22"/>
      <c r="Q723" s="22"/>
      <c r="R723" s="23"/>
      <c r="S723" s="22"/>
      <c r="T723" s="24"/>
      <c r="U723" s="25"/>
    </row>
    <row r="724" spans="1:22" ht="48.2" customHeight="1" x14ac:dyDescent="0.25">
      <c r="A724" s="17">
        <f>VLOOKUP(C724,[1]Werke!$A$1:$C$168,3,0)</f>
        <v>21</v>
      </c>
      <c r="B724" s="17" t="str">
        <f>VLOOKUP(C724,[1]Werke!$A$1:$C$168,2,0)</f>
        <v>GZD</v>
      </c>
      <c r="C724" s="18" t="s">
        <v>223</v>
      </c>
      <c r="D724" s="17" t="str">
        <f>VLOOKUP(C724,[1]Maliteslimalan!$A$1:$B$210,2,0)</f>
        <v>8000012572</v>
      </c>
      <c r="E724" s="19" t="str">
        <f>VLOOKUP(C724,[1]Bestellnr.!$A$1:$B$174,2,0)</f>
        <v>000006</v>
      </c>
      <c r="F724" s="20" t="str">
        <f t="shared" ref="F724:F729" si="383">VLOOKUP(G724,$U$1:$V$1730,2,0)</f>
        <v>WHT 009 642</v>
      </c>
      <c r="G724" s="21">
        <v>100197700</v>
      </c>
      <c r="H724" s="17">
        <f t="shared" ref="H724:H729" si="384">VLOOKUP(G724,Z$2:AA$1905,2,FALSE)</f>
        <v>9.0469999999999995E-2</v>
      </c>
      <c r="I724" s="20"/>
      <c r="J724" s="17">
        <f>VLOOKUP(G724,W$2:X$1905,2,FALSE)</f>
        <v>100</v>
      </c>
      <c r="K724" s="17">
        <f t="shared" ref="K724:K729" si="385">I724/J724</f>
        <v>0</v>
      </c>
      <c r="L724" s="22">
        <v>20</v>
      </c>
      <c r="M724" s="22">
        <v>60</v>
      </c>
      <c r="N724" s="22" t="s">
        <v>155</v>
      </c>
      <c r="O724" s="22" t="str">
        <f t="shared" ref="O724:O729" si="386">VLOOKUP(N724,$AL$1285:$AM$1310,2,FALSE)</f>
        <v>001210</v>
      </c>
      <c r="P724" s="22">
        <f t="shared" ref="P724:P729" si="387">VLOOKUP(N724,AC$2:AD$1905,2,FALSE)</f>
        <v>55</v>
      </c>
      <c r="Q724" s="22"/>
      <c r="R724" s="23" t="s">
        <v>153</v>
      </c>
      <c r="S724" s="22">
        <f t="shared" ref="S724:S729" si="388">VLOOKUP(R724,AC$2:AD$1905,2,FALSE)</f>
        <v>0.56999999999999995</v>
      </c>
      <c r="T724" s="24">
        <f t="shared" ref="T724:T729" si="389">(H724*I724)+P724*Q724+S724*K724</f>
        <v>0</v>
      </c>
      <c r="U724" s="25">
        <f t="shared" ref="U724:U729" si="390">IF(TRIM(N724&amp;"")="111444",
    IF(ROUNDUP(MAX(0,K724-(MAX(1,Q724)-1)*10)/10,0)=1,3,2),
    IF(TRIM(N724&amp;"")="VWPAL",
        IF(TRIM(R724&amp;"")="004147",1,2),
        ""
    )
)</f>
        <v>2</v>
      </c>
      <c r="V724" s="26" t="str">
        <f t="shared" ref="V724:V729" si="391">IF(OR(TRIM(N724&amp;"")="111444",TRIM(N724&amp;"")="VWPAL"),
    IF(K724&lt;=0,"",
        IF(
            MIN(3,ROUNDUP(MAX(0,K724-(MAX(1,Q724)-1)*IF(TRIM(N724&amp;"")="111444",10,20))/IF(TRIM(N724&amp;"")="111444",10,20),0))=1,
            300,
            IF(
                MIN(3,ROUNDUP(MAX(0,K724-(MAX(1,Q724)-1)*IF(TRIM(N724&amp;"")="111444",10,20))/IF(TRIM(N724&amp;"")="111444",10,20),0))=2,
                450,
                600
            )
        )
    ),
    ""
)</f>
        <v/>
      </c>
    </row>
    <row r="725" spans="1:22" ht="48.2" customHeight="1" x14ac:dyDescent="0.25">
      <c r="A725" s="17" t="str">
        <f>VLOOKUP(C725,[1]Werke!$A$1:$C$168,3,0)</f>
        <v>3J</v>
      </c>
      <c r="B725" s="17" t="str">
        <f>VLOOKUP(C725,[1]Werke!$A$1:$C$168,2,0)</f>
        <v>EP8</v>
      </c>
      <c r="C725" s="18" t="s">
        <v>293</v>
      </c>
      <c r="D725" s="17">
        <f>VLOOKUP(C725,[1]Maliteslimalan!$A$1:$B$210,2,0)</f>
        <v>8000018336</v>
      </c>
      <c r="E725" s="19">
        <v>6</v>
      </c>
      <c r="F725" s="20" t="str">
        <f t="shared" si="383"/>
        <v>WHT 009 642</v>
      </c>
      <c r="G725" s="21">
        <v>100197700</v>
      </c>
      <c r="H725" s="17">
        <f t="shared" si="384"/>
        <v>9.0469999999999995E-2</v>
      </c>
      <c r="I725" s="20"/>
      <c r="J725" s="17">
        <f>VLOOKUP(G725,W$2:X$1905,2,FALSE)</f>
        <v>100</v>
      </c>
      <c r="K725" s="17">
        <f t="shared" si="385"/>
        <v>0</v>
      </c>
      <c r="L725" s="22">
        <v>10</v>
      </c>
      <c r="M725" s="22">
        <v>30</v>
      </c>
      <c r="N725" s="22">
        <v>111444</v>
      </c>
      <c r="O725" s="22" t="str">
        <f t="shared" si="386"/>
        <v>001006</v>
      </c>
      <c r="P725" s="22">
        <f t="shared" si="387"/>
        <v>34</v>
      </c>
      <c r="Q725" s="22"/>
      <c r="R725" s="23" t="s">
        <v>153</v>
      </c>
      <c r="S725" s="22">
        <f t="shared" si="388"/>
        <v>0.56999999999999995</v>
      </c>
      <c r="T725" s="24">
        <f t="shared" si="389"/>
        <v>0</v>
      </c>
      <c r="U725" s="25">
        <f t="shared" si="390"/>
        <v>2</v>
      </c>
      <c r="V725" s="26" t="str">
        <f t="shared" si="391"/>
        <v/>
      </c>
    </row>
    <row r="726" spans="1:22" ht="48.2" customHeight="1" x14ac:dyDescent="0.25">
      <c r="A726" s="17">
        <f>VLOOKUP(C726,[1]Werke!$A$1:$C$168,3,0)</f>
        <v>24</v>
      </c>
      <c r="B726" s="17" t="str">
        <f>VLOOKUP(C726,[1]Werke!$A$1:$C$168,2,0)</f>
        <v>CKH</v>
      </c>
      <c r="C726" s="18" t="s">
        <v>224</v>
      </c>
      <c r="D726" s="17">
        <f>VLOOKUP(C726,[1]Maliteslimalan!$A$1:$B$210,2,0)</f>
        <v>8000013551</v>
      </c>
      <c r="E726" s="19">
        <v>6</v>
      </c>
      <c r="F726" s="20" t="str">
        <f t="shared" si="383"/>
        <v>WHT 009 642</v>
      </c>
      <c r="G726" s="21">
        <v>100197700</v>
      </c>
      <c r="H726" s="17">
        <f t="shared" si="384"/>
        <v>9.0469999999999995E-2</v>
      </c>
      <c r="I726" s="20"/>
      <c r="J726" s="17">
        <f>VLOOKUP(G726,W$2:X$1905,2,FALSE)</f>
        <v>100</v>
      </c>
      <c r="K726" s="17">
        <f t="shared" si="385"/>
        <v>0</v>
      </c>
      <c r="L726" s="22">
        <v>10</v>
      </c>
      <c r="M726" s="22">
        <v>30</v>
      </c>
      <c r="N726" s="22">
        <v>111444</v>
      </c>
      <c r="O726" s="22" t="str">
        <f t="shared" si="386"/>
        <v>001006</v>
      </c>
      <c r="P726" s="22">
        <f t="shared" si="387"/>
        <v>34</v>
      </c>
      <c r="Q726" s="22"/>
      <c r="R726" s="23" t="s">
        <v>153</v>
      </c>
      <c r="S726" s="22">
        <f t="shared" si="388"/>
        <v>0.56999999999999995</v>
      </c>
      <c r="T726" s="24">
        <f t="shared" si="389"/>
        <v>0</v>
      </c>
      <c r="U726" s="25">
        <f t="shared" si="390"/>
        <v>2</v>
      </c>
      <c r="V726" s="26" t="str">
        <f t="shared" si="391"/>
        <v/>
      </c>
    </row>
    <row r="727" spans="1:22" ht="48.2" customHeight="1" x14ac:dyDescent="0.25">
      <c r="A727" s="17" t="str">
        <f>VLOOKUP(C727,[1]Werke!$A$1:$C$168,3,0)</f>
        <v>3U</v>
      </c>
      <c r="B727" s="17" t="str">
        <f>VLOOKUP(C727,[1]Werke!$A$1:$C$168,2,0)</f>
        <v>BZ2</v>
      </c>
      <c r="C727" s="18" t="s">
        <v>235</v>
      </c>
      <c r="D727" s="17" t="str">
        <f>VLOOKUP(C727,[1]Maliteslimalan!$A$1:$B$210,2,0)</f>
        <v>8000012860</v>
      </c>
      <c r="E727" s="19" t="str">
        <f>VLOOKUP(C727,[1]Bestellnr.!$A$1:$B$174,2,0)</f>
        <v>000055</v>
      </c>
      <c r="F727" s="20" t="str">
        <f t="shared" si="383"/>
        <v>WHT 009 642</v>
      </c>
      <c r="G727" s="21">
        <v>100197700</v>
      </c>
      <c r="H727" s="17">
        <f t="shared" si="384"/>
        <v>9.0469999999999995E-2</v>
      </c>
      <c r="I727" s="20"/>
      <c r="J727" s="17">
        <f>VLOOKUP(G727,W$2:X$1905,2,FALSE)</f>
        <v>100</v>
      </c>
      <c r="K727" s="17">
        <f t="shared" si="385"/>
        <v>0</v>
      </c>
      <c r="L727" s="22">
        <v>10</v>
      </c>
      <c r="M727" s="22">
        <v>30</v>
      </c>
      <c r="N727" s="22">
        <v>111444</v>
      </c>
      <c r="O727" s="22" t="str">
        <f t="shared" si="386"/>
        <v>001006</v>
      </c>
      <c r="P727" s="22">
        <f t="shared" si="387"/>
        <v>34</v>
      </c>
      <c r="Q727" s="22"/>
      <c r="R727" s="23" t="s">
        <v>153</v>
      </c>
      <c r="S727" s="22">
        <f t="shared" si="388"/>
        <v>0.56999999999999995</v>
      </c>
      <c r="T727" s="24">
        <f t="shared" si="389"/>
        <v>0</v>
      </c>
      <c r="U727" s="25">
        <f t="shared" si="390"/>
        <v>2</v>
      </c>
      <c r="V727" s="26" t="str">
        <f t="shared" si="391"/>
        <v/>
      </c>
    </row>
    <row r="728" spans="1:22" ht="48.2" customHeight="1" x14ac:dyDescent="0.25">
      <c r="A728" s="17">
        <f>VLOOKUP(C728,[1]Werke!$A$1:$C$168,3,0)</f>
        <v>37</v>
      </c>
      <c r="B728" s="17" t="str">
        <f>VLOOKUP(C728,[1]Werke!$A$1:$C$168,2,0)</f>
        <v>AKL</v>
      </c>
      <c r="C728" s="18" t="s">
        <v>232</v>
      </c>
      <c r="D728" s="17" t="str">
        <f>VLOOKUP(C728,[1]Maliteslimalan!$A$1:$B$210,2,0)</f>
        <v>8000012562</v>
      </c>
      <c r="E728" s="19" t="str">
        <f>VLOOKUP(C728,[1]Bestellnr.!$A$1:$B$174,2,0)</f>
        <v>000006</v>
      </c>
      <c r="F728" s="20" t="str">
        <f t="shared" si="383"/>
        <v>WHT 009 642</v>
      </c>
      <c r="G728" s="21">
        <v>100197700</v>
      </c>
      <c r="H728" s="17">
        <f t="shared" si="384"/>
        <v>9.0469999999999995E-2</v>
      </c>
      <c r="I728" s="20"/>
      <c r="J728" s="17">
        <f>VLOOKUP(G728,W$2:X$1905,2,FALSE)</f>
        <v>100</v>
      </c>
      <c r="K728" s="17">
        <f t="shared" si="385"/>
        <v>0</v>
      </c>
      <c r="L728" s="22">
        <v>10</v>
      </c>
      <c r="M728" s="22">
        <v>30</v>
      </c>
      <c r="N728" s="22">
        <v>111444</v>
      </c>
      <c r="O728" s="22" t="str">
        <f t="shared" si="386"/>
        <v>001006</v>
      </c>
      <c r="P728" s="22">
        <f t="shared" si="387"/>
        <v>34</v>
      </c>
      <c r="Q728" s="22"/>
      <c r="R728" s="23" t="s">
        <v>153</v>
      </c>
      <c r="S728" s="22">
        <f t="shared" si="388"/>
        <v>0.56999999999999995</v>
      </c>
      <c r="T728" s="24">
        <f t="shared" si="389"/>
        <v>0</v>
      </c>
      <c r="U728" s="25">
        <f t="shared" si="390"/>
        <v>2</v>
      </c>
      <c r="V728" s="26" t="str">
        <f t="shared" si="391"/>
        <v/>
      </c>
    </row>
    <row r="729" spans="1:22" ht="48.2" customHeight="1" x14ac:dyDescent="0.25">
      <c r="A729" s="17">
        <f>VLOOKUP(C729,[1]Werke!$A$1:$C$168,3,0)</f>
        <v>14</v>
      </c>
      <c r="B729" s="17" t="str">
        <f>VLOOKUP(C729,[1]Werke!$A$1:$C$168,2,0)</f>
        <v>D85</v>
      </c>
      <c r="C729" s="18" t="s">
        <v>239</v>
      </c>
      <c r="D729" s="17" t="str">
        <f>VLOOKUP(C729,[1]Maliteslimalan!$A$1:$B$210,2,0)</f>
        <v>8000012682</v>
      </c>
      <c r="E729" s="19">
        <f>VLOOKUP(C729,[1]Bestellnr.!$A$1:$B$174,2,0)</f>
        <v>0</v>
      </c>
      <c r="F729" s="20" t="str">
        <f t="shared" si="383"/>
        <v>WHT 009 642</v>
      </c>
      <c r="G729" s="21">
        <v>100197700</v>
      </c>
      <c r="H729" s="17">
        <f t="shared" si="384"/>
        <v>9.0469999999999995E-2</v>
      </c>
      <c r="I729" s="20"/>
      <c r="J729" s="17">
        <v>100</v>
      </c>
      <c r="K729" s="17">
        <f t="shared" si="385"/>
        <v>0</v>
      </c>
      <c r="L729" s="22">
        <v>20</v>
      </c>
      <c r="M729" s="22">
        <v>20</v>
      </c>
      <c r="N729" s="22" t="s">
        <v>155</v>
      </c>
      <c r="O729" s="22" t="str">
        <f t="shared" si="386"/>
        <v>001210</v>
      </c>
      <c r="P729" s="22">
        <f t="shared" si="387"/>
        <v>55</v>
      </c>
      <c r="Q729" s="22"/>
      <c r="R729" s="23" t="s">
        <v>153</v>
      </c>
      <c r="S729" s="22">
        <f t="shared" si="388"/>
        <v>0.56999999999999995</v>
      </c>
      <c r="T729" s="24">
        <f t="shared" si="389"/>
        <v>0</v>
      </c>
      <c r="U729" s="25">
        <f t="shared" si="390"/>
        <v>2</v>
      </c>
      <c r="V729" s="26" t="str">
        <f t="shared" si="391"/>
        <v/>
      </c>
    </row>
    <row r="730" spans="1:22" ht="48.2" customHeight="1" x14ac:dyDescent="0.25">
      <c r="A730" s="17"/>
      <c r="B730" s="17"/>
      <c r="C730" s="18"/>
      <c r="D730" s="17"/>
      <c r="E730" s="19"/>
      <c r="F730" s="20"/>
      <c r="G730" s="21"/>
      <c r="H730" s="17"/>
      <c r="I730" s="20"/>
      <c r="J730" s="17"/>
      <c r="K730" s="17"/>
      <c r="L730" s="22"/>
      <c r="M730" s="22"/>
      <c r="N730" s="22"/>
      <c r="O730" s="22"/>
      <c r="P730" s="22"/>
      <c r="Q730" s="22"/>
      <c r="R730" s="23"/>
      <c r="S730" s="22"/>
      <c r="T730" s="24"/>
      <c r="U730" s="25"/>
    </row>
    <row r="731" spans="1:22" ht="48.2" customHeight="1" x14ac:dyDescent="0.25">
      <c r="A731" s="17" t="str">
        <f>VLOOKUP(C731,[1]Werke!$A$1:$C$168,3,0)</f>
        <v>26D</v>
      </c>
      <c r="B731" s="17" t="str">
        <f>VLOOKUP(C731,[1]Werke!$A$1:$C$168,2,0)</f>
        <v>G18</v>
      </c>
      <c r="C731" s="18" t="s">
        <v>257</v>
      </c>
      <c r="D731" s="17" t="str">
        <f>VLOOKUP(C731,[1]Maliteslimalan!$A$1:$B$210,2,0)</f>
        <v>8000012600</v>
      </c>
      <c r="E731" s="19">
        <f>VLOOKUP(C731,[1]Bestellnr.!$A$1:$B$174,2,0)</f>
        <v>0</v>
      </c>
      <c r="F731" s="20" t="str">
        <f>VLOOKUP(G731,$U$1:$V$1730,2,0)</f>
        <v>N   106 730 03</v>
      </c>
      <c r="G731" s="21">
        <v>100288900</v>
      </c>
      <c r="H731" s="17">
        <f>VLOOKUP(G731,Z$2:AA$1905,2,FALSE)</f>
        <v>2.198E-2</v>
      </c>
      <c r="I731" s="20"/>
      <c r="J731" s="17">
        <f>VLOOKUP(G731,W$2:X$1905,2,FALSE)</f>
        <v>600</v>
      </c>
      <c r="K731" s="17">
        <f>I731/J731</f>
        <v>0</v>
      </c>
      <c r="L731" s="22">
        <v>10</v>
      </c>
      <c r="M731" s="22">
        <v>30</v>
      </c>
      <c r="N731" s="22">
        <v>111444</v>
      </c>
      <c r="O731" s="22" t="str">
        <f>VLOOKUP(N731,$AL$1285:$AM$1310,2,FALSE)</f>
        <v>001006</v>
      </c>
      <c r="P731" s="22">
        <f>VLOOKUP(N731,AC$2:AD$1905,2,FALSE)</f>
        <v>34</v>
      </c>
      <c r="Q731" s="22"/>
      <c r="R731" s="23" t="s">
        <v>153</v>
      </c>
      <c r="S731" s="22">
        <f>VLOOKUP(R731,AC$2:AD$1905,2,FALSE)</f>
        <v>0.56999999999999995</v>
      </c>
      <c r="T731" s="24">
        <f>(H731*I731)+P731*Q731+S731*K731</f>
        <v>0</v>
      </c>
      <c r="U731" s="25">
        <f>IF(TRIM(N731&amp;"")="111444",
    IF(ROUNDUP(MAX(0,K731-(MAX(1,Q731)-1)*10)/10,0)=1,3,2),
    IF(TRIM(N731&amp;"")="VWPAL",
        IF(TRIM(R731&amp;"")="004147",1,2),
        ""
    )
)</f>
        <v>2</v>
      </c>
      <c r="V731" s="26" t="str">
        <f>IF(OR(TRIM(N731&amp;"")="111444",TRIM(N731&amp;"")="VWPAL"),
    IF(K731&lt;=0,"",
        IF(
            MIN(3,ROUNDUP(MAX(0,K731-(MAX(1,Q731)-1)*IF(TRIM(N731&amp;"")="111444",10,20))/IF(TRIM(N731&amp;"")="111444",10,20),0))=1,
            300,
            IF(
                MIN(3,ROUNDUP(MAX(0,K731-(MAX(1,Q731)-1)*IF(TRIM(N731&amp;"")="111444",10,20))/IF(TRIM(N731&amp;"")="111444",10,20),0))=2,
                450,
                600
            )
        )
    ),
    ""
)</f>
        <v/>
      </c>
    </row>
    <row r="732" spans="1:22" ht="48.2" customHeight="1" x14ac:dyDescent="0.25">
      <c r="A732" s="17">
        <f>VLOOKUP(C732,[1]Werke!$A$1:$C$168,3,0)</f>
        <v>14</v>
      </c>
      <c r="B732" s="17" t="str">
        <f>VLOOKUP(C732,[1]Werke!$A$1:$C$168,2,0)</f>
        <v>D72</v>
      </c>
      <c r="C732" s="18" t="s">
        <v>220</v>
      </c>
      <c r="D732" s="17" t="str">
        <f>VLOOKUP(C732,[1]Maliteslimalan!$A$1:$B$210,2,0)</f>
        <v>8000013493</v>
      </c>
      <c r="E732" s="19">
        <f>VLOOKUP(C732,[1]Bestellnr.!$A$1:$B$174,2,0)</f>
        <v>0</v>
      </c>
      <c r="F732" s="20" t="str">
        <f>VLOOKUP(G732,$U$1:$V$1730,2,0)</f>
        <v>N   106 730 03</v>
      </c>
      <c r="G732" s="21">
        <v>100288900</v>
      </c>
      <c r="H732" s="17">
        <f>VLOOKUP(G732,Z$2:AA$1905,2,FALSE)</f>
        <v>2.198E-2</v>
      </c>
      <c r="I732" s="20"/>
      <c r="J732" s="17">
        <v>600</v>
      </c>
      <c r="K732" s="17">
        <f>I732/J732</f>
        <v>0</v>
      </c>
      <c r="L732" s="22">
        <v>20</v>
      </c>
      <c r="M732" s="22">
        <v>60</v>
      </c>
      <c r="N732" s="22" t="s">
        <v>155</v>
      </c>
      <c r="O732" s="22" t="str">
        <f>VLOOKUP(N732,$AL$1285:$AM$1310,2,FALSE)</f>
        <v>001210</v>
      </c>
      <c r="P732" s="22">
        <f>VLOOKUP(N732,AC$2:AD$1905,2,FALSE)</f>
        <v>55</v>
      </c>
      <c r="Q732" s="22"/>
      <c r="R732" s="23" t="s">
        <v>153</v>
      </c>
      <c r="S732" s="22">
        <f>VLOOKUP(R732,AC$2:AD$1905,2,FALSE)</f>
        <v>0.56999999999999995</v>
      </c>
      <c r="T732" s="24">
        <f>(H732*I732)+P732*Q732+S732*K732</f>
        <v>0</v>
      </c>
      <c r="U732" s="25">
        <f>IF(TRIM(N732&amp;"")="111444",
    IF(ROUNDUP(MAX(0,K732-(MAX(1,Q732)-1)*10)/10,0)=1,3,2),
    IF(TRIM(N732&amp;"")="VWPAL",
        IF(TRIM(R732&amp;"")="004147",1,2),
        ""
    )
)</f>
        <v>2</v>
      </c>
      <c r="V732" s="26" t="str">
        <f>IF(OR(TRIM(N732&amp;"")="111444",TRIM(N732&amp;"")="VWPAL"),
    IF(K732&lt;=0,"",
        IF(
            MIN(3,ROUNDUP(MAX(0,K732-(MAX(1,Q732)-1)*IF(TRIM(N732&amp;"")="111444",10,20))/IF(TRIM(N732&amp;"")="111444",10,20),0))=1,
            300,
            IF(
                MIN(3,ROUNDUP(MAX(0,K732-(MAX(1,Q732)-1)*IF(TRIM(N732&amp;"")="111444",10,20))/IF(TRIM(N732&amp;"")="111444",10,20),0))=2,
                450,
                600
            )
        )
    ),
    ""
)</f>
        <v/>
      </c>
    </row>
    <row r="733" spans="1:22" ht="48.2" customHeight="1" x14ac:dyDescent="0.25">
      <c r="A733" s="17"/>
      <c r="B733" s="17"/>
      <c r="C733" s="18"/>
      <c r="D733" s="17"/>
      <c r="E733" s="19"/>
      <c r="F733" s="20"/>
      <c r="G733" s="21"/>
      <c r="H733" s="17"/>
      <c r="I733" s="20"/>
      <c r="J733" s="17"/>
      <c r="K733" s="17"/>
      <c r="L733" s="22"/>
      <c r="M733" s="22"/>
      <c r="N733" s="22"/>
      <c r="O733" s="22"/>
      <c r="P733" s="22"/>
      <c r="Q733" s="22"/>
      <c r="R733" s="23"/>
      <c r="S733" s="22"/>
      <c r="T733" s="24"/>
      <c r="U733" s="25"/>
    </row>
    <row r="734" spans="1:22" ht="48.2" customHeight="1" x14ac:dyDescent="0.25">
      <c r="A734" s="17" t="str">
        <f>VLOOKUP(C734,[1]Werke!$A$1:$C$168,3,0)</f>
        <v>14S</v>
      </c>
      <c r="B734" s="17" t="str">
        <f>VLOOKUP(C734,[1]Werke!$A$1:$C$168,2,0)</f>
        <v>LZG</v>
      </c>
      <c r="C734" s="18" t="s">
        <v>311</v>
      </c>
      <c r="D734" s="17" t="str">
        <f>VLOOKUP(C734,[1]Maliteslimalan!$A$1:$B$210,2,0)</f>
        <v>8000014767</v>
      </c>
      <c r="E734" s="19" t="str">
        <f>VLOOKUP(C734,[1]Bestellnr.!$A$1:$B$174,2,0)</f>
        <v>000006</v>
      </c>
      <c r="F734" s="20" t="str">
        <f>VLOOKUP(G734,$U$1:$V$1730,2,0)</f>
        <v>N   106 650 03</v>
      </c>
      <c r="G734" s="21">
        <v>100299500</v>
      </c>
      <c r="H734" s="17">
        <f>VLOOKUP(G734,Z$2:AA$1905,2,FALSE)</f>
        <v>1.9369999999999998E-2</v>
      </c>
      <c r="I734" s="20"/>
      <c r="J734" s="17">
        <f>VLOOKUP(G734,W$2:X$1905,2,FALSE)</f>
        <v>500</v>
      </c>
      <c r="K734" s="17">
        <f>I734/J734</f>
        <v>0</v>
      </c>
      <c r="L734" s="22">
        <v>10</v>
      </c>
      <c r="M734" s="22">
        <v>30</v>
      </c>
      <c r="N734" s="22">
        <v>111444</v>
      </c>
      <c r="O734" s="22" t="str">
        <f>VLOOKUP(N734,$AL$1285:$AM$1310,2,FALSE)</f>
        <v>001006</v>
      </c>
      <c r="P734" s="22">
        <f>VLOOKUP(N734,AC$2:AD$1905,2,FALSE)</f>
        <v>34</v>
      </c>
      <c r="Q734" s="22"/>
      <c r="R734" s="23" t="s">
        <v>153</v>
      </c>
      <c r="S734" s="22">
        <f>VLOOKUP(R734,AC$2:AD$1905,2,FALSE)</f>
        <v>0.56999999999999995</v>
      </c>
      <c r="T734" s="24">
        <f>(H734*I734)+P734*Q734+S734*K734</f>
        <v>0</v>
      </c>
      <c r="U734" s="25">
        <f>IF(TRIM(N734&amp;"")="111444",
    IF(ROUNDUP(MAX(0,K734-(MAX(1,Q734)-1)*10)/10,0)=1,3,2),
    IF(TRIM(N734&amp;"")="VWPAL",
        IF(TRIM(R734&amp;"")="004147",1,2),
        ""
    )
)</f>
        <v>2</v>
      </c>
      <c r="V734" s="26" t="str">
        <f>IF(OR(TRIM(N734&amp;"")="111444",TRIM(N734&amp;"")="VWPAL"),
    IF(K734&lt;=0,"",
        IF(
            MIN(3,ROUNDUP(MAX(0,K734-(MAX(1,Q734)-1)*IF(TRIM(N734&amp;"")="111444",10,20))/IF(TRIM(N734&amp;"")="111444",10,20),0))=1,
            300,
            IF(
                MIN(3,ROUNDUP(MAX(0,K734-(MAX(1,Q734)-1)*IF(TRIM(N734&amp;"")="111444",10,20))/IF(TRIM(N734&amp;"")="111444",10,20),0))=2,
                450,
                600
            )
        )
    ),
    ""
)</f>
        <v/>
      </c>
    </row>
    <row r="735" spans="1:22" ht="48.2" customHeight="1" x14ac:dyDescent="0.25">
      <c r="A735" s="17"/>
      <c r="B735" s="17"/>
      <c r="C735" s="18"/>
      <c r="D735" s="17"/>
      <c r="E735" s="19"/>
      <c r="F735" s="20"/>
      <c r="G735" s="21"/>
      <c r="H735" s="17"/>
      <c r="I735" s="20"/>
      <c r="J735" s="17"/>
      <c r="K735" s="17"/>
      <c r="L735" s="22"/>
      <c r="M735" s="22"/>
      <c r="N735" s="22"/>
      <c r="O735" s="22"/>
      <c r="P735" s="22"/>
      <c r="Q735" s="22"/>
      <c r="R735" s="23"/>
      <c r="S735" s="22"/>
      <c r="T735" s="24"/>
      <c r="U735" s="25"/>
    </row>
    <row r="736" spans="1:22" ht="48.2" customHeight="1" x14ac:dyDescent="0.25">
      <c r="A736" s="17">
        <f>VLOOKUP(C736,[1]Werke!$A$1:$C$168,3,0)</f>
        <v>21</v>
      </c>
      <c r="B736" s="17" t="str">
        <f>VLOOKUP(C736,[1]Werke!$A$1:$C$168,2,0)</f>
        <v>GZD</v>
      </c>
      <c r="C736" s="18" t="s">
        <v>223</v>
      </c>
      <c r="D736" s="17" t="str">
        <f>VLOOKUP(C736,[1]Maliteslimalan!$A$1:$B$210,2,0)</f>
        <v>8000012572</v>
      </c>
      <c r="E736" s="19" t="str">
        <f>VLOOKUP(C736,[1]Bestellnr.!$A$1:$B$174,2,0)</f>
        <v>000006</v>
      </c>
      <c r="F736" s="20" t="str">
        <f t="shared" ref="F736:F746" si="392">VLOOKUP(G736,$U$1:$V$1730,2,0)</f>
        <v>N   910 971 02</v>
      </c>
      <c r="G736" s="21">
        <v>100299700</v>
      </c>
      <c r="H736" s="17">
        <f t="shared" ref="H736:H746" si="393">VLOOKUP(G736,Z$2:AA$1905,2,FALSE)</f>
        <v>8.5000000000000006E-3</v>
      </c>
      <c r="I736" s="20"/>
      <c r="J736" s="17">
        <f t="shared" ref="J736:J746" si="394">VLOOKUP(G736,W$2:X$1905,2,FALSE)</f>
        <v>1250</v>
      </c>
      <c r="K736" s="17">
        <f t="shared" ref="K736:K746" si="395">I736/J736</f>
        <v>0</v>
      </c>
      <c r="L736" s="22">
        <v>20</v>
      </c>
      <c r="M736" s="22">
        <v>20</v>
      </c>
      <c r="N736" s="22" t="s">
        <v>155</v>
      </c>
      <c r="O736" s="22" t="str">
        <f t="shared" ref="O736:O746" si="396">VLOOKUP(N736,$AL$1285:$AM$1310,2,FALSE)</f>
        <v>001210</v>
      </c>
      <c r="P736" s="22">
        <f t="shared" ref="P736:P746" si="397">VLOOKUP(N736,AC$2:AD$1905,2,FALSE)</f>
        <v>55</v>
      </c>
      <c r="Q736" s="22"/>
      <c r="R736" s="23" t="s">
        <v>153</v>
      </c>
      <c r="S736" s="22">
        <f t="shared" ref="S736:S746" si="398">VLOOKUP(R736,AC$2:AD$1905,2,FALSE)</f>
        <v>0.56999999999999995</v>
      </c>
      <c r="T736" s="24">
        <f t="shared" ref="T736:T746" si="399">(H736*I736)+P736*Q736+S736*K736</f>
        <v>0</v>
      </c>
      <c r="U736" s="25">
        <f t="shared" ref="U736:U746" si="400">IF(TRIM(N736&amp;"")="111444",
    IF(ROUNDUP(MAX(0,K736-(MAX(1,Q736)-1)*10)/10,0)=1,3,2),
    IF(TRIM(N736&amp;"")="VWPAL",
        IF(TRIM(R736&amp;"")="004147",1,2),
        ""
    )
)</f>
        <v>2</v>
      </c>
      <c r="V736" s="26" t="str">
        <f t="shared" ref="V736:V746" si="401">IF(OR(TRIM(N736&amp;"")="111444",TRIM(N736&amp;"")="VWPAL"),
    IF(K736&lt;=0,"",
        IF(
            MIN(3,ROUNDUP(MAX(0,K736-(MAX(1,Q736)-1)*IF(TRIM(N736&amp;"")="111444",10,20))/IF(TRIM(N736&amp;"")="111444",10,20),0))=1,
            300,
            IF(
                MIN(3,ROUNDUP(MAX(0,K736-(MAX(1,Q736)-1)*IF(TRIM(N736&amp;"")="111444",10,20))/IF(TRIM(N736&amp;"")="111444",10,20),0))=2,
                450,
                600
            )
        )
    ),
    ""
)</f>
        <v/>
      </c>
    </row>
    <row r="737" spans="1:22" ht="48.2" customHeight="1" x14ac:dyDescent="0.25">
      <c r="A737" s="17" t="str">
        <f>VLOOKUP(C737,[1]Werke!$A$1:$C$168,3,0)</f>
        <v>14S</v>
      </c>
      <c r="B737" s="17" t="str">
        <f>VLOOKUP(C737,[1]Werke!$A$1:$C$168,2,0)</f>
        <v>LZG</v>
      </c>
      <c r="C737" s="18" t="s">
        <v>311</v>
      </c>
      <c r="D737" s="17" t="str">
        <f>VLOOKUP(C737,[1]Maliteslimalan!$A$1:$B$210,2,0)</f>
        <v>8000014767</v>
      </c>
      <c r="E737" s="19" t="str">
        <f>VLOOKUP(C737,[1]Bestellnr.!$A$1:$B$174,2,0)</f>
        <v>000006</v>
      </c>
      <c r="F737" s="20" t="str">
        <f t="shared" si="392"/>
        <v>N   910 971 02</v>
      </c>
      <c r="G737" s="21">
        <v>100299700</v>
      </c>
      <c r="H737" s="17">
        <f t="shared" si="393"/>
        <v>8.5000000000000006E-3</v>
      </c>
      <c r="I737" s="20"/>
      <c r="J737" s="17">
        <f t="shared" si="394"/>
        <v>1250</v>
      </c>
      <c r="K737" s="17">
        <f t="shared" si="395"/>
        <v>0</v>
      </c>
      <c r="L737" s="22">
        <v>10</v>
      </c>
      <c r="M737" s="22">
        <v>30</v>
      </c>
      <c r="N737" s="22">
        <v>111444</v>
      </c>
      <c r="O737" s="22" t="str">
        <f t="shared" si="396"/>
        <v>001006</v>
      </c>
      <c r="P737" s="22">
        <f t="shared" si="397"/>
        <v>34</v>
      </c>
      <c r="Q737" s="22"/>
      <c r="R737" s="23" t="s">
        <v>153</v>
      </c>
      <c r="S737" s="22">
        <f t="shared" si="398"/>
        <v>0.56999999999999995</v>
      </c>
      <c r="T737" s="24">
        <f t="shared" si="399"/>
        <v>0</v>
      </c>
      <c r="U737" s="25">
        <f t="shared" si="400"/>
        <v>2</v>
      </c>
      <c r="V737" s="26" t="str">
        <f t="shared" si="401"/>
        <v/>
      </c>
    </row>
    <row r="738" spans="1:22" ht="48.2" customHeight="1" x14ac:dyDescent="0.25">
      <c r="A738" s="17">
        <f>VLOOKUP(C738,[1]Werke!$A$1:$C$168,3,0)</f>
        <v>49</v>
      </c>
      <c r="B738" s="17" t="str">
        <f>VLOOKUP(C738,[1]Werke!$A$1:$C$168,2,0)</f>
        <v>CT</v>
      </c>
      <c r="C738" s="18" t="s">
        <v>217</v>
      </c>
      <c r="D738" s="17" t="str">
        <f>VLOOKUP(C738,[1]Maliteslimalan!$A$1:$B$210,2,0)</f>
        <v>8000012574</v>
      </c>
      <c r="E738" s="19" t="str">
        <f>VLOOKUP(C738,[1]Bestellnr.!$A$1:$B$174,2,0)</f>
        <v>000001</v>
      </c>
      <c r="F738" s="20" t="str">
        <f t="shared" si="392"/>
        <v>N   910 971 02</v>
      </c>
      <c r="G738" s="21">
        <v>100299700</v>
      </c>
      <c r="H738" s="17">
        <f t="shared" si="393"/>
        <v>8.5000000000000006E-3</v>
      </c>
      <c r="I738" s="20"/>
      <c r="J738" s="17">
        <f t="shared" si="394"/>
        <v>1250</v>
      </c>
      <c r="K738" s="17">
        <f t="shared" si="395"/>
        <v>0</v>
      </c>
      <c r="L738" s="22">
        <v>10</v>
      </c>
      <c r="M738" s="22">
        <v>30</v>
      </c>
      <c r="N738" s="22">
        <v>111444</v>
      </c>
      <c r="O738" s="22" t="str">
        <f t="shared" si="396"/>
        <v>001006</v>
      </c>
      <c r="P738" s="22">
        <f t="shared" si="397"/>
        <v>34</v>
      </c>
      <c r="Q738" s="22"/>
      <c r="R738" s="23" t="s">
        <v>153</v>
      </c>
      <c r="S738" s="22">
        <f t="shared" si="398"/>
        <v>0.56999999999999995</v>
      </c>
      <c r="T738" s="24">
        <f t="shared" si="399"/>
        <v>0</v>
      </c>
      <c r="U738" s="25">
        <f t="shared" si="400"/>
        <v>2</v>
      </c>
      <c r="V738" s="26" t="str">
        <f t="shared" si="401"/>
        <v/>
      </c>
    </row>
    <row r="739" spans="1:22" ht="48.2" customHeight="1" x14ac:dyDescent="0.25">
      <c r="A739" s="17" t="str">
        <f>VLOOKUP(C739,[1]Werke!$A$1:$C$168,3,0)</f>
        <v>RC</v>
      </c>
      <c r="B739" s="17" t="str">
        <f>VLOOKUP(C739,[1]Werke!$A$1:$C$168,2,0)</f>
        <v>CKD</v>
      </c>
      <c r="C739" s="18" t="s">
        <v>256</v>
      </c>
      <c r="D739" s="17" t="str">
        <f>VLOOKUP(C739,[1]Maliteslimalan!$A$1:$B$210,2,0)</f>
        <v>8000012593</v>
      </c>
      <c r="E739" s="19" t="str">
        <f>VLOOKUP(C739,[1]Bestellnr.!$A$1:$B$174,2,0)</f>
        <v>000006</v>
      </c>
      <c r="F739" s="20" t="str">
        <f t="shared" si="392"/>
        <v>N   910 971 02</v>
      </c>
      <c r="G739" s="21">
        <v>100299700</v>
      </c>
      <c r="H739" s="17">
        <f t="shared" si="393"/>
        <v>8.5000000000000006E-3</v>
      </c>
      <c r="I739" s="20"/>
      <c r="J739" s="17">
        <f t="shared" si="394"/>
        <v>1250</v>
      </c>
      <c r="K739" s="17">
        <f t="shared" si="395"/>
        <v>0</v>
      </c>
      <c r="L739" s="22">
        <v>10</v>
      </c>
      <c r="M739" s="22">
        <v>30</v>
      </c>
      <c r="N739" s="22">
        <v>111444</v>
      </c>
      <c r="O739" s="22" t="str">
        <f t="shared" si="396"/>
        <v>001006</v>
      </c>
      <c r="P739" s="22">
        <f t="shared" si="397"/>
        <v>34</v>
      </c>
      <c r="Q739" s="22"/>
      <c r="R739" s="23" t="s">
        <v>153</v>
      </c>
      <c r="S739" s="22">
        <f t="shared" si="398"/>
        <v>0.56999999999999995</v>
      </c>
      <c r="T739" s="24">
        <f t="shared" si="399"/>
        <v>0</v>
      </c>
      <c r="U739" s="25">
        <f t="shared" si="400"/>
        <v>2</v>
      </c>
      <c r="V739" s="26" t="str">
        <f t="shared" si="401"/>
        <v/>
      </c>
    </row>
    <row r="740" spans="1:22" ht="48.2" customHeight="1" x14ac:dyDescent="0.25">
      <c r="A740" s="17" t="str">
        <f>VLOOKUP(C740,[1]Werke!$A$1:$C$168,3,0)</f>
        <v>16D</v>
      </c>
      <c r="B740" s="17">
        <f>VLOOKUP(C740,[1]Werke!$A$1:$C$168,2,0)</f>
        <v>210</v>
      </c>
      <c r="C740" s="18" t="s">
        <v>226</v>
      </c>
      <c r="D740" s="17" t="str">
        <f>VLOOKUP(C740,[1]Maliteslimalan!$A$1:$B$210,2,0)</f>
        <v>8000012565</v>
      </c>
      <c r="E740" s="19">
        <f>VLOOKUP(C740,[1]Bestellnr.!$A$1:$B$174,2,0)</f>
        <v>0</v>
      </c>
      <c r="F740" s="20" t="str">
        <f t="shared" si="392"/>
        <v>N   910 971 02</v>
      </c>
      <c r="G740" s="21">
        <v>100299700</v>
      </c>
      <c r="H740" s="17">
        <f t="shared" si="393"/>
        <v>8.5000000000000006E-3</v>
      </c>
      <c r="I740" s="20"/>
      <c r="J740" s="17">
        <f t="shared" si="394"/>
        <v>1250</v>
      </c>
      <c r="K740" s="17">
        <f t="shared" si="395"/>
        <v>0</v>
      </c>
      <c r="L740" s="22">
        <v>10</v>
      </c>
      <c r="M740" s="22">
        <v>30</v>
      </c>
      <c r="N740" s="22">
        <v>111444</v>
      </c>
      <c r="O740" s="22" t="str">
        <f t="shared" si="396"/>
        <v>001006</v>
      </c>
      <c r="P740" s="22">
        <f t="shared" si="397"/>
        <v>34</v>
      </c>
      <c r="Q740" s="22"/>
      <c r="R740" s="23" t="s">
        <v>153</v>
      </c>
      <c r="S740" s="22">
        <f t="shared" si="398"/>
        <v>0.56999999999999995</v>
      </c>
      <c r="T740" s="24">
        <f t="shared" si="399"/>
        <v>0</v>
      </c>
      <c r="U740" s="25">
        <f t="shared" si="400"/>
        <v>2</v>
      </c>
      <c r="V740" s="26" t="str">
        <f t="shared" si="401"/>
        <v/>
      </c>
    </row>
    <row r="741" spans="1:22" ht="48.2" customHeight="1" x14ac:dyDescent="0.25">
      <c r="A741" s="17">
        <f>VLOOKUP(C741,[1]Werke!$A$1:$C$168,3,0)</f>
        <v>11</v>
      </c>
      <c r="B741" s="17" t="str">
        <f>VLOOKUP(C741,[1]Werke!$A$1:$C$168,2,0)</f>
        <v>AKL</v>
      </c>
      <c r="C741" s="18" t="s">
        <v>253</v>
      </c>
      <c r="D741" s="17" t="str">
        <f>VLOOKUP(C741,[1]Maliteslimalan!$A$1:$B$210,2,0)</f>
        <v>8000012831</v>
      </c>
      <c r="E741" s="19" t="str">
        <f>VLOOKUP(C741,[1]Bestellnr.!$A$1:$B$174,2,0)</f>
        <v>000006</v>
      </c>
      <c r="F741" s="20" t="str">
        <f t="shared" si="392"/>
        <v>N   910 971 02</v>
      </c>
      <c r="G741" s="21">
        <v>100299700</v>
      </c>
      <c r="H741" s="17">
        <f t="shared" si="393"/>
        <v>8.5000000000000006E-3</v>
      </c>
      <c r="I741" s="20"/>
      <c r="J741" s="17">
        <f t="shared" si="394"/>
        <v>1250</v>
      </c>
      <c r="K741" s="17">
        <f t="shared" si="395"/>
        <v>0</v>
      </c>
      <c r="L741" s="22">
        <v>10</v>
      </c>
      <c r="M741" s="22">
        <v>30</v>
      </c>
      <c r="N741" s="22">
        <v>111444</v>
      </c>
      <c r="O741" s="22" t="str">
        <f t="shared" si="396"/>
        <v>001006</v>
      </c>
      <c r="P741" s="22">
        <f t="shared" si="397"/>
        <v>34</v>
      </c>
      <c r="Q741" s="22"/>
      <c r="R741" s="23" t="s">
        <v>153</v>
      </c>
      <c r="S741" s="22">
        <f t="shared" si="398"/>
        <v>0.56999999999999995</v>
      </c>
      <c r="T741" s="24">
        <f t="shared" si="399"/>
        <v>0</v>
      </c>
      <c r="U741" s="25">
        <f t="shared" si="400"/>
        <v>2</v>
      </c>
      <c r="V741" s="26" t="str">
        <f t="shared" si="401"/>
        <v/>
      </c>
    </row>
    <row r="742" spans="1:22" ht="48.2" customHeight="1" x14ac:dyDescent="0.25">
      <c r="A742" s="17">
        <f>VLOOKUP(C742,[1]Werke!$A$1:$C$168,3,0)</f>
        <v>12</v>
      </c>
      <c r="B742" s="17" t="str">
        <f>VLOOKUP(C742,[1]Werke!$A$1:$C$168,2,0)</f>
        <v>AKL</v>
      </c>
      <c r="C742" s="18" t="s">
        <v>228</v>
      </c>
      <c r="D742" s="17" t="str">
        <f>VLOOKUP(C742,[1]Maliteslimalan!$A$1:$B$210,2,0)</f>
        <v>8000012700</v>
      </c>
      <c r="E742" s="19" t="str">
        <f>VLOOKUP(C742,[1]Bestellnr.!$A$1:$B$174,2,0)</f>
        <v>000006</v>
      </c>
      <c r="F742" s="20" t="str">
        <f t="shared" si="392"/>
        <v>N   910 971 02</v>
      </c>
      <c r="G742" s="21">
        <v>100299700</v>
      </c>
      <c r="H742" s="17">
        <f t="shared" si="393"/>
        <v>8.5000000000000006E-3</v>
      </c>
      <c r="I742" s="20"/>
      <c r="J742" s="17">
        <f t="shared" si="394"/>
        <v>1250</v>
      </c>
      <c r="K742" s="17">
        <f t="shared" si="395"/>
        <v>0</v>
      </c>
      <c r="L742" s="22">
        <v>10</v>
      </c>
      <c r="M742" s="22">
        <v>30</v>
      </c>
      <c r="N742" s="22">
        <v>111444</v>
      </c>
      <c r="O742" s="22" t="str">
        <f t="shared" si="396"/>
        <v>001006</v>
      </c>
      <c r="P742" s="22">
        <f t="shared" si="397"/>
        <v>34</v>
      </c>
      <c r="Q742" s="22"/>
      <c r="R742" s="23" t="s">
        <v>153</v>
      </c>
      <c r="S742" s="22">
        <f t="shared" si="398"/>
        <v>0.56999999999999995</v>
      </c>
      <c r="T742" s="24">
        <f t="shared" si="399"/>
        <v>0</v>
      </c>
      <c r="U742" s="25">
        <f t="shared" si="400"/>
        <v>2</v>
      </c>
      <c r="V742" s="26" t="str">
        <f t="shared" si="401"/>
        <v/>
      </c>
    </row>
    <row r="743" spans="1:22" ht="48.2" customHeight="1" x14ac:dyDescent="0.25">
      <c r="A743" s="17">
        <f>VLOOKUP(C743,[1]Werke!$A$1:$C$168,3,0)</f>
        <v>35</v>
      </c>
      <c r="B743" s="17" t="str">
        <f>VLOOKUP(C743,[1]Werke!$A$1:$C$168,2,0)</f>
        <v>AKL</v>
      </c>
      <c r="C743" s="18" t="s">
        <v>231</v>
      </c>
      <c r="D743" s="17" t="str">
        <f>VLOOKUP(C743,[1]Maliteslimalan!$A$1:$B$210,2,0)</f>
        <v>8000013262</v>
      </c>
      <c r="E743" s="19" t="str">
        <f>VLOOKUP(C743,[1]Bestellnr.!$A$1:$B$174,2,0)</f>
        <v>000006</v>
      </c>
      <c r="F743" s="20" t="str">
        <f t="shared" si="392"/>
        <v>N   910 971 02</v>
      </c>
      <c r="G743" s="21">
        <v>100299700</v>
      </c>
      <c r="H743" s="17">
        <f t="shared" si="393"/>
        <v>8.5000000000000006E-3</v>
      </c>
      <c r="I743" s="20"/>
      <c r="J743" s="17">
        <f t="shared" si="394"/>
        <v>1250</v>
      </c>
      <c r="K743" s="17">
        <f t="shared" si="395"/>
        <v>0</v>
      </c>
      <c r="L743" s="22">
        <v>10</v>
      </c>
      <c r="M743" s="22">
        <v>30</v>
      </c>
      <c r="N743" s="22">
        <v>111444</v>
      </c>
      <c r="O743" s="22" t="str">
        <f t="shared" si="396"/>
        <v>001006</v>
      </c>
      <c r="P743" s="22">
        <f t="shared" si="397"/>
        <v>34</v>
      </c>
      <c r="Q743" s="22"/>
      <c r="R743" s="23" t="s">
        <v>153</v>
      </c>
      <c r="S743" s="22">
        <f t="shared" si="398"/>
        <v>0.56999999999999995</v>
      </c>
      <c r="T743" s="24">
        <f t="shared" si="399"/>
        <v>0</v>
      </c>
      <c r="U743" s="25">
        <f t="shared" si="400"/>
        <v>2</v>
      </c>
      <c r="V743" s="26" t="str">
        <f t="shared" si="401"/>
        <v/>
      </c>
    </row>
    <row r="744" spans="1:22" ht="48.2" customHeight="1" x14ac:dyDescent="0.25">
      <c r="A744" s="17">
        <f>VLOOKUP(C744,[1]Werke!$A$1:$C$168,3,0)</f>
        <v>37</v>
      </c>
      <c r="B744" s="17" t="str">
        <f>VLOOKUP(C744,[1]Werke!$A$1:$C$168,2,0)</f>
        <v>AKL</v>
      </c>
      <c r="C744" s="18" t="s">
        <v>232</v>
      </c>
      <c r="D744" s="17" t="str">
        <f>VLOOKUP(C744,[1]Maliteslimalan!$A$1:$B$210,2,0)</f>
        <v>8000012562</v>
      </c>
      <c r="E744" s="19" t="str">
        <f>VLOOKUP(C744,[1]Bestellnr.!$A$1:$B$174,2,0)</f>
        <v>000006</v>
      </c>
      <c r="F744" s="20" t="str">
        <f t="shared" si="392"/>
        <v>N   910 971 02</v>
      </c>
      <c r="G744" s="21">
        <v>100299700</v>
      </c>
      <c r="H744" s="17">
        <f t="shared" si="393"/>
        <v>8.5000000000000006E-3</v>
      </c>
      <c r="I744" s="20"/>
      <c r="J744" s="17">
        <f t="shared" si="394"/>
        <v>1250</v>
      </c>
      <c r="K744" s="17">
        <f t="shared" si="395"/>
        <v>0</v>
      </c>
      <c r="L744" s="22">
        <v>10</v>
      </c>
      <c r="M744" s="22">
        <v>30</v>
      </c>
      <c r="N744" s="22">
        <v>111444</v>
      </c>
      <c r="O744" s="22" t="str">
        <f t="shared" si="396"/>
        <v>001006</v>
      </c>
      <c r="P744" s="22">
        <f t="shared" si="397"/>
        <v>34</v>
      </c>
      <c r="Q744" s="22"/>
      <c r="R744" s="23" t="s">
        <v>153</v>
      </c>
      <c r="S744" s="22">
        <f t="shared" si="398"/>
        <v>0.56999999999999995</v>
      </c>
      <c r="T744" s="24">
        <f t="shared" si="399"/>
        <v>0</v>
      </c>
      <c r="U744" s="25">
        <f t="shared" si="400"/>
        <v>2</v>
      </c>
      <c r="V744" s="26" t="str">
        <f t="shared" si="401"/>
        <v/>
      </c>
    </row>
    <row r="745" spans="1:22" ht="48.2" customHeight="1" x14ac:dyDescent="0.25">
      <c r="A745" s="17">
        <f>VLOOKUP(C745,[1]Werke!$A$1:$C$168,3,0)</f>
        <v>33</v>
      </c>
      <c r="B745" s="17" t="str">
        <f>VLOOKUP(C745,[1]Werke!$A$1:$C$168,2,0)</f>
        <v>KK2</v>
      </c>
      <c r="C745" s="18" t="s">
        <v>233</v>
      </c>
      <c r="D745" s="17" t="str">
        <f>VLOOKUP(C745,[1]Maliteslimalan!$A$1:$B$210,2,0)</f>
        <v>8000012709</v>
      </c>
      <c r="E745" s="19" t="str">
        <f>VLOOKUP(C745,[1]Bestellnr.!$A$1:$B$174,2,0)</f>
        <v>000055</v>
      </c>
      <c r="F745" s="20" t="str">
        <f t="shared" si="392"/>
        <v>N   910 971 02</v>
      </c>
      <c r="G745" s="21">
        <v>100299700</v>
      </c>
      <c r="H745" s="17">
        <f t="shared" si="393"/>
        <v>8.5000000000000006E-3</v>
      </c>
      <c r="I745" s="20"/>
      <c r="J745" s="17">
        <f t="shared" si="394"/>
        <v>1250</v>
      </c>
      <c r="K745" s="17">
        <f t="shared" si="395"/>
        <v>0</v>
      </c>
      <c r="L745" s="22">
        <v>10</v>
      </c>
      <c r="M745" s="22">
        <v>30</v>
      </c>
      <c r="N745" s="22">
        <v>111444</v>
      </c>
      <c r="O745" s="22" t="str">
        <f t="shared" si="396"/>
        <v>001006</v>
      </c>
      <c r="P745" s="22">
        <f t="shared" si="397"/>
        <v>34</v>
      </c>
      <c r="Q745" s="22"/>
      <c r="R745" s="23" t="s">
        <v>153</v>
      </c>
      <c r="S745" s="22">
        <f t="shared" si="398"/>
        <v>0.56999999999999995</v>
      </c>
      <c r="T745" s="24">
        <f t="shared" si="399"/>
        <v>0</v>
      </c>
      <c r="U745" s="25">
        <f t="shared" si="400"/>
        <v>2</v>
      </c>
      <c r="V745" s="26" t="str">
        <f t="shared" si="401"/>
        <v/>
      </c>
    </row>
    <row r="746" spans="1:22" ht="48.2" customHeight="1" x14ac:dyDescent="0.25">
      <c r="A746" s="17">
        <f>VLOOKUP(C746,[1]Werke!$A$1:$C$168,3,0)</f>
        <v>14</v>
      </c>
      <c r="B746" s="17" t="str">
        <f>VLOOKUP(C746,[1]Werke!$A$1:$C$168,2,0)</f>
        <v>D72</v>
      </c>
      <c r="C746" s="18" t="s">
        <v>220</v>
      </c>
      <c r="D746" s="17" t="str">
        <f>VLOOKUP(C746,[1]Maliteslimalan!$A$1:$B$210,2,0)</f>
        <v>8000013493</v>
      </c>
      <c r="E746" s="19">
        <f>VLOOKUP(C746,[1]Bestellnr.!$A$1:$B$174,2,0)</f>
        <v>0</v>
      </c>
      <c r="F746" s="20" t="str">
        <f t="shared" si="392"/>
        <v>N   910 971 02</v>
      </c>
      <c r="G746" s="21">
        <v>100299700</v>
      </c>
      <c r="H746" s="17">
        <f t="shared" si="393"/>
        <v>8.5000000000000006E-3</v>
      </c>
      <c r="I746" s="20"/>
      <c r="J746" s="17">
        <f t="shared" si="394"/>
        <v>1250</v>
      </c>
      <c r="K746" s="17">
        <f t="shared" si="395"/>
        <v>0</v>
      </c>
      <c r="L746" s="22">
        <v>10</v>
      </c>
      <c r="M746" s="22">
        <v>30</v>
      </c>
      <c r="N746" s="22">
        <v>111444</v>
      </c>
      <c r="O746" s="22" t="str">
        <f t="shared" si="396"/>
        <v>001006</v>
      </c>
      <c r="P746" s="22">
        <f t="shared" si="397"/>
        <v>34</v>
      </c>
      <c r="Q746" s="22"/>
      <c r="R746" s="23" t="s">
        <v>153</v>
      </c>
      <c r="S746" s="22">
        <f t="shared" si="398"/>
        <v>0.56999999999999995</v>
      </c>
      <c r="T746" s="24">
        <f t="shared" si="399"/>
        <v>0</v>
      </c>
      <c r="U746" s="25">
        <f t="shared" si="400"/>
        <v>2</v>
      </c>
      <c r="V746" s="26" t="str">
        <f t="shared" si="401"/>
        <v/>
      </c>
    </row>
    <row r="747" spans="1:22" ht="48.2" customHeight="1" x14ac:dyDescent="0.25">
      <c r="A747" s="17"/>
      <c r="B747" s="17"/>
      <c r="C747" s="18"/>
      <c r="D747" s="17"/>
      <c r="E747" s="19"/>
      <c r="F747" s="20"/>
      <c r="G747" s="21"/>
      <c r="H747" s="17"/>
      <c r="I747" s="20"/>
      <c r="J747" s="17"/>
      <c r="K747" s="17"/>
      <c r="L747" s="22"/>
      <c r="M747" s="22"/>
      <c r="N747" s="22"/>
      <c r="O747" s="22"/>
      <c r="P747" s="22"/>
      <c r="Q747" s="22"/>
      <c r="R747" s="23"/>
      <c r="S747" s="22"/>
      <c r="T747" s="24"/>
      <c r="U747" s="25"/>
    </row>
    <row r="748" spans="1:22" ht="48" customHeight="1" x14ac:dyDescent="0.25">
      <c r="A748" s="17">
        <f>VLOOKUP(C748,[1]Werke!$A$1:$C$168,3,0)</f>
        <v>69</v>
      </c>
      <c r="B748" s="17" t="str">
        <f>VLOOKUP(C748,[1]Werke!$A$1:$C$168,2,0)</f>
        <v>AKL</v>
      </c>
      <c r="C748" s="18" t="s">
        <v>238</v>
      </c>
      <c r="D748" s="17">
        <f>VLOOKUP(C748,[1]Maliteslimalan!$A$1:$B$210,2,0)</f>
        <v>8000017492</v>
      </c>
      <c r="E748" s="19">
        <v>6</v>
      </c>
      <c r="F748" s="20" t="str">
        <f>VLOOKUP(G748,$U$1:$V$1730,2,0)</f>
        <v>N   107 638 01</v>
      </c>
      <c r="G748" s="21">
        <v>100928800</v>
      </c>
      <c r="H748" s="17">
        <f>VLOOKUP(G748,Z$2:AA$1905,2,FALSE)</f>
        <v>9.69E-2</v>
      </c>
      <c r="I748" s="20"/>
      <c r="J748" s="17">
        <f>VLOOKUP(G748,W$2:X$1905,2,FALSE)</f>
        <v>100</v>
      </c>
      <c r="K748" s="17">
        <f>I748/J748</f>
        <v>0</v>
      </c>
      <c r="L748" s="22">
        <v>10</v>
      </c>
      <c r="M748" s="22">
        <v>30</v>
      </c>
      <c r="N748" s="22">
        <v>111444</v>
      </c>
      <c r="O748" s="22" t="str">
        <f>VLOOKUP(N748,$AL$1285:$AM$1310,2,FALSE)</f>
        <v>001006</v>
      </c>
      <c r="P748" s="22">
        <f>VLOOKUP(N748,AC$2:AD$1905,2,FALSE)</f>
        <v>34</v>
      </c>
      <c r="Q748" s="22"/>
      <c r="R748" s="23" t="s">
        <v>153</v>
      </c>
      <c r="S748" s="22">
        <f>VLOOKUP(R748,AC$2:AD$1905,2,FALSE)</f>
        <v>0.56999999999999995</v>
      </c>
      <c r="T748" s="24">
        <f>(H748*I748)+P748*Q748+S748*K748</f>
        <v>0</v>
      </c>
      <c r="U748" s="25">
        <f>IF(TRIM(N748&amp;"")="111444",
    IF(ROUNDUP(MAX(0,K748-(MAX(1,Q748)-1)*10)/10,0)=1,3,2),
    IF(TRIM(N748&amp;"")="VWPAL",
        IF(TRIM(R748&amp;"")="004147",1,2),
        ""
    )
)</f>
        <v>2</v>
      </c>
      <c r="V748" s="26" t="str">
        <f>IF(OR(TRIM(N748&amp;"")="111444",TRIM(N748&amp;"")="VWPAL"),
    IF(K748&lt;=0,"",
        IF(
            MIN(3,ROUNDUP(MAX(0,K748-(MAX(1,Q748)-1)*IF(TRIM(N748&amp;"")="111444",10,20))/IF(TRIM(N748&amp;"")="111444",10,20),0))=1,
            300,
            IF(
                MIN(3,ROUNDUP(MAX(0,K748-(MAX(1,Q748)-1)*IF(TRIM(N748&amp;"")="111444",10,20))/IF(TRIM(N748&amp;"")="111444",10,20),0))=2,
                450,
                600
            )
        )
    ),
    ""
)</f>
        <v/>
      </c>
    </row>
    <row r="749" spans="1:22" ht="48" customHeight="1" x14ac:dyDescent="0.25">
      <c r="A749" s="17"/>
      <c r="B749" s="17"/>
      <c r="C749" s="18"/>
      <c r="D749" s="17"/>
      <c r="E749" s="19"/>
      <c r="F749" s="20"/>
      <c r="G749" s="21"/>
      <c r="H749" s="17"/>
      <c r="I749" s="20"/>
      <c r="J749" s="17"/>
      <c r="K749" s="17"/>
      <c r="L749" s="22"/>
      <c r="M749" s="22"/>
      <c r="N749" s="22"/>
      <c r="O749" s="22"/>
      <c r="P749" s="22"/>
      <c r="Q749" s="22"/>
      <c r="R749" s="23"/>
      <c r="S749" s="22"/>
      <c r="T749" s="24"/>
      <c r="U749" s="25"/>
    </row>
    <row r="750" spans="1:22" ht="48.2" customHeight="1" x14ac:dyDescent="0.25">
      <c r="A750" s="17">
        <f>VLOOKUP(C750,[1]Werke!$A$1:$C$168,3,0)</f>
        <v>69</v>
      </c>
      <c r="B750" s="17" t="str">
        <f>VLOOKUP(C750,[1]Werke!$A$1:$C$168,2,0)</f>
        <v>AKL</v>
      </c>
      <c r="C750" s="18" t="s">
        <v>238</v>
      </c>
      <c r="D750" s="17">
        <f>VLOOKUP(C750,[1]Maliteslimalan!$A$1:$B$210,2,0)</f>
        <v>8000017492</v>
      </c>
      <c r="E750" s="19">
        <v>6</v>
      </c>
      <c r="F750" s="20" t="str">
        <f>VLOOKUP(G750,$U$1:$V$1730,2,0)</f>
        <v>N   907 422 02</v>
      </c>
      <c r="G750" s="21">
        <v>100931300</v>
      </c>
      <c r="H750" s="17">
        <f>VLOOKUP(G750,Z$2:AA$1905,2,FALSE)</f>
        <v>9.1200000000000003E-2</v>
      </c>
      <c r="I750" s="20"/>
      <c r="J750" s="17">
        <f>VLOOKUP(G750,W$2:X$1905,2,FALSE)</f>
        <v>100</v>
      </c>
      <c r="K750" s="17">
        <f>I750/J750</f>
        <v>0</v>
      </c>
      <c r="L750" s="22">
        <v>10</v>
      </c>
      <c r="M750" s="22">
        <v>30</v>
      </c>
      <c r="N750" s="22">
        <v>111444</v>
      </c>
      <c r="O750" s="22" t="str">
        <f>VLOOKUP(N750,$AL$1285:$AM$1310,2,FALSE)</f>
        <v>001006</v>
      </c>
      <c r="P750" s="22">
        <f>VLOOKUP(N750,AC$2:AD$1905,2,FALSE)</f>
        <v>34</v>
      </c>
      <c r="Q750" s="22"/>
      <c r="R750" s="23" t="s">
        <v>153</v>
      </c>
      <c r="S750" s="22">
        <f>VLOOKUP(R750,AC$2:AD$1905,2,FALSE)</f>
        <v>0.56999999999999995</v>
      </c>
      <c r="T750" s="24">
        <f>(H750*I750)+P750*Q750+S750*K750</f>
        <v>0</v>
      </c>
      <c r="U750" s="25">
        <f>IF(TRIM(N750&amp;"")="111444",
    IF(ROUNDUP(MAX(0,K750-(MAX(1,Q750)-1)*10)/10,0)=1,3,2),
    IF(TRIM(N750&amp;"")="VWPAL",
        IF(TRIM(R750&amp;"")="004147",1,2),
        ""
    )
)</f>
        <v>2</v>
      </c>
      <c r="V750" s="26" t="str">
        <f>IF(OR(TRIM(N750&amp;"")="111444",TRIM(N750&amp;"")="VWPAL"),
    IF(K750&lt;=0,"",
        IF(
            MIN(3,ROUNDUP(MAX(0,K750-(MAX(1,Q750)-1)*IF(TRIM(N750&amp;"")="111444",10,20))/IF(TRIM(N750&amp;"")="111444",10,20),0))=1,
            300,
            IF(
                MIN(3,ROUNDUP(MAX(0,K750-(MAX(1,Q750)-1)*IF(TRIM(N750&amp;"")="111444",10,20))/IF(TRIM(N750&amp;"")="111444",10,20),0))=2,
                450,
                600
            )
        )
    ),
    ""
)</f>
        <v/>
      </c>
    </row>
    <row r="751" spans="1:22" ht="48.2" customHeight="1" x14ac:dyDescent="0.25">
      <c r="A751" s="17"/>
      <c r="B751" s="17"/>
      <c r="C751" s="18"/>
      <c r="D751" s="17"/>
      <c r="E751" s="19"/>
      <c r="F751" s="20"/>
      <c r="G751" s="21"/>
      <c r="H751" s="17"/>
      <c r="I751" s="20"/>
      <c r="J751" s="17"/>
      <c r="K751" s="17"/>
      <c r="L751" s="22"/>
      <c r="M751" s="22"/>
      <c r="N751" s="22"/>
      <c r="O751" s="22"/>
      <c r="P751" s="22"/>
      <c r="Q751" s="22"/>
      <c r="R751" s="23"/>
      <c r="S751" s="22"/>
      <c r="T751" s="24"/>
      <c r="U751" s="25"/>
    </row>
    <row r="752" spans="1:22" ht="48.2" customHeight="1" x14ac:dyDescent="0.25">
      <c r="A752" s="17">
        <f>VLOOKUP(C752,[1]Werke!$A$1:$C$168,3,0)</f>
        <v>24</v>
      </c>
      <c r="B752" s="17" t="str">
        <f>VLOOKUP(C752,[1]Werke!$A$1:$C$168,2,0)</f>
        <v>CKH</v>
      </c>
      <c r="C752" s="18" t="s">
        <v>224</v>
      </c>
      <c r="D752" s="17">
        <f>VLOOKUP(C752,[1]Maliteslimalan!$A$1:$B$210,2,0)</f>
        <v>8000013551</v>
      </c>
      <c r="E752" s="19">
        <v>6</v>
      </c>
      <c r="F752" s="20" t="str">
        <f>VLOOKUP(G752,$U$1:$V$1730,2,0)</f>
        <v>N   090 242 04</v>
      </c>
      <c r="G752" s="21">
        <v>100324800</v>
      </c>
      <c r="H752" s="17">
        <f>VLOOKUP(G752,Z$2:AA$1905,2,FALSE)</f>
        <v>7.0099999999999997E-3</v>
      </c>
      <c r="I752" s="20"/>
      <c r="J752" s="17">
        <f>VLOOKUP(G752,W$2:X$1905,2,FALSE)</f>
        <v>2100</v>
      </c>
      <c r="K752" s="17">
        <f>I752/J752</f>
        <v>0</v>
      </c>
      <c r="L752" s="22">
        <v>10</v>
      </c>
      <c r="M752" s="22">
        <v>10</v>
      </c>
      <c r="N752" s="22">
        <v>111444</v>
      </c>
      <c r="O752" s="22" t="str">
        <f>VLOOKUP(N752,$AL$1285:$AM$1310,2,FALSE)</f>
        <v>001006</v>
      </c>
      <c r="P752" s="22">
        <f>VLOOKUP(N752,AC$2:AD$1905,2,FALSE)</f>
        <v>34</v>
      </c>
      <c r="Q752" s="22"/>
      <c r="R752" s="23" t="s">
        <v>153</v>
      </c>
      <c r="S752" s="22">
        <f>VLOOKUP(R752,AC$2:AD$1905,2,FALSE)</f>
        <v>0.56999999999999995</v>
      </c>
      <c r="T752" s="24">
        <f>(H752*I752)+P752*Q752+S752*K752</f>
        <v>0</v>
      </c>
      <c r="U752" s="25">
        <f>IF(TRIM(N752&amp;"")="111444",
    IF(ROUNDUP(MAX(0,K752-(MAX(1,Q752)-1)*10)/10,0)=1,3,2),
    IF(TRIM(N752&amp;"")="VWPAL",
        IF(TRIM(R752&amp;"")="004147",1,2),
        ""
    )
)</f>
        <v>2</v>
      </c>
      <c r="V752" s="26" t="str">
        <f>IF(OR(TRIM(N752&amp;"")="111444",TRIM(N752&amp;"")="VWPAL"),
    IF(K752&lt;=0,"",
        IF(
            MIN(3,ROUNDUP(MAX(0,K752-(MAX(1,Q752)-1)*IF(TRIM(N752&amp;"")="111444",10,20))/IF(TRIM(N752&amp;"")="111444",10,20),0))=1,
            300,
            IF(
                MIN(3,ROUNDUP(MAX(0,K752-(MAX(1,Q752)-1)*IF(TRIM(N752&amp;"")="111444",10,20))/IF(TRIM(N752&amp;"")="111444",10,20),0))=2,
                450,
                600
            )
        )
    ),
    ""
)</f>
        <v/>
      </c>
    </row>
    <row r="753" spans="1:22" ht="48.2" customHeight="1" x14ac:dyDescent="0.25">
      <c r="A753" s="17">
        <f>VLOOKUP(C753,[1]Werke!$A$1:$C$168,3,0)</f>
        <v>22</v>
      </c>
      <c r="B753" s="17" t="str">
        <f>VLOOKUP(C753,[1]Werke!$A$1:$C$168,2,0)</f>
        <v>13P</v>
      </c>
      <c r="C753" s="18" t="s">
        <v>230</v>
      </c>
      <c r="D753" s="17" t="str">
        <f>VLOOKUP(C753,[1]Maliteslimalan!$A$1:$B$210,2,0)</f>
        <v>8000013344</v>
      </c>
      <c r="E753" s="19" t="str">
        <f>VLOOKUP(C753,[1]Bestellnr.!$A$1:$B$174,2,0)</f>
        <v>000006</v>
      </c>
      <c r="F753" s="20" t="str">
        <f>VLOOKUP(G753,$U$1:$V$1730,2,0)</f>
        <v>N   090 242 04</v>
      </c>
      <c r="G753" s="21">
        <v>100324800</v>
      </c>
      <c r="H753" s="17">
        <f>VLOOKUP(G753,Z$2:AA$1905,2,FALSE)</f>
        <v>7.0099999999999997E-3</v>
      </c>
      <c r="I753" s="20"/>
      <c r="J753" s="17">
        <f>VLOOKUP(G753,W$2:X$1905,2,FALSE)</f>
        <v>2100</v>
      </c>
      <c r="K753" s="17">
        <f>I753/J753</f>
        <v>0</v>
      </c>
      <c r="L753" s="22">
        <v>10</v>
      </c>
      <c r="M753" s="22">
        <v>30</v>
      </c>
      <c r="N753" s="22">
        <v>111444</v>
      </c>
      <c r="O753" s="22" t="str">
        <f>VLOOKUP(N753,$AL$1285:$AM$1310,2,FALSE)</f>
        <v>001006</v>
      </c>
      <c r="P753" s="22">
        <f>VLOOKUP(N753,AC$2:AD$1905,2,FALSE)</f>
        <v>34</v>
      </c>
      <c r="Q753" s="22"/>
      <c r="R753" s="23" t="s">
        <v>153</v>
      </c>
      <c r="S753" s="22">
        <f>VLOOKUP(R753,AC$2:AD$1905,2,FALSE)</f>
        <v>0.56999999999999995</v>
      </c>
      <c r="T753" s="24">
        <f>(H753*I753)+P753*Q753+S753*K753</f>
        <v>0</v>
      </c>
      <c r="U753" s="25">
        <f>IF(TRIM(N753&amp;"")="111444",
    IF(ROUNDUP(MAX(0,K753-(MAX(1,Q753)-1)*10)/10,0)=1,3,2),
    IF(TRIM(N753&amp;"")="VWPAL",
        IF(TRIM(R753&amp;"")="004147",1,2),
        ""
    )
)</f>
        <v>2</v>
      </c>
      <c r="V753" s="26" t="str">
        <f>IF(OR(TRIM(N753&amp;"")="111444",TRIM(N753&amp;"")="VWPAL"),
    IF(K753&lt;=0,"",
        IF(
            MIN(3,ROUNDUP(MAX(0,K753-(MAX(1,Q753)-1)*IF(TRIM(N753&amp;"")="111444",10,20))/IF(TRIM(N753&amp;"")="111444",10,20),0))=1,
            300,
            IF(
                MIN(3,ROUNDUP(MAX(0,K753-(MAX(1,Q753)-1)*IF(TRIM(N753&amp;"")="111444",10,20))/IF(TRIM(N753&amp;"")="111444",10,20),0))=2,
                450,
                600
            )
        )
    ),
    ""
)</f>
        <v/>
      </c>
    </row>
    <row r="754" spans="1:22" ht="48.2" customHeight="1" x14ac:dyDescent="0.25">
      <c r="A754" s="17">
        <f>VLOOKUP(C754,[1]Werke!$A$1:$C$168,3,0)</f>
        <v>37</v>
      </c>
      <c r="B754" s="17" t="str">
        <f>VLOOKUP(C754,[1]Werke!$A$1:$C$168,2,0)</f>
        <v>AKL</v>
      </c>
      <c r="C754" s="18" t="s">
        <v>232</v>
      </c>
      <c r="D754" s="17" t="str">
        <f>VLOOKUP(C754,[1]Maliteslimalan!$A$1:$B$210,2,0)</f>
        <v>8000012562</v>
      </c>
      <c r="E754" s="19" t="str">
        <f>VLOOKUP(C754,[1]Bestellnr.!$A$1:$B$174,2,0)</f>
        <v>000006</v>
      </c>
      <c r="F754" s="20" t="str">
        <f>VLOOKUP(G754,$U$1:$V$1730,2,0)</f>
        <v>N   090 242 04</v>
      </c>
      <c r="G754" s="21">
        <v>100324800</v>
      </c>
      <c r="H754" s="17">
        <f>VLOOKUP(G754,Z$2:AA$1905,2,FALSE)</f>
        <v>7.0099999999999997E-3</v>
      </c>
      <c r="I754" s="20"/>
      <c r="J754" s="17">
        <f>VLOOKUP(G754,W$2:X$1905,2,FALSE)</f>
        <v>2100</v>
      </c>
      <c r="K754" s="17">
        <f>I754/J754</f>
        <v>0</v>
      </c>
      <c r="L754" s="22">
        <v>10</v>
      </c>
      <c r="M754" s="22">
        <v>30</v>
      </c>
      <c r="N754" s="22">
        <v>111444</v>
      </c>
      <c r="O754" s="22" t="str">
        <f>VLOOKUP(N754,$AL$1285:$AM$1310,2,FALSE)</f>
        <v>001006</v>
      </c>
      <c r="P754" s="22">
        <f>VLOOKUP(N754,AC$2:AD$1905,2,FALSE)</f>
        <v>34</v>
      </c>
      <c r="Q754" s="22"/>
      <c r="R754" s="23" t="s">
        <v>153</v>
      </c>
      <c r="S754" s="22">
        <f>VLOOKUP(R754,AC$2:AD$1905,2,FALSE)</f>
        <v>0.56999999999999995</v>
      </c>
      <c r="T754" s="24">
        <f>(H754*I754)+P754*Q754+S754*K754</f>
        <v>0</v>
      </c>
      <c r="U754" s="25">
        <f>IF(TRIM(N754&amp;"")="111444",
    IF(ROUNDUP(MAX(0,K754-(MAX(1,Q754)-1)*10)/10,0)=1,3,2),
    IF(TRIM(N754&amp;"")="VWPAL",
        IF(TRIM(R754&amp;"")="004147",1,2),
        ""
    )
)</f>
        <v>2</v>
      </c>
      <c r="V754" s="26" t="str">
        <f>IF(OR(TRIM(N754&amp;"")="111444",TRIM(N754&amp;"")="VWPAL"),
    IF(K754&lt;=0,"",
        IF(
            MIN(3,ROUNDUP(MAX(0,K754-(MAX(1,Q754)-1)*IF(TRIM(N754&amp;"")="111444",10,20))/IF(TRIM(N754&amp;"")="111444",10,20),0))=1,
            300,
            IF(
                MIN(3,ROUNDUP(MAX(0,K754-(MAX(1,Q754)-1)*IF(TRIM(N754&amp;"")="111444",10,20))/IF(TRIM(N754&amp;"")="111444",10,20),0))=2,
                450,
                600
            )
        )
    ),
    ""
)</f>
        <v/>
      </c>
    </row>
    <row r="755" spans="1:22" ht="48.2" customHeight="1" x14ac:dyDescent="0.25">
      <c r="A755" s="17">
        <f>VLOOKUP(C755,[1]Werke!$A$1:$C$168,3,0)</f>
        <v>24</v>
      </c>
      <c r="B755" s="17" t="str">
        <f>VLOOKUP(C755,[1]Werke!$A$1:$C$168,2,0)</f>
        <v>CKS</v>
      </c>
      <c r="C755" s="18" t="s">
        <v>245</v>
      </c>
      <c r="D755" s="17" t="str">
        <f>VLOOKUP(C755,[1]Maliteslimalan!$A$1:$B$210,2,0)</f>
        <v>8000012647</v>
      </c>
      <c r="E755" s="19" t="str">
        <f>VLOOKUP(C755,[1]Bestellnr.!$A$1:$B$174,2,0)</f>
        <v>000006</v>
      </c>
      <c r="F755" s="20" t="str">
        <f>VLOOKUP(G755,$U$1:$V$1730,2,0)</f>
        <v>N   090 242 04</v>
      </c>
      <c r="G755" s="21">
        <v>100324800</v>
      </c>
      <c r="H755" s="17">
        <f>VLOOKUP(G755,Z$2:AA$1905,2,FALSE)</f>
        <v>7.0099999999999997E-3</v>
      </c>
      <c r="I755" s="20"/>
      <c r="J755" s="17">
        <f>VLOOKUP(G755,W$2:X$1905,2,FALSE)</f>
        <v>2100</v>
      </c>
      <c r="K755" s="17">
        <f>I755/J755</f>
        <v>0</v>
      </c>
      <c r="L755" s="22">
        <v>10</v>
      </c>
      <c r="M755" s="22">
        <v>10</v>
      </c>
      <c r="N755" s="22">
        <v>111444</v>
      </c>
      <c r="O755" s="22" t="str">
        <f>VLOOKUP(N755,$AL$1285:$AM$1310,2,FALSE)</f>
        <v>001006</v>
      </c>
      <c r="P755" s="22">
        <f>VLOOKUP(N755,AC$2:AD$1905,2,FALSE)</f>
        <v>34</v>
      </c>
      <c r="Q755" s="22"/>
      <c r="R755" s="23" t="s">
        <v>153</v>
      </c>
      <c r="S755" s="22">
        <f>VLOOKUP(R755,AC$2:AD$1905,2,FALSE)</f>
        <v>0.56999999999999995</v>
      </c>
      <c r="T755" s="24">
        <f>(H755*I755)+P755*Q755+S755*K755</f>
        <v>0</v>
      </c>
      <c r="U755" s="25">
        <f>IF(TRIM(N755&amp;"")="111444",
    IF(ROUNDUP(MAX(0,K755-(MAX(1,Q755)-1)*10)/10,0)=1,3,2),
    IF(TRIM(N755&amp;"")="VWPAL",
        IF(TRIM(R755&amp;"")="004147",1,2),
        ""
    )
)</f>
        <v>2</v>
      </c>
      <c r="V755" s="26" t="str">
        <f>IF(OR(TRIM(N755&amp;"")="111444",TRIM(N755&amp;"")="VWPAL"),
    IF(K755&lt;=0,"",
        IF(
            MIN(3,ROUNDUP(MAX(0,K755-(MAX(1,Q755)-1)*IF(TRIM(N755&amp;"")="111444",10,20))/IF(TRIM(N755&amp;"")="111444",10,20),0))=1,
            300,
            IF(
                MIN(3,ROUNDUP(MAX(0,K755-(MAX(1,Q755)-1)*IF(TRIM(N755&amp;"")="111444",10,20))/IF(TRIM(N755&amp;"")="111444",10,20),0))=2,
                450,
                600
            )
        )
    ),
    ""
)</f>
        <v/>
      </c>
    </row>
    <row r="756" spans="1:22" ht="48.2" customHeight="1" x14ac:dyDescent="0.25">
      <c r="A756" s="17"/>
      <c r="B756" s="17"/>
      <c r="C756" s="18"/>
      <c r="D756" s="17"/>
      <c r="E756" s="19"/>
      <c r="F756" s="20"/>
      <c r="G756" s="21"/>
      <c r="H756" s="17"/>
      <c r="I756" s="20"/>
      <c r="J756" s="17"/>
      <c r="K756" s="17"/>
      <c r="L756" s="22"/>
      <c r="M756" s="22"/>
      <c r="N756" s="22"/>
      <c r="O756" s="22"/>
      <c r="P756" s="22"/>
      <c r="Q756" s="22"/>
      <c r="R756" s="23"/>
      <c r="S756" s="22"/>
      <c r="T756" s="24"/>
      <c r="U756" s="25"/>
    </row>
    <row r="757" spans="1:22" ht="48.2" customHeight="1" x14ac:dyDescent="0.25">
      <c r="A757" s="17" t="str">
        <f>VLOOKUP(C757,[1]Werke!$A$1:$C$168,3,0)</f>
        <v>14S</v>
      </c>
      <c r="B757" s="17" t="str">
        <f>VLOOKUP(C757,[1]Werke!$A$1:$C$168,2,0)</f>
        <v>LZG</v>
      </c>
      <c r="C757" s="18" t="s">
        <v>311</v>
      </c>
      <c r="D757" s="17" t="str">
        <f>VLOOKUP(C757,[1]Maliteslimalan!$A$1:$B$210,2,0)</f>
        <v>8000014767</v>
      </c>
      <c r="E757" s="19" t="str">
        <f>VLOOKUP(C757,[1]Bestellnr.!$A$1:$B$174,2,0)</f>
        <v>000006</v>
      </c>
      <c r="F757" s="20" t="str">
        <f>VLOOKUP(G757,$U$1:$V$1730,2,0)</f>
        <v>N   104 057 03</v>
      </c>
      <c r="G757" s="21">
        <v>100325000</v>
      </c>
      <c r="H757" s="17">
        <f>VLOOKUP(G757,Z$2:AA$1905,2,FALSE)</f>
        <v>1.068E-2</v>
      </c>
      <c r="I757" s="20"/>
      <c r="J757" s="17">
        <f>VLOOKUP(G757,W$2:X$1905,2,FALSE)</f>
        <v>1000</v>
      </c>
      <c r="K757" s="17">
        <f>I757/J757</f>
        <v>0</v>
      </c>
      <c r="L757" s="22">
        <v>10</v>
      </c>
      <c r="M757" s="22">
        <v>10</v>
      </c>
      <c r="N757" s="22">
        <v>111444</v>
      </c>
      <c r="O757" s="22" t="str">
        <f>VLOOKUP(N757,$AL$1285:$AM$1310,2,FALSE)</f>
        <v>001006</v>
      </c>
      <c r="P757" s="22">
        <f>VLOOKUP(N757,AC$2:AD$1905,2,FALSE)</f>
        <v>34</v>
      </c>
      <c r="Q757" s="22"/>
      <c r="R757" s="23" t="s">
        <v>153</v>
      </c>
      <c r="S757" s="22">
        <f>VLOOKUP(R757,AC$2:AD$1905,2,FALSE)</f>
        <v>0.56999999999999995</v>
      </c>
      <c r="T757" s="24">
        <f>(H757*I757)+P757*Q757+S757*K757</f>
        <v>0</v>
      </c>
      <c r="U757" s="25">
        <f>IF(TRIM(N757&amp;"")="111444",
    IF(ROUNDUP(MAX(0,K757-(MAX(1,Q757)-1)*10)/10,0)=1,3,2),
    IF(TRIM(N757&amp;"")="VWPAL",
        IF(TRIM(R757&amp;"")="004147",1,2),
        ""
    )
)</f>
        <v>2</v>
      </c>
      <c r="V757" s="26" t="str">
        <f>IF(OR(TRIM(N757&amp;"")="111444",TRIM(N757&amp;"")="VWPAL"),
    IF(K757&lt;=0,"",
        IF(
            MIN(3,ROUNDUP(MAX(0,K757-(MAX(1,Q757)-1)*IF(TRIM(N757&amp;"")="111444",10,20))/IF(TRIM(N757&amp;"")="111444",10,20),0))=1,
            300,
            IF(
                MIN(3,ROUNDUP(MAX(0,K757-(MAX(1,Q757)-1)*IF(TRIM(N757&amp;"")="111444",10,20))/IF(TRIM(N757&amp;"")="111444",10,20),0))=2,
                450,
                600
            )
        )
    ),
    ""
)</f>
        <v/>
      </c>
    </row>
    <row r="758" spans="1:22" ht="48.2" customHeight="1" x14ac:dyDescent="0.25">
      <c r="A758" s="17">
        <f>VLOOKUP(C758,[1]Werke!$A$1:$C$168,3,0)</f>
        <v>40</v>
      </c>
      <c r="B758" s="17" t="str">
        <f>VLOOKUP(C758,[1]Werke!$A$1:$C$168,2,0)</f>
        <v>908</v>
      </c>
      <c r="C758" s="18" t="s">
        <v>273</v>
      </c>
      <c r="D758" s="17" t="str">
        <f>VLOOKUP(C758,[1]Maliteslimalan!$A$1:$B$210,2,0)</f>
        <v>8000014109</v>
      </c>
      <c r="E758" s="19">
        <f>VLOOKUP(C758,[1]Bestellnr.!$A$1:$B$174,2,0)</f>
        <v>0</v>
      </c>
      <c r="F758" s="20" t="str">
        <f>VLOOKUP(G758,$U$1:$V$1730,2,0)</f>
        <v>N   104 057 03</v>
      </c>
      <c r="G758" s="21">
        <v>100325000</v>
      </c>
      <c r="H758" s="17">
        <f>VLOOKUP(G758,Z$2:AA$1905,2,FALSE)</f>
        <v>1.068E-2</v>
      </c>
      <c r="I758" s="20"/>
      <c r="J758" s="17">
        <f>VLOOKUP(G758,W$2:X$1905,2,FALSE)</f>
        <v>1000</v>
      </c>
      <c r="K758" s="17">
        <f>I758/J758</f>
        <v>0</v>
      </c>
      <c r="L758" s="22">
        <v>10</v>
      </c>
      <c r="M758" s="22">
        <v>30</v>
      </c>
      <c r="N758" s="22">
        <v>111444</v>
      </c>
      <c r="O758" s="22" t="str">
        <f>VLOOKUP(N758,$AL$1285:$AM$1310,2,FALSE)</f>
        <v>001006</v>
      </c>
      <c r="P758" s="22">
        <f>VLOOKUP(N758,AC$2:AD$1905,2,FALSE)</f>
        <v>34</v>
      </c>
      <c r="Q758" s="22"/>
      <c r="R758" s="23" t="s">
        <v>153</v>
      </c>
      <c r="S758" s="22">
        <f>VLOOKUP(R758,AC$2:AD$1905,2,FALSE)</f>
        <v>0.56999999999999995</v>
      </c>
      <c r="T758" s="24">
        <f>(H758*I758)+P758*Q758+S758*K758</f>
        <v>0</v>
      </c>
      <c r="U758" s="25">
        <f>IF(TRIM(N758&amp;"")="111444",
    IF(ROUNDUP(MAX(0,K758-(MAX(1,Q758)-1)*10)/10,0)=1,3,2),
    IF(TRIM(N758&amp;"")="VWPAL",
        IF(TRIM(R758&amp;"")="004147",1,2),
        ""
    )
)</f>
        <v>2</v>
      </c>
      <c r="V758" s="26" t="str">
        <f>IF(OR(TRIM(N758&amp;"")="111444",TRIM(N758&amp;"")="VWPAL"),
    IF(K758&lt;=0,"",
        IF(
            MIN(3,ROUNDUP(MAX(0,K758-(MAX(1,Q758)-1)*IF(TRIM(N758&amp;"")="111444",10,20))/IF(TRIM(N758&amp;"")="111444",10,20),0))=1,
            300,
            IF(
                MIN(3,ROUNDUP(MAX(0,K758-(MAX(1,Q758)-1)*IF(TRIM(N758&amp;"")="111444",10,20))/IF(TRIM(N758&amp;"")="111444",10,20),0))=2,
                450,
                600
            )
        )
    ),
    ""
)</f>
        <v/>
      </c>
    </row>
    <row r="759" spans="1:22" ht="48.2" customHeight="1" x14ac:dyDescent="0.25">
      <c r="A759" s="17"/>
      <c r="B759" s="17"/>
      <c r="C759" s="18"/>
      <c r="D759" s="17"/>
      <c r="E759" s="19"/>
      <c r="F759" s="20"/>
      <c r="G759" s="21"/>
      <c r="H759" s="17"/>
      <c r="I759" s="20"/>
      <c r="J759" s="17"/>
      <c r="K759" s="17"/>
      <c r="L759" s="22"/>
      <c r="M759" s="22"/>
      <c r="N759" s="22"/>
      <c r="O759" s="22"/>
      <c r="P759" s="22"/>
      <c r="Q759" s="22"/>
      <c r="R759" s="23"/>
      <c r="S759" s="22"/>
      <c r="T759" s="24"/>
      <c r="U759" s="25"/>
    </row>
    <row r="760" spans="1:22" ht="48" customHeight="1" x14ac:dyDescent="0.25">
      <c r="A760" s="17">
        <f>VLOOKUP(C760,[1]Werke!$A$1:$C$168,3,0)</f>
        <v>21</v>
      </c>
      <c r="B760" s="17" t="str">
        <f>VLOOKUP(C760,[1]Werke!$A$1:$C$168,2,0)</f>
        <v>GZD</v>
      </c>
      <c r="C760" s="18" t="s">
        <v>154</v>
      </c>
      <c r="D760" s="17" t="str">
        <f>VLOOKUP(C760,[1]Maliteslimalan!$A$1:$B$210,2,0)</f>
        <v>8000012572</v>
      </c>
      <c r="E760" s="19" t="str">
        <f>VLOOKUP(C760,[1]Bestellnr.!$A$1:$B$174,2,0)</f>
        <v>000006</v>
      </c>
      <c r="F760" s="20" t="str">
        <f t="shared" ref="F760:F777" si="402">VLOOKUP(G760,$U$1:$V$1730,2,0)</f>
        <v>N   104 562 01</v>
      </c>
      <c r="G760" s="21">
        <v>100325100</v>
      </c>
      <c r="H760" s="17">
        <f t="shared" ref="H760:H777" si="403">VLOOKUP(G760,Z$2:AA$1905,2,FALSE)</f>
        <v>7.3000000000000001E-3</v>
      </c>
      <c r="I760" s="20"/>
      <c r="J760" s="17">
        <f t="shared" ref="J760:J777" si="404">VLOOKUP(G760,W$2:X$1905,2,FALSE)</f>
        <v>1900</v>
      </c>
      <c r="K760" s="17">
        <f t="shared" ref="K760:K777" si="405">I760/J760</f>
        <v>0</v>
      </c>
      <c r="L760" s="22">
        <v>10</v>
      </c>
      <c r="M760" s="22">
        <v>30</v>
      </c>
      <c r="N760" s="22">
        <v>111444</v>
      </c>
      <c r="O760" s="22" t="str">
        <f t="shared" ref="O760:O777" si="406">VLOOKUP(N760,$AL$1285:$AM$1310,2,FALSE)</f>
        <v>001006</v>
      </c>
      <c r="P760" s="22">
        <f t="shared" ref="P760:P777" si="407">VLOOKUP(N760,AC$2:AD$1905,2,FALSE)</f>
        <v>34</v>
      </c>
      <c r="Q760" s="22"/>
      <c r="R760" s="23" t="s">
        <v>153</v>
      </c>
      <c r="S760" s="22">
        <f t="shared" ref="S760:S777" si="408">VLOOKUP(R760,AC$2:AD$1905,2,FALSE)</f>
        <v>0.56999999999999995</v>
      </c>
      <c r="T760" s="24">
        <f t="shared" ref="T760:T777" si="409">(H760*I760)+P760*Q760+S760*K760</f>
        <v>0</v>
      </c>
      <c r="U760" s="25">
        <f t="shared" ref="U760:U777" si="410">IF(TRIM(N760&amp;"")="111444",
    IF(ROUNDUP(MAX(0,K760-(MAX(1,Q760)-1)*10)/10,0)=1,3,2),
    IF(TRIM(N760&amp;"")="VWPAL",
        IF(TRIM(R760&amp;"")="004147",1,2),
        ""
    )
)</f>
        <v>2</v>
      </c>
      <c r="V760" s="26" t="str">
        <f t="shared" ref="V760:V777" si="411">IF(OR(TRIM(N760&amp;"")="111444",TRIM(N760&amp;"")="VWPAL"),
    IF(K760&lt;=0,"",
        IF(
            MIN(3,ROUNDUP(MAX(0,K760-(MAX(1,Q760)-1)*IF(TRIM(N760&amp;"")="111444",10,20))/IF(TRIM(N760&amp;"")="111444",10,20),0))=1,
            300,
            IF(
                MIN(3,ROUNDUP(MAX(0,K760-(MAX(1,Q760)-1)*IF(TRIM(N760&amp;"")="111444",10,20))/IF(TRIM(N760&amp;"")="111444",10,20),0))=2,
                450,
                600
            )
        )
    ),
    ""
)</f>
        <v/>
      </c>
    </row>
    <row r="761" spans="1:22" ht="48" customHeight="1" x14ac:dyDescent="0.25">
      <c r="A761" s="17">
        <f>VLOOKUP(C761,[1]Werke!$A$1:$C$168,3,0)</f>
        <v>27</v>
      </c>
      <c r="B761" s="17" t="str">
        <f>VLOOKUP(C761,[1]Werke!$A$1:$C$168,2,0)</f>
        <v>EFL</v>
      </c>
      <c r="C761" s="18" t="s">
        <v>290</v>
      </c>
      <c r="D761" s="17" t="str">
        <f>VLOOKUP(C761,[1]Maliteslimalan!$A$1:$B$210,2,0)</f>
        <v>8000012573</v>
      </c>
      <c r="E761" s="19" t="str">
        <f>VLOOKUP(C761,[1]Bestellnr.!$A$1:$B$174,2,0)</f>
        <v>000006</v>
      </c>
      <c r="F761" s="20" t="str">
        <f t="shared" si="402"/>
        <v>N   104 562 01</v>
      </c>
      <c r="G761" s="21">
        <v>100325100</v>
      </c>
      <c r="H761" s="17">
        <f t="shared" si="403"/>
        <v>7.3000000000000001E-3</v>
      </c>
      <c r="I761" s="20"/>
      <c r="J761" s="17">
        <f t="shared" si="404"/>
        <v>1900</v>
      </c>
      <c r="K761" s="17">
        <f t="shared" si="405"/>
        <v>0</v>
      </c>
      <c r="L761" s="22">
        <v>10</v>
      </c>
      <c r="M761" s="22">
        <v>10</v>
      </c>
      <c r="N761" s="22">
        <v>111444</v>
      </c>
      <c r="O761" s="22" t="str">
        <f t="shared" si="406"/>
        <v>001006</v>
      </c>
      <c r="P761" s="22">
        <f t="shared" si="407"/>
        <v>34</v>
      </c>
      <c r="Q761" s="22"/>
      <c r="R761" s="23" t="s">
        <v>153</v>
      </c>
      <c r="S761" s="22">
        <f t="shared" si="408"/>
        <v>0.56999999999999995</v>
      </c>
      <c r="T761" s="24">
        <f t="shared" si="409"/>
        <v>0</v>
      </c>
      <c r="U761" s="25">
        <f t="shared" si="410"/>
        <v>2</v>
      </c>
      <c r="V761" s="26" t="str">
        <f t="shared" si="411"/>
        <v/>
      </c>
    </row>
    <row r="762" spans="1:22" ht="48" customHeight="1" x14ac:dyDescent="0.25">
      <c r="A762" s="17">
        <f>VLOOKUP(C762,[1]Werke!$A$1:$C$168,3,0)</f>
        <v>31</v>
      </c>
      <c r="B762" s="17" t="str">
        <f>VLOOKUP(C762,[1]Werke!$A$1:$C$168,2,0)</f>
        <v>B62</v>
      </c>
      <c r="C762" s="18">
        <v>10362</v>
      </c>
      <c r="D762" s="17" t="str">
        <f>VLOOKUP(C762,[1]Maliteslimalan!$A$1:$B$210,2,0)</f>
        <v>8000012742</v>
      </c>
      <c r="E762" s="19">
        <v>6</v>
      </c>
      <c r="F762" s="20" t="str">
        <f t="shared" si="402"/>
        <v>N   104 562 01</v>
      </c>
      <c r="G762" s="21">
        <v>100325100</v>
      </c>
      <c r="H762" s="17">
        <f t="shared" si="403"/>
        <v>7.3000000000000001E-3</v>
      </c>
      <c r="I762" s="20"/>
      <c r="J762" s="17">
        <f t="shared" si="404"/>
        <v>1900</v>
      </c>
      <c r="K762" s="17">
        <f t="shared" si="405"/>
        <v>0</v>
      </c>
      <c r="L762" s="22">
        <v>10</v>
      </c>
      <c r="M762" s="22">
        <v>10</v>
      </c>
      <c r="N762" s="22">
        <v>111444</v>
      </c>
      <c r="O762" s="22" t="str">
        <f t="shared" si="406"/>
        <v>001006</v>
      </c>
      <c r="P762" s="22">
        <f t="shared" si="407"/>
        <v>34</v>
      </c>
      <c r="Q762" s="22"/>
      <c r="R762" s="23" t="s">
        <v>153</v>
      </c>
      <c r="S762" s="22">
        <f t="shared" si="408"/>
        <v>0.56999999999999995</v>
      </c>
      <c r="T762" s="24">
        <f t="shared" si="409"/>
        <v>0</v>
      </c>
      <c r="U762" s="25">
        <f t="shared" si="410"/>
        <v>2</v>
      </c>
      <c r="V762" s="26" t="str">
        <f t="shared" si="411"/>
        <v/>
      </c>
    </row>
    <row r="763" spans="1:22" ht="48" customHeight="1" x14ac:dyDescent="0.25">
      <c r="A763" s="17">
        <f>VLOOKUP(C763,[1]Werke!$A$1:$C$168,3,0)</f>
        <v>49</v>
      </c>
      <c r="B763" s="17" t="str">
        <f>VLOOKUP(C763,[1]Werke!$A$1:$C$168,2,0)</f>
        <v>CT</v>
      </c>
      <c r="C763" s="18" t="s">
        <v>217</v>
      </c>
      <c r="D763" s="17" t="str">
        <f>VLOOKUP(C763,[1]Maliteslimalan!$A$1:$B$210,2,0)</f>
        <v>8000012574</v>
      </c>
      <c r="E763" s="19" t="str">
        <f>VLOOKUP(C763,[1]Bestellnr.!$A$1:$B$174,2,0)</f>
        <v>000001</v>
      </c>
      <c r="F763" s="20" t="str">
        <f t="shared" si="402"/>
        <v>N   104 562 01</v>
      </c>
      <c r="G763" s="21">
        <v>100325100</v>
      </c>
      <c r="H763" s="17">
        <f t="shared" si="403"/>
        <v>7.3000000000000001E-3</v>
      </c>
      <c r="I763" s="20"/>
      <c r="J763" s="17">
        <f t="shared" si="404"/>
        <v>1900</v>
      </c>
      <c r="K763" s="17">
        <f t="shared" si="405"/>
        <v>0</v>
      </c>
      <c r="L763" s="22">
        <v>10</v>
      </c>
      <c r="M763" s="22">
        <v>10</v>
      </c>
      <c r="N763" s="22">
        <v>111444</v>
      </c>
      <c r="O763" s="22" t="str">
        <f t="shared" si="406"/>
        <v>001006</v>
      </c>
      <c r="P763" s="22">
        <f t="shared" si="407"/>
        <v>34</v>
      </c>
      <c r="Q763" s="22"/>
      <c r="R763" s="23" t="s">
        <v>153</v>
      </c>
      <c r="S763" s="22">
        <f t="shared" si="408"/>
        <v>0.56999999999999995</v>
      </c>
      <c r="T763" s="24">
        <f t="shared" si="409"/>
        <v>0</v>
      </c>
      <c r="U763" s="25">
        <f t="shared" si="410"/>
        <v>2</v>
      </c>
      <c r="V763" s="26" t="str">
        <f t="shared" si="411"/>
        <v/>
      </c>
    </row>
    <row r="764" spans="1:22" ht="48" customHeight="1" x14ac:dyDescent="0.25">
      <c r="A764" s="17" t="str">
        <f>VLOOKUP(C764,[1]Werke!$A$1:$C$168,3,0)</f>
        <v>IM</v>
      </c>
      <c r="B764" s="17">
        <f>VLOOKUP(C764,[1]Werke!$A$1:$C$168,2,0)</f>
        <v>889</v>
      </c>
      <c r="C764" s="18" t="s">
        <v>225</v>
      </c>
      <c r="D764" s="17">
        <f>VLOOKUP(C764,[1]Maliteslimalan!$A$1:$B$210,2,0)</f>
        <v>8000017117</v>
      </c>
      <c r="E764" s="19">
        <v>6</v>
      </c>
      <c r="F764" s="20" t="str">
        <f t="shared" si="402"/>
        <v>N   104 562 01</v>
      </c>
      <c r="G764" s="21">
        <v>100325100</v>
      </c>
      <c r="H764" s="17">
        <f t="shared" si="403"/>
        <v>7.3000000000000001E-3</v>
      </c>
      <c r="I764" s="20"/>
      <c r="J764" s="17">
        <f t="shared" si="404"/>
        <v>1900</v>
      </c>
      <c r="K764" s="17">
        <f t="shared" si="405"/>
        <v>0</v>
      </c>
      <c r="L764" s="22">
        <v>10</v>
      </c>
      <c r="M764" s="22">
        <v>10</v>
      </c>
      <c r="N764" s="22">
        <v>111444</v>
      </c>
      <c r="O764" s="22" t="str">
        <f t="shared" si="406"/>
        <v>001006</v>
      </c>
      <c r="P764" s="22">
        <f t="shared" si="407"/>
        <v>34</v>
      </c>
      <c r="Q764" s="22"/>
      <c r="R764" s="23" t="s">
        <v>153</v>
      </c>
      <c r="S764" s="22">
        <f t="shared" si="408"/>
        <v>0.56999999999999995</v>
      </c>
      <c r="T764" s="24">
        <f t="shared" si="409"/>
        <v>0</v>
      </c>
      <c r="U764" s="25">
        <f t="shared" si="410"/>
        <v>2</v>
      </c>
      <c r="V764" s="26" t="str">
        <f t="shared" si="411"/>
        <v/>
      </c>
    </row>
    <row r="765" spans="1:22" ht="48" customHeight="1" x14ac:dyDescent="0.25">
      <c r="A765" s="17" t="str">
        <f>VLOOKUP(C765,[1]Werke!$A$1:$C$168,3,0)</f>
        <v>LD</v>
      </c>
      <c r="B765" s="17" t="str">
        <f>VLOOKUP(C765,[1]Werke!$A$1:$C$168,2,0)</f>
        <v>SLD</v>
      </c>
      <c r="C765" s="18">
        <v>83630</v>
      </c>
      <c r="D765" s="17" t="str">
        <f>VLOOKUP(C765,[1]Maliteslimalan!$A$1:$B$210,2,0)</f>
        <v>8000012862</v>
      </c>
      <c r="E765" s="19" t="str">
        <f>VLOOKUP(C765,[1]Bestellnr.!$A$1:$B$174,2,0)</f>
        <v>000006</v>
      </c>
      <c r="F765" s="20" t="str">
        <f t="shared" si="402"/>
        <v>N   104 562 01</v>
      </c>
      <c r="G765" s="21">
        <v>100325100</v>
      </c>
      <c r="H765" s="17">
        <f t="shared" si="403"/>
        <v>7.3000000000000001E-3</v>
      </c>
      <c r="I765" s="20"/>
      <c r="J765" s="17">
        <f t="shared" si="404"/>
        <v>1900</v>
      </c>
      <c r="K765" s="17">
        <f t="shared" si="405"/>
        <v>0</v>
      </c>
      <c r="L765" s="22">
        <v>10</v>
      </c>
      <c r="M765" s="22">
        <v>30</v>
      </c>
      <c r="N765" s="22">
        <v>111444</v>
      </c>
      <c r="O765" s="22" t="str">
        <f t="shared" si="406"/>
        <v>001006</v>
      </c>
      <c r="P765" s="22">
        <f t="shared" si="407"/>
        <v>34</v>
      </c>
      <c r="Q765" s="22"/>
      <c r="R765" s="23" t="s">
        <v>153</v>
      </c>
      <c r="S765" s="22">
        <f t="shared" si="408"/>
        <v>0.56999999999999995</v>
      </c>
      <c r="T765" s="24">
        <f t="shared" si="409"/>
        <v>0</v>
      </c>
      <c r="U765" s="25">
        <f t="shared" si="410"/>
        <v>2</v>
      </c>
      <c r="V765" s="26" t="str">
        <f t="shared" si="411"/>
        <v/>
      </c>
    </row>
    <row r="766" spans="1:22" ht="48" customHeight="1" x14ac:dyDescent="0.25">
      <c r="A766" s="17" t="str">
        <f>VLOOKUP(C766,[1]Werke!$A$1:$C$168,3,0)</f>
        <v>16D</v>
      </c>
      <c r="B766" s="17">
        <f>VLOOKUP(C766,[1]Werke!$A$1:$C$168,2,0)</f>
        <v>210</v>
      </c>
      <c r="C766" s="18" t="s">
        <v>226</v>
      </c>
      <c r="D766" s="17" t="str">
        <f>VLOOKUP(C766,[1]Maliteslimalan!$A$1:$B$210,2,0)</f>
        <v>8000012565</v>
      </c>
      <c r="E766" s="19">
        <f>VLOOKUP(C766,[1]Bestellnr.!$A$1:$B$174,2,0)</f>
        <v>0</v>
      </c>
      <c r="F766" s="20" t="str">
        <f t="shared" si="402"/>
        <v>N   104 562 01</v>
      </c>
      <c r="G766" s="21">
        <v>100325100</v>
      </c>
      <c r="H766" s="17">
        <f t="shared" si="403"/>
        <v>7.3000000000000001E-3</v>
      </c>
      <c r="I766" s="20"/>
      <c r="J766" s="17">
        <f t="shared" si="404"/>
        <v>1900</v>
      </c>
      <c r="K766" s="17">
        <f t="shared" si="405"/>
        <v>0</v>
      </c>
      <c r="L766" s="22">
        <v>10</v>
      </c>
      <c r="M766" s="22">
        <v>30</v>
      </c>
      <c r="N766" s="22">
        <v>111444</v>
      </c>
      <c r="O766" s="22" t="str">
        <f t="shared" si="406"/>
        <v>001006</v>
      </c>
      <c r="P766" s="22">
        <f t="shared" si="407"/>
        <v>34</v>
      </c>
      <c r="Q766" s="22"/>
      <c r="R766" s="23" t="s">
        <v>153</v>
      </c>
      <c r="S766" s="22">
        <f t="shared" si="408"/>
        <v>0.56999999999999995</v>
      </c>
      <c r="T766" s="24">
        <f t="shared" si="409"/>
        <v>0</v>
      </c>
      <c r="U766" s="25">
        <f t="shared" si="410"/>
        <v>2</v>
      </c>
      <c r="V766" s="26" t="str">
        <f t="shared" si="411"/>
        <v/>
      </c>
    </row>
    <row r="767" spans="1:22" ht="48" customHeight="1" x14ac:dyDescent="0.25">
      <c r="A767" s="17">
        <f>VLOOKUP(C767,[1]Werke!$A$1:$C$168,3,0)</f>
        <v>11</v>
      </c>
      <c r="B767" s="17" t="str">
        <f>VLOOKUP(C767,[1]Werke!$A$1:$C$168,2,0)</f>
        <v>AKL</v>
      </c>
      <c r="C767" s="18" t="s">
        <v>227</v>
      </c>
      <c r="D767" s="17" t="str">
        <f>VLOOKUP(C767,[1]Maliteslimalan!$A$1:$B$210,2,0)</f>
        <v>8000012570</v>
      </c>
      <c r="E767" s="19" t="str">
        <f>VLOOKUP(C767,[1]Bestellnr.!$A$1:$B$174,2,0)</f>
        <v>000006</v>
      </c>
      <c r="F767" s="20" t="str">
        <f t="shared" si="402"/>
        <v>N   104 562 01</v>
      </c>
      <c r="G767" s="21">
        <v>100325100</v>
      </c>
      <c r="H767" s="17">
        <f t="shared" si="403"/>
        <v>7.3000000000000001E-3</v>
      </c>
      <c r="I767" s="20"/>
      <c r="J767" s="17">
        <f t="shared" si="404"/>
        <v>1900</v>
      </c>
      <c r="K767" s="17">
        <f t="shared" si="405"/>
        <v>0</v>
      </c>
      <c r="L767" s="22">
        <v>10</v>
      </c>
      <c r="M767" s="22">
        <v>10</v>
      </c>
      <c r="N767" s="22">
        <v>111444</v>
      </c>
      <c r="O767" s="22" t="str">
        <f t="shared" si="406"/>
        <v>001006</v>
      </c>
      <c r="P767" s="22">
        <f t="shared" si="407"/>
        <v>34</v>
      </c>
      <c r="Q767" s="22"/>
      <c r="R767" s="23" t="s">
        <v>153</v>
      </c>
      <c r="S767" s="22">
        <f t="shared" si="408"/>
        <v>0.56999999999999995</v>
      </c>
      <c r="T767" s="24">
        <f t="shared" si="409"/>
        <v>0</v>
      </c>
      <c r="U767" s="25">
        <f t="shared" si="410"/>
        <v>2</v>
      </c>
      <c r="V767" s="26" t="str">
        <f t="shared" si="411"/>
        <v/>
      </c>
    </row>
    <row r="768" spans="1:22" ht="48" customHeight="1" x14ac:dyDescent="0.25">
      <c r="A768" s="17">
        <f>VLOOKUP(C768,[1]Werke!$A$1:$C$168,3,0)</f>
        <v>28</v>
      </c>
      <c r="B768" s="17" t="str">
        <f>VLOOKUP(C768,[1]Werke!$A$1:$C$168,2,0)</f>
        <v>S1</v>
      </c>
      <c r="C768" s="18" t="s">
        <v>229</v>
      </c>
      <c r="D768" s="17" t="str">
        <f>VLOOKUP(C768,[1]Maliteslimalan!$A$1:$B$210,2,0)</f>
        <v>8000012596</v>
      </c>
      <c r="E768" s="19" t="str">
        <f>VLOOKUP(C768,[1]Bestellnr.!$A$1:$B$174,2,0)</f>
        <v>000006</v>
      </c>
      <c r="F768" s="20" t="str">
        <f t="shared" si="402"/>
        <v>N   104 562 01</v>
      </c>
      <c r="G768" s="21">
        <v>100325100</v>
      </c>
      <c r="H768" s="17">
        <f t="shared" si="403"/>
        <v>7.3000000000000001E-3</v>
      </c>
      <c r="I768" s="20"/>
      <c r="J768" s="17">
        <f t="shared" si="404"/>
        <v>1900</v>
      </c>
      <c r="K768" s="17">
        <f t="shared" si="405"/>
        <v>0</v>
      </c>
      <c r="L768" s="22">
        <v>10</v>
      </c>
      <c r="M768" s="22">
        <v>30</v>
      </c>
      <c r="N768" s="22">
        <v>111444</v>
      </c>
      <c r="O768" s="22" t="str">
        <f t="shared" si="406"/>
        <v>001006</v>
      </c>
      <c r="P768" s="22">
        <f t="shared" si="407"/>
        <v>34</v>
      </c>
      <c r="Q768" s="22"/>
      <c r="R768" s="23" t="s">
        <v>153</v>
      </c>
      <c r="S768" s="22">
        <f t="shared" si="408"/>
        <v>0.56999999999999995</v>
      </c>
      <c r="T768" s="24">
        <f t="shared" si="409"/>
        <v>0</v>
      </c>
      <c r="U768" s="25">
        <f t="shared" si="410"/>
        <v>2</v>
      </c>
      <c r="V768" s="26" t="str">
        <f t="shared" si="411"/>
        <v/>
      </c>
    </row>
    <row r="769" spans="1:22" ht="48" customHeight="1" x14ac:dyDescent="0.25">
      <c r="A769" s="17">
        <f>VLOOKUP(C769,[1]Werke!$A$1:$C$168,3,0)</f>
        <v>37</v>
      </c>
      <c r="B769" s="17" t="str">
        <f>VLOOKUP(C769,[1]Werke!$A$1:$C$168,2,0)</f>
        <v>AKL</v>
      </c>
      <c r="C769" s="18" t="s">
        <v>232</v>
      </c>
      <c r="D769" s="17" t="str">
        <f>VLOOKUP(C769,[1]Maliteslimalan!$A$1:$B$210,2,0)</f>
        <v>8000012562</v>
      </c>
      <c r="E769" s="19" t="str">
        <f>VLOOKUP(C769,[1]Bestellnr.!$A$1:$B$174,2,0)</f>
        <v>000006</v>
      </c>
      <c r="F769" s="20" t="str">
        <f t="shared" si="402"/>
        <v>N   104 562 01</v>
      </c>
      <c r="G769" s="21">
        <v>100325100</v>
      </c>
      <c r="H769" s="17">
        <f t="shared" si="403"/>
        <v>7.3000000000000001E-3</v>
      </c>
      <c r="I769" s="20"/>
      <c r="J769" s="17">
        <f t="shared" si="404"/>
        <v>1900</v>
      </c>
      <c r="K769" s="17">
        <f t="shared" si="405"/>
        <v>0</v>
      </c>
      <c r="L769" s="22">
        <v>10</v>
      </c>
      <c r="M769" s="22">
        <v>30</v>
      </c>
      <c r="N769" s="22">
        <v>111444</v>
      </c>
      <c r="O769" s="22" t="str">
        <f t="shared" si="406"/>
        <v>001006</v>
      </c>
      <c r="P769" s="22">
        <f t="shared" si="407"/>
        <v>34</v>
      </c>
      <c r="Q769" s="22"/>
      <c r="R769" s="23" t="s">
        <v>153</v>
      </c>
      <c r="S769" s="22">
        <f t="shared" si="408"/>
        <v>0.56999999999999995</v>
      </c>
      <c r="T769" s="24">
        <f t="shared" si="409"/>
        <v>0</v>
      </c>
      <c r="U769" s="25">
        <f t="shared" si="410"/>
        <v>2</v>
      </c>
      <c r="V769" s="26" t="str">
        <f t="shared" si="411"/>
        <v/>
      </c>
    </row>
    <row r="770" spans="1:22" ht="48" customHeight="1" x14ac:dyDescent="0.25">
      <c r="A770" s="17">
        <f>VLOOKUP(C770,[1]Werke!$A$1:$C$168,3,0)</f>
        <v>33</v>
      </c>
      <c r="B770" s="17" t="str">
        <f>VLOOKUP(C770,[1]Werke!$A$1:$C$168,2,0)</f>
        <v>KK2</v>
      </c>
      <c r="C770" s="18" t="s">
        <v>233</v>
      </c>
      <c r="D770" s="17" t="str">
        <f>VLOOKUP(C770,[1]Maliteslimalan!$A$1:$B$210,2,0)</f>
        <v>8000012709</v>
      </c>
      <c r="E770" s="19" t="str">
        <f>VLOOKUP(C770,[1]Bestellnr.!$A$1:$B$174,2,0)</f>
        <v>000055</v>
      </c>
      <c r="F770" s="20" t="str">
        <f t="shared" si="402"/>
        <v>N   104 562 01</v>
      </c>
      <c r="G770" s="21">
        <v>100325100</v>
      </c>
      <c r="H770" s="17">
        <f t="shared" si="403"/>
        <v>7.3000000000000001E-3</v>
      </c>
      <c r="I770" s="20"/>
      <c r="J770" s="17">
        <f t="shared" si="404"/>
        <v>1900</v>
      </c>
      <c r="K770" s="17">
        <f t="shared" si="405"/>
        <v>0</v>
      </c>
      <c r="L770" s="22">
        <v>10</v>
      </c>
      <c r="M770" s="22">
        <v>10</v>
      </c>
      <c r="N770" s="22">
        <v>111444</v>
      </c>
      <c r="O770" s="22" t="str">
        <f t="shared" si="406"/>
        <v>001006</v>
      </c>
      <c r="P770" s="22">
        <f t="shared" si="407"/>
        <v>34</v>
      </c>
      <c r="Q770" s="22"/>
      <c r="R770" s="23" t="s">
        <v>153</v>
      </c>
      <c r="S770" s="22">
        <f t="shared" si="408"/>
        <v>0.56999999999999995</v>
      </c>
      <c r="T770" s="24">
        <f t="shared" si="409"/>
        <v>0</v>
      </c>
      <c r="U770" s="25">
        <f t="shared" si="410"/>
        <v>2</v>
      </c>
      <c r="V770" s="26" t="str">
        <f t="shared" si="411"/>
        <v/>
      </c>
    </row>
    <row r="771" spans="1:22" ht="48" customHeight="1" x14ac:dyDescent="0.25">
      <c r="A771" s="17">
        <f>VLOOKUP(C771,[1]Werke!$A$1:$C$168,3,0)</f>
        <v>43</v>
      </c>
      <c r="B771" s="17" t="str">
        <f>VLOOKUP(C771,[1]Werke!$A$1:$C$168,2,0)</f>
        <v>FCK</v>
      </c>
      <c r="C771" s="18" t="s">
        <v>237</v>
      </c>
      <c r="D771" s="17" t="str">
        <f>VLOOKUP(C771,[1]Maliteslimalan!$A$1:$B$210,2,0)</f>
        <v>8000012579</v>
      </c>
      <c r="E771" s="19" t="str">
        <f>VLOOKUP(C771,[1]Bestellnr.!$A$1:$B$174,2,0)</f>
        <v>000006</v>
      </c>
      <c r="F771" s="20" t="str">
        <f t="shared" si="402"/>
        <v>N   104 562 01</v>
      </c>
      <c r="G771" s="21">
        <v>100325100</v>
      </c>
      <c r="H771" s="17">
        <f t="shared" si="403"/>
        <v>7.3000000000000001E-3</v>
      </c>
      <c r="I771" s="20"/>
      <c r="J771" s="17">
        <f t="shared" si="404"/>
        <v>1900</v>
      </c>
      <c r="K771" s="17">
        <f t="shared" si="405"/>
        <v>0</v>
      </c>
      <c r="L771" s="22">
        <v>10</v>
      </c>
      <c r="M771" s="22">
        <v>30</v>
      </c>
      <c r="N771" s="22">
        <v>111444</v>
      </c>
      <c r="O771" s="22" t="str">
        <f t="shared" si="406"/>
        <v>001006</v>
      </c>
      <c r="P771" s="22">
        <f t="shared" si="407"/>
        <v>34</v>
      </c>
      <c r="Q771" s="22"/>
      <c r="R771" s="23" t="s">
        <v>153</v>
      </c>
      <c r="S771" s="22">
        <f t="shared" si="408"/>
        <v>0.56999999999999995</v>
      </c>
      <c r="T771" s="24">
        <f t="shared" si="409"/>
        <v>0</v>
      </c>
      <c r="U771" s="25">
        <f t="shared" si="410"/>
        <v>2</v>
      </c>
      <c r="V771" s="26" t="str">
        <f t="shared" si="411"/>
        <v/>
      </c>
    </row>
    <row r="772" spans="1:22" ht="48" customHeight="1" x14ac:dyDescent="0.25">
      <c r="A772" s="17">
        <f>VLOOKUP(C772,[1]Werke!$A$1:$C$168,3,0)</f>
        <v>15</v>
      </c>
      <c r="B772" s="17" t="str">
        <f>VLOOKUP(C772,[1]Werke!$A$1:$C$168,2,0)</f>
        <v>H9A</v>
      </c>
      <c r="C772" s="18" t="s">
        <v>240</v>
      </c>
      <c r="D772" s="17">
        <f>VLOOKUP(C772,[1]Maliteslimalan!$A$1:$B$210,2,0)</f>
        <v>8000017580</v>
      </c>
      <c r="E772" s="19">
        <v>6</v>
      </c>
      <c r="F772" s="20" t="str">
        <f t="shared" si="402"/>
        <v>N   104 562 01</v>
      </c>
      <c r="G772" s="21">
        <v>100325100</v>
      </c>
      <c r="H772" s="17">
        <f t="shared" si="403"/>
        <v>7.3000000000000001E-3</v>
      </c>
      <c r="I772" s="20"/>
      <c r="J772" s="17">
        <f t="shared" si="404"/>
        <v>1900</v>
      </c>
      <c r="K772" s="17">
        <f t="shared" si="405"/>
        <v>0</v>
      </c>
      <c r="L772" s="22">
        <v>10</v>
      </c>
      <c r="M772" s="22">
        <v>30</v>
      </c>
      <c r="N772" s="22">
        <v>111444</v>
      </c>
      <c r="O772" s="22" t="str">
        <f t="shared" si="406"/>
        <v>001006</v>
      </c>
      <c r="P772" s="22">
        <f t="shared" si="407"/>
        <v>34</v>
      </c>
      <c r="Q772" s="22"/>
      <c r="R772" s="23" t="s">
        <v>153</v>
      </c>
      <c r="S772" s="22">
        <f t="shared" si="408"/>
        <v>0.56999999999999995</v>
      </c>
      <c r="T772" s="24">
        <f t="shared" si="409"/>
        <v>0</v>
      </c>
      <c r="U772" s="25">
        <f t="shared" si="410"/>
        <v>2</v>
      </c>
      <c r="V772" s="26" t="str">
        <f t="shared" si="411"/>
        <v/>
      </c>
    </row>
    <row r="773" spans="1:22" ht="48" customHeight="1" x14ac:dyDescent="0.25">
      <c r="A773" s="17" t="str">
        <f>VLOOKUP(C773,[1]Werke!$A$1:$C$168,3,0)</f>
        <v>HT</v>
      </c>
      <c r="B773" s="17">
        <f>VLOOKUP(C773,[1]Werke!$A$1:$C$168,2,0)</f>
        <v>34</v>
      </c>
      <c r="C773" s="18">
        <v>80245</v>
      </c>
      <c r="D773" s="17">
        <f>VLOOKUP(C773,[1]Maliteslimalan!$A$1:$B$210,2,0)</f>
        <v>8000012604</v>
      </c>
      <c r="E773" s="19">
        <v>6</v>
      </c>
      <c r="F773" s="20" t="str">
        <f t="shared" si="402"/>
        <v>N   104 562 01</v>
      </c>
      <c r="G773" s="21">
        <v>100325100</v>
      </c>
      <c r="H773" s="17">
        <f t="shared" si="403"/>
        <v>7.3000000000000001E-3</v>
      </c>
      <c r="I773" s="20"/>
      <c r="J773" s="17">
        <f t="shared" si="404"/>
        <v>1900</v>
      </c>
      <c r="K773" s="17">
        <f t="shared" si="405"/>
        <v>0</v>
      </c>
      <c r="L773" s="22">
        <v>10</v>
      </c>
      <c r="M773" s="22">
        <v>30</v>
      </c>
      <c r="N773" s="22">
        <v>111444</v>
      </c>
      <c r="O773" s="22" t="str">
        <f t="shared" si="406"/>
        <v>001006</v>
      </c>
      <c r="P773" s="22">
        <f t="shared" si="407"/>
        <v>34</v>
      </c>
      <c r="Q773" s="22"/>
      <c r="R773" s="23" t="s">
        <v>153</v>
      </c>
      <c r="S773" s="22">
        <f t="shared" si="408"/>
        <v>0.56999999999999995</v>
      </c>
      <c r="T773" s="24">
        <f t="shared" si="409"/>
        <v>0</v>
      </c>
      <c r="U773" s="25">
        <f t="shared" si="410"/>
        <v>2</v>
      </c>
      <c r="V773" s="26" t="str">
        <f t="shared" si="411"/>
        <v/>
      </c>
    </row>
    <row r="774" spans="1:22" ht="48" customHeight="1" x14ac:dyDescent="0.25">
      <c r="A774" s="17">
        <f>VLOOKUP(C774,[1]Werke!$A$1:$C$168,3,0)</f>
        <v>42</v>
      </c>
      <c r="B774" s="17" t="str">
        <f>VLOOKUP(C774,[1]Werke!$A$1:$C$168,2,0)</f>
        <v>VS1</v>
      </c>
      <c r="C774" s="18" t="s">
        <v>319</v>
      </c>
      <c r="D774" s="17">
        <f>VLOOKUP(C774,[1]Maliteslimalan!$A$1:$B$210,2,0)</f>
        <v>8000016694</v>
      </c>
      <c r="E774" s="19">
        <v>6</v>
      </c>
      <c r="F774" s="20" t="str">
        <f t="shared" si="402"/>
        <v>N   104 562 01</v>
      </c>
      <c r="G774" s="21">
        <v>100325100</v>
      </c>
      <c r="H774" s="17">
        <f t="shared" si="403"/>
        <v>7.3000000000000001E-3</v>
      </c>
      <c r="I774" s="20"/>
      <c r="J774" s="17">
        <f t="shared" si="404"/>
        <v>1900</v>
      </c>
      <c r="K774" s="17">
        <f t="shared" si="405"/>
        <v>0</v>
      </c>
      <c r="L774" s="22">
        <v>20</v>
      </c>
      <c r="M774" s="22">
        <v>60</v>
      </c>
      <c r="N774" s="22" t="s">
        <v>155</v>
      </c>
      <c r="O774" s="22" t="str">
        <f t="shared" si="406"/>
        <v>001210</v>
      </c>
      <c r="P774" s="22">
        <f t="shared" si="407"/>
        <v>55</v>
      </c>
      <c r="Q774" s="22"/>
      <c r="R774" s="23" t="s">
        <v>153</v>
      </c>
      <c r="S774" s="22">
        <f t="shared" si="408"/>
        <v>0.56999999999999995</v>
      </c>
      <c r="T774" s="24">
        <f t="shared" si="409"/>
        <v>0</v>
      </c>
      <c r="U774" s="25">
        <f t="shared" si="410"/>
        <v>2</v>
      </c>
      <c r="V774" s="26" t="str">
        <f t="shared" si="411"/>
        <v/>
      </c>
    </row>
    <row r="775" spans="1:22" ht="48" customHeight="1" x14ac:dyDescent="0.25">
      <c r="A775" s="17">
        <f>VLOOKUP(C775,[1]Werke!$A$1:$C$168,3,0)</f>
        <v>40</v>
      </c>
      <c r="B775" s="17">
        <f>VLOOKUP(C775,[1]Werke!$A$1:$C$168,2,0)</f>
        <v>908</v>
      </c>
      <c r="C775" s="18" t="s">
        <v>236</v>
      </c>
      <c r="D775" s="17" t="str">
        <f>VLOOKUP(C775,[1]Maliteslimalan!$A$1:$B$210,2,0)</f>
        <v>8000012582</v>
      </c>
      <c r="E775" s="19" t="str">
        <f>VLOOKUP(C775,[1]Bestellnr.!$A$1:$B$174,2,0)</f>
        <v>000001</v>
      </c>
      <c r="F775" s="20" t="str">
        <f t="shared" si="402"/>
        <v>N   104 562 01</v>
      </c>
      <c r="G775" s="21">
        <v>100325100</v>
      </c>
      <c r="H775" s="17">
        <f t="shared" si="403"/>
        <v>7.3000000000000001E-3</v>
      </c>
      <c r="I775" s="20"/>
      <c r="J775" s="17">
        <f t="shared" si="404"/>
        <v>1900</v>
      </c>
      <c r="K775" s="17">
        <f t="shared" si="405"/>
        <v>0</v>
      </c>
      <c r="L775" s="22">
        <v>10</v>
      </c>
      <c r="M775" s="22">
        <v>30</v>
      </c>
      <c r="N775" s="22">
        <v>111444</v>
      </c>
      <c r="O775" s="22" t="str">
        <f t="shared" si="406"/>
        <v>001006</v>
      </c>
      <c r="P775" s="22">
        <f t="shared" si="407"/>
        <v>34</v>
      </c>
      <c r="Q775" s="22"/>
      <c r="R775" s="23" t="s">
        <v>153</v>
      </c>
      <c r="S775" s="22">
        <f t="shared" si="408"/>
        <v>0.56999999999999995</v>
      </c>
      <c r="T775" s="24">
        <f t="shared" si="409"/>
        <v>0</v>
      </c>
      <c r="U775" s="25">
        <f t="shared" si="410"/>
        <v>2</v>
      </c>
      <c r="V775" s="26" t="str">
        <f t="shared" si="411"/>
        <v/>
      </c>
    </row>
    <row r="776" spans="1:22" ht="48" customHeight="1" x14ac:dyDescent="0.25">
      <c r="A776" s="17">
        <f>VLOOKUP(C776,[1]Werke!$A$1:$C$168,3,0)</f>
        <v>15</v>
      </c>
      <c r="B776" s="17" t="str">
        <f>VLOOKUP(C776,[1]Werke!$A$1:$C$168,2,0)</f>
        <v>H9A</v>
      </c>
      <c r="C776" s="18" t="s">
        <v>240</v>
      </c>
      <c r="D776" s="17">
        <f>VLOOKUP(C776,[1]Maliteslimalan!$A$1:$B$210,2,0)</f>
        <v>8000017580</v>
      </c>
      <c r="E776" s="19">
        <v>6</v>
      </c>
      <c r="F776" s="20" t="str">
        <f t="shared" si="402"/>
        <v>N   104 562 01</v>
      </c>
      <c r="G776" s="21">
        <v>100325100</v>
      </c>
      <c r="H776" s="17">
        <f t="shared" si="403"/>
        <v>7.3000000000000001E-3</v>
      </c>
      <c r="I776" s="20"/>
      <c r="J776" s="17">
        <f t="shared" si="404"/>
        <v>1900</v>
      </c>
      <c r="K776" s="17">
        <f t="shared" si="405"/>
        <v>0</v>
      </c>
      <c r="L776" s="22">
        <v>10</v>
      </c>
      <c r="M776" s="22">
        <v>30</v>
      </c>
      <c r="N776" s="22">
        <v>111444</v>
      </c>
      <c r="O776" s="22" t="str">
        <f t="shared" si="406"/>
        <v>001006</v>
      </c>
      <c r="P776" s="22">
        <f t="shared" si="407"/>
        <v>34</v>
      </c>
      <c r="Q776" s="22"/>
      <c r="R776" s="23" t="s">
        <v>153</v>
      </c>
      <c r="S776" s="22">
        <f t="shared" si="408"/>
        <v>0.56999999999999995</v>
      </c>
      <c r="T776" s="24">
        <f t="shared" si="409"/>
        <v>0</v>
      </c>
      <c r="U776" s="25">
        <f t="shared" si="410"/>
        <v>2</v>
      </c>
      <c r="V776" s="26" t="str">
        <f t="shared" si="411"/>
        <v/>
      </c>
    </row>
    <row r="777" spans="1:22" ht="48" customHeight="1" x14ac:dyDescent="0.25">
      <c r="A777" s="17">
        <f>VLOOKUP(C777,[1]Werke!$A$1:$C$168,3,0)</f>
        <v>24</v>
      </c>
      <c r="B777" s="17" t="str">
        <f>VLOOKUP(C777,[1]Werke!$A$1:$C$168,2,0)</f>
        <v>CKH</v>
      </c>
      <c r="C777" s="18" t="s">
        <v>224</v>
      </c>
      <c r="D777" s="17">
        <f>VLOOKUP(C777,[1]Maliteslimalan!$A$1:$B$210,2,0)</f>
        <v>8000013551</v>
      </c>
      <c r="E777" s="19">
        <v>6</v>
      </c>
      <c r="F777" s="20" t="str">
        <f t="shared" si="402"/>
        <v>N   104 562 01</v>
      </c>
      <c r="G777" s="21">
        <v>100325100</v>
      </c>
      <c r="H777" s="17">
        <f t="shared" si="403"/>
        <v>7.3000000000000001E-3</v>
      </c>
      <c r="I777" s="20"/>
      <c r="J777" s="17">
        <f t="shared" si="404"/>
        <v>1900</v>
      </c>
      <c r="K777" s="17">
        <f t="shared" si="405"/>
        <v>0</v>
      </c>
      <c r="L777" s="22">
        <v>10</v>
      </c>
      <c r="M777" s="22">
        <v>30</v>
      </c>
      <c r="N777" s="22">
        <v>111444</v>
      </c>
      <c r="O777" s="22" t="str">
        <f t="shared" si="406"/>
        <v>001006</v>
      </c>
      <c r="P777" s="22">
        <f t="shared" si="407"/>
        <v>34</v>
      </c>
      <c r="Q777" s="22"/>
      <c r="R777" s="23" t="s">
        <v>153</v>
      </c>
      <c r="S777" s="22">
        <f t="shared" si="408"/>
        <v>0.56999999999999995</v>
      </c>
      <c r="T777" s="24">
        <f t="shared" si="409"/>
        <v>0</v>
      </c>
      <c r="U777" s="25">
        <f t="shared" si="410"/>
        <v>2</v>
      </c>
      <c r="V777" s="26" t="str">
        <f t="shared" si="411"/>
        <v/>
      </c>
    </row>
    <row r="778" spans="1:22" ht="48" customHeight="1" x14ac:dyDescent="0.25">
      <c r="A778" s="17"/>
      <c r="B778" s="17"/>
      <c r="C778" s="18"/>
      <c r="D778" s="17"/>
      <c r="E778" s="19"/>
      <c r="F778" s="20"/>
      <c r="G778" s="21"/>
      <c r="H778" s="17"/>
      <c r="I778" s="20"/>
      <c r="J778" s="17"/>
      <c r="K778" s="17"/>
      <c r="L778" s="22"/>
      <c r="M778" s="22"/>
      <c r="N778" s="22"/>
      <c r="O778" s="22"/>
      <c r="P778" s="22"/>
      <c r="Q778" s="22"/>
      <c r="R778" s="23"/>
      <c r="S778" s="22"/>
      <c r="T778" s="24"/>
      <c r="U778" s="25"/>
    </row>
    <row r="779" spans="1:22" ht="48.2" customHeight="1" x14ac:dyDescent="0.25">
      <c r="A779" s="17" t="str">
        <f>VLOOKUP(C779,[1]Werke!$A$1:$C$168,3,0)</f>
        <v>LD</v>
      </c>
      <c r="B779" s="17" t="str">
        <f>VLOOKUP(C779,[1]Werke!$A$1:$C$168,2,0)</f>
        <v>SLD</v>
      </c>
      <c r="C779" s="18">
        <v>83630</v>
      </c>
      <c r="D779" s="17" t="str">
        <f>VLOOKUP(C779,[1]Maliteslimalan!$A$1:$B$210,2,0)</f>
        <v>8000012862</v>
      </c>
      <c r="E779" s="19" t="str">
        <f>VLOOKUP(C779,[1]Bestellnr.!$A$1:$B$174,2,0)</f>
        <v>000006</v>
      </c>
      <c r="F779" s="20" t="str">
        <f>VLOOKUP(G779,$U$1:$V$1730,2,0)</f>
        <v>N   104 657 02</v>
      </c>
      <c r="G779" s="21">
        <v>100325400</v>
      </c>
      <c r="H779" s="17">
        <f>VLOOKUP(G779,Z$2:AA$1905,2,FALSE)</f>
        <v>6.8399999999999997E-3</v>
      </c>
      <c r="I779" s="20"/>
      <c r="J779" s="17">
        <f>VLOOKUP(G779,W$2:X$1905,2,FALSE)</f>
        <v>1500</v>
      </c>
      <c r="K779" s="17">
        <f>I779/J779</f>
        <v>0</v>
      </c>
      <c r="L779" s="22">
        <v>10</v>
      </c>
      <c r="M779" s="22">
        <v>30</v>
      </c>
      <c r="N779" s="22">
        <v>111444</v>
      </c>
      <c r="O779" s="22" t="str">
        <f>VLOOKUP(N779,$AL$1285:$AM$1310,2,FALSE)</f>
        <v>001006</v>
      </c>
      <c r="P779" s="22">
        <f>VLOOKUP(N779,AC$2:AD$1905,2,FALSE)</f>
        <v>34</v>
      </c>
      <c r="Q779" s="22"/>
      <c r="R779" s="23" t="s">
        <v>153</v>
      </c>
      <c r="S779" s="22">
        <f>VLOOKUP(R779,AC$2:AD$1905,2,FALSE)</f>
        <v>0.56999999999999995</v>
      </c>
      <c r="T779" s="24">
        <f>(H779*I779)+P779*Q779+S779*K779</f>
        <v>0</v>
      </c>
      <c r="U779" s="25">
        <f>IF(TRIM(N779&amp;"")="111444",
    IF(ROUNDUP(MAX(0,K779-(MAX(1,Q779)-1)*10)/10,0)=1,3,2),
    IF(TRIM(N779&amp;"")="VWPAL",
        IF(TRIM(R779&amp;"")="004147",1,2),
        ""
    )
)</f>
        <v>2</v>
      </c>
      <c r="V779" s="26" t="str">
        <f>IF(OR(TRIM(N779&amp;"")="111444",TRIM(N779&amp;"")="VWPAL"),
    IF(K779&lt;=0,"",
        IF(
            MIN(3,ROUNDUP(MAX(0,K779-(MAX(1,Q779)-1)*IF(TRIM(N779&amp;"")="111444",10,20))/IF(TRIM(N779&amp;"")="111444",10,20),0))=1,
            300,
            IF(
                MIN(3,ROUNDUP(MAX(0,K779-(MAX(1,Q779)-1)*IF(TRIM(N779&amp;"")="111444",10,20))/IF(TRIM(N779&amp;"")="111444",10,20),0))=2,
                450,
                600
            )
        )
    ),
    ""
)</f>
        <v/>
      </c>
    </row>
    <row r="780" spans="1:22" ht="48.2" customHeight="1" x14ac:dyDescent="0.25">
      <c r="A780" s="17"/>
      <c r="B780" s="17"/>
      <c r="C780" s="18"/>
      <c r="D780" s="17"/>
      <c r="E780" s="19"/>
      <c r="F780" s="20"/>
      <c r="G780" s="21"/>
      <c r="H780" s="17"/>
      <c r="I780" s="20"/>
      <c r="J780" s="17"/>
      <c r="K780" s="17"/>
      <c r="L780" s="22"/>
      <c r="M780" s="22"/>
      <c r="N780" s="22"/>
      <c r="O780" s="22"/>
      <c r="P780" s="22"/>
      <c r="Q780" s="22"/>
      <c r="R780" s="23"/>
      <c r="S780" s="22"/>
      <c r="T780" s="24"/>
      <c r="U780" s="25"/>
    </row>
    <row r="781" spans="1:22" ht="48" customHeight="1" x14ac:dyDescent="0.25">
      <c r="A781" s="17">
        <f>VLOOKUP(C781,[1]Werke!$A$1:$C$168,3,0)</f>
        <v>14</v>
      </c>
      <c r="B781" s="17" t="str">
        <f>VLOOKUP(C781,[1]Werke!$A$1:$C$168,2,0)</f>
        <v>D72</v>
      </c>
      <c r="C781" s="18" t="s">
        <v>220</v>
      </c>
      <c r="D781" s="17" t="str">
        <f>VLOOKUP(C781,[1]Maliteslimalan!$A$1:$B$210,2,0)</f>
        <v>8000013493</v>
      </c>
      <c r="E781" s="19">
        <f>VLOOKUP(C781,[1]Bestellnr.!$A$1:$B$174,2,0)</f>
        <v>0</v>
      </c>
      <c r="F781" s="20" t="str">
        <f>VLOOKUP(G781,$U$1:$V$1730,2,0)</f>
        <v>N   105 173 03</v>
      </c>
      <c r="G781" s="21">
        <v>100325500</v>
      </c>
      <c r="H781" s="17">
        <f>VLOOKUP(G781,Z$2:AA$1905,2,FALSE)</f>
        <v>1.064E-2</v>
      </c>
      <c r="I781" s="20"/>
      <c r="J781" s="17">
        <f>VLOOKUP(G781,W$2:X$1905,2,FALSE)</f>
        <v>1000</v>
      </c>
      <c r="K781" s="17">
        <f>I781/J781</f>
        <v>0</v>
      </c>
      <c r="L781" s="22">
        <v>10</v>
      </c>
      <c r="M781" s="22">
        <v>30</v>
      </c>
      <c r="N781" s="22">
        <v>111444</v>
      </c>
      <c r="O781" s="22" t="str">
        <f>VLOOKUP(N781,$AL$1285:$AM$1310,2,FALSE)</f>
        <v>001006</v>
      </c>
      <c r="P781" s="22">
        <f>VLOOKUP(N781,AC$2:AD$1905,2,FALSE)</f>
        <v>34</v>
      </c>
      <c r="Q781" s="22"/>
      <c r="R781" s="23" t="s">
        <v>153</v>
      </c>
      <c r="S781" s="22">
        <f>VLOOKUP(R781,AC$2:AD$1905,2,FALSE)</f>
        <v>0.56999999999999995</v>
      </c>
      <c r="T781" s="24">
        <f>(H781*I781)+P781*Q781+S781*K781</f>
        <v>0</v>
      </c>
      <c r="U781" s="25">
        <f>IF(TRIM(N781&amp;"")="111444",
    IF(ROUNDUP(MAX(0,K781-(MAX(1,Q781)-1)*10)/10,0)=1,3,2),
    IF(TRIM(N781&amp;"")="VWPAL",
        IF(TRIM(R781&amp;"")="004147",1,2),
        ""
    )
)</f>
        <v>2</v>
      </c>
      <c r="V781" s="26" t="str">
        <f>IF(OR(TRIM(N781&amp;"")="111444",TRIM(N781&amp;"")="VWPAL"),
    IF(K781&lt;=0,"",
        IF(
            MIN(3,ROUNDUP(MAX(0,K781-(MAX(1,Q781)-1)*IF(TRIM(N781&amp;"")="111444",10,20))/IF(TRIM(N781&amp;"")="111444",10,20),0))=1,
            300,
            IF(
                MIN(3,ROUNDUP(MAX(0,K781-(MAX(1,Q781)-1)*IF(TRIM(N781&amp;"")="111444",10,20))/IF(TRIM(N781&amp;"")="111444",10,20),0))=2,
                450,
                600
            )
        )
    ),
    ""
)</f>
        <v/>
      </c>
    </row>
    <row r="782" spans="1:22" ht="48" customHeight="1" x14ac:dyDescent="0.25">
      <c r="A782" s="17"/>
      <c r="B782" s="17"/>
      <c r="C782" s="18"/>
      <c r="D782" s="17"/>
      <c r="E782" s="19"/>
      <c r="F782" s="20"/>
      <c r="G782" s="21"/>
      <c r="H782" s="17"/>
      <c r="I782" s="20"/>
      <c r="J782" s="17"/>
      <c r="K782" s="17"/>
      <c r="L782" s="22"/>
      <c r="M782" s="22"/>
      <c r="N782" s="22"/>
      <c r="O782" s="22"/>
      <c r="P782" s="22"/>
      <c r="Q782" s="22"/>
      <c r="R782" s="23"/>
      <c r="S782" s="22"/>
      <c r="T782" s="24"/>
      <c r="U782" s="25"/>
    </row>
    <row r="783" spans="1:22" ht="48.2" customHeight="1" x14ac:dyDescent="0.25">
      <c r="A783" s="17">
        <f>VLOOKUP(C783,[1]Werke!$A$1:$C$168,3,0)</f>
        <v>14</v>
      </c>
      <c r="B783" s="17" t="str">
        <f>VLOOKUP(C783,[1]Werke!$A$1:$C$168,2,0)</f>
        <v>D72</v>
      </c>
      <c r="C783" s="18" t="s">
        <v>220</v>
      </c>
      <c r="D783" s="17" t="str">
        <f>VLOOKUP(C783,[1]Maliteslimalan!$A$1:$B$210,2,0)</f>
        <v>8000013493</v>
      </c>
      <c r="E783" s="19">
        <f>VLOOKUP(C783,[1]Bestellnr.!$A$1:$B$174,2,0)</f>
        <v>0</v>
      </c>
      <c r="F783" s="20" t="str">
        <f>VLOOKUP(G783,$U$1:$V$1730,2,0)</f>
        <v>N   105 410 02</v>
      </c>
      <c r="G783" s="21">
        <v>100325600</v>
      </c>
      <c r="H783" s="17">
        <f>VLOOKUP(G783,Z$2:AA$1905,2,FALSE)</f>
        <v>3.1649999999999998E-2</v>
      </c>
      <c r="I783" s="20"/>
      <c r="J783" s="17">
        <f>VLOOKUP(G783,W$2:X$1905,2,FALSE)</f>
        <v>300</v>
      </c>
      <c r="K783" s="17">
        <f>I783/J783</f>
        <v>0</v>
      </c>
      <c r="L783" s="22">
        <v>10</v>
      </c>
      <c r="M783" s="22">
        <v>30</v>
      </c>
      <c r="N783" s="22">
        <v>111444</v>
      </c>
      <c r="O783" s="22" t="str">
        <f>VLOOKUP(N783,$AL$1285:$AM$1310,2,FALSE)</f>
        <v>001006</v>
      </c>
      <c r="P783" s="22">
        <f>VLOOKUP(N783,AC$2:AD$1905,2,FALSE)</f>
        <v>34</v>
      </c>
      <c r="Q783" s="22"/>
      <c r="R783" s="23" t="s">
        <v>153</v>
      </c>
      <c r="S783" s="22">
        <f>VLOOKUP(R783,AC$2:AD$1905,2,FALSE)</f>
        <v>0.56999999999999995</v>
      </c>
      <c r="T783" s="24">
        <f>(H783*I783)+P783*Q783+S783*K783</f>
        <v>0</v>
      </c>
      <c r="U783" s="25">
        <f>IF(TRIM(N783&amp;"")="111444",
    IF(ROUNDUP(MAX(0,K783-(MAX(1,Q783)-1)*10)/10,0)=1,3,2),
    IF(TRIM(N783&amp;"")="VWPAL",
        IF(TRIM(R783&amp;"")="004147",1,2),
        ""
    )
)</f>
        <v>2</v>
      </c>
      <c r="V783" s="26" t="str">
        <f>IF(OR(TRIM(N783&amp;"")="111444",TRIM(N783&amp;"")="VWPAL"),
    IF(K783&lt;=0,"",
        IF(
            MIN(3,ROUNDUP(MAX(0,K783-(MAX(1,Q783)-1)*IF(TRIM(N783&amp;"")="111444",10,20))/IF(TRIM(N783&amp;"")="111444",10,20),0))=1,
            300,
            IF(
                MIN(3,ROUNDUP(MAX(0,K783-(MAX(1,Q783)-1)*IF(TRIM(N783&amp;"")="111444",10,20))/IF(TRIM(N783&amp;"")="111444",10,20),0))=2,
                450,
                600
            )
        )
    ),
    ""
)</f>
        <v/>
      </c>
    </row>
    <row r="784" spans="1:22" ht="48.2" customHeight="1" x14ac:dyDescent="0.25">
      <c r="A784" s="17"/>
      <c r="B784" s="17"/>
      <c r="C784" s="18"/>
      <c r="D784" s="17"/>
      <c r="E784" s="19"/>
      <c r="F784" s="20"/>
      <c r="G784" s="21"/>
      <c r="H784" s="17"/>
      <c r="I784" s="20"/>
      <c r="J784" s="17"/>
      <c r="K784" s="17"/>
      <c r="L784" s="22"/>
      <c r="M784" s="22"/>
      <c r="N784" s="22"/>
      <c r="O784" s="22"/>
      <c r="P784" s="22"/>
      <c r="Q784" s="22"/>
      <c r="R784" s="23"/>
      <c r="S784" s="22"/>
      <c r="T784" s="24"/>
      <c r="U784" s="25"/>
    </row>
    <row r="785" spans="1:22" ht="48.2" customHeight="1" x14ac:dyDescent="0.25">
      <c r="A785" s="17">
        <f>VLOOKUP(C785,[1]Werke!$A$1:$C$168,3,0)</f>
        <v>14</v>
      </c>
      <c r="B785" s="17" t="str">
        <f>VLOOKUP(C785,[1]Werke!$A$1:$C$168,2,0)</f>
        <v>D47</v>
      </c>
      <c r="C785" s="18" t="s">
        <v>246</v>
      </c>
      <c r="D785" s="17" t="str">
        <f>VLOOKUP(C785,[1]Maliteslimalan!$A$1:$B$210,2,0)</f>
        <v>8000012583</v>
      </c>
      <c r="E785" s="19">
        <f>VLOOKUP(C785,[1]Bestellnr.!$A$1:$B$174,2,0)</f>
        <v>0</v>
      </c>
      <c r="F785" s="20" t="str">
        <f>VLOOKUP(G785,$U$1:$V$1730,2,0)</f>
        <v>N   106 070 02</v>
      </c>
      <c r="G785" s="21">
        <v>100325800</v>
      </c>
      <c r="H785" s="17">
        <f>VLOOKUP(G785,Z$2:AA$1905,2,FALSE)</f>
        <v>1.805E-2</v>
      </c>
      <c r="I785" s="20"/>
      <c r="J785" s="17">
        <f>VLOOKUP(G785,W$2:X$1905,2,FALSE)</f>
        <v>700</v>
      </c>
      <c r="K785" s="17">
        <f>I785/J785</f>
        <v>0</v>
      </c>
      <c r="L785" s="22">
        <v>10</v>
      </c>
      <c r="M785" s="22">
        <v>20</v>
      </c>
      <c r="N785" s="22">
        <v>111444</v>
      </c>
      <c r="O785" s="22" t="str">
        <f>VLOOKUP(N785,$AL$1285:$AM$1310,2,FALSE)</f>
        <v>001006</v>
      </c>
      <c r="P785" s="22">
        <f>VLOOKUP(N785,AC$2:AD$1905,2,FALSE)</f>
        <v>34</v>
      </c>
      <c r="Q785" s="22"/>
      <c r="R785" s="23" t="s">
        <v>153</v>
      </c>
      <c r="S785" s="22">
        <f>VLOOKUP(R785,AC$2:AD$1905,2,FALSE)</f>
        <v>0.56999999999999995</v>
      </c>
      <c r="T785" s="24">
        <f>(H785*I785)+P785*Q785+S785*K785</f>
        <v>0</v>
      </c>
      <c r="U785" s="25">
        <f>IF(TRIM(N785&amp;"")="111444",
    IF(ROUNDUP(MAX(0,K785-(MAX(1,Q785)-1)*10)/10,0)=1,3,2),
    IF(TRIM(N785&amp;"")="VWPAL",
        IF(TRIM(R785&amp;"")="004147",1,2),
        ""
    )
)</f>
        <v>2</v>
      </c>
      <c r="V785" s="26" t="str">
        <f>IF(OR(TRIM(N785&amp;"")="111444",TRIM(N785&amp;"")="VWPAL"),
    IF(K785&lt;=0,"",
        IF(
            MIN(3,ROUNDUP(MAX(0,K785-(MAX(1,Q785)-1)*IF(TRIM(N785&amp;"")="111444",10,20))/IF(TRIM(N785&amp;"")="111444",10,20),0))=1,
            300,
            IF(
                MIN(3,ROUNDUP(MAX(0,K785-(MAX(1,Q785)-1)*IF(TRIM(N785&amp;"")="111444",10,20))/IF(TRIM(N785&amp;"")="111444",10,20),0))=2,
                450,
                600
            )
        )
    ),
    ""
)</f>
        <v/>
      </c>
    </row>
    <row r="786" spans="1:22" ht="48.2" customHeight="1" x14ac:dyDescent="0.25">
      <c r="A786" s="17" t="str">
        <f>VLOOKUP(C786,[1]Werke!$A$1:$C$168,3,0)</f>
        <v>14S</v>
      </c>
      <c r="B786" s="17" t="str">
        <f>VLOOKUP(C786,[1]Werke!$A$1:$C$168,2,0)</f>
        <v>LZG</v>
      </c>
      <c r="C786" s="18" t="s">
        <v>311</v>
      </c>
      <c r="D786" s="17" t="str">
        <f>VLOOKUP(C786,[1]Maliteslimalan!$A$1:$B$210,2,0)</f>
        <v>8000014767</v>
      </c>
      <c r="E786" s="19" t="str">
        <f>VLOOKUP(C786,[1]Bestellnr.!$A$1:$B$174,2,0)</f>
        <v>000006</v>
      </c>
      <c r="F786" s="20" t="str">
        <f>VLOOKUP(G786,$U$1:$V$1730,2,0)</f>
        <v>N   106 070 02</v>
      </c>
      <c r="G786" s="21">
        <v>100325800</v>
      </c>
      <c r="H786" s="17">
        <f>VLOOKUP(G786,Z$2:AA$1905,2,FALSE)</f>
        <v>1.805E-2</v>
      </c>
      <c r="I786" s="20"/>
      <c r="J786" s="17">
        <f>VLOOKUP(G786,W$2:X$1905,2,FALSE)</f>
        <v>700</v>
      </c>
      <c r="K786" s="17">
        <f>I786/J786</f>
        <v>0</v>
      </c>
      <c r="L786" s="22">
        <v>10</v>
      </c>
      <c r="M786" s="22">
        <v>20</v>
      </c>
      <c r="N786" s="22">
        <v>111444</v>
      </c>
      <c r="O786" s="22" t="str">
        <f>VLOOKUP(N786,$AL$1285:$AM$1310,2,FALSE)</f>
        <v>001006</v>
      </c>
      <c r="P786" s="22">
        <f>VLOOKUP(N786,AC$2:AD$1905,2,FALSE)</f>
        <v>34</v>
      </c>
      <c r="Q786" s="22"/>
      <c r="R786" s="23" t="s">
        <v>153</v>
      </c>
      <c r="S786" s="22">
        <f>VLOOKUP(R786,AC$2:AD$1905,2,FALSE)</f>
        <v>0.56999999999999995</v>
      </c>
      <c r="T786" s="24">
        <f>(H786*I786)+P786*Q786+S786*K786</f>
        <v>0</v>
      </c>
      <c r="U786" s="25">
        <f>IF(TRIM(N786&amp;"")="111444",
    IF(ROUNDUP(MAX(0,K786-(MAX(1,Q786)-1)*10)/10,0)=1,3,2),
    IF(TRIM(N786&amp;"")="VWPAL",
        IF(TRIM(R786&amp;"")="004147",1,2),
        ""
    )
)</f>
        <v>2</v>
      </c>
      <c r="V786" s="26" t="str">
        <f>IF(OR(TRIM(N786&amp;"")="111444",TRIM(N786&amp;"")="VWPAL"),
    IF(K786&lt;=0,"",
        IF(
            MIN(3,ROUNDUP(MAX(0,K786-(MAX(1,Q786)-1)*IF(TRIM(N786&amp;"")="111444",10,20))/IF(TRIM(N786&amp;"")="111444",10,20),0))=1,
            300,
            IF(
                MIN(3,ROUNDUP(MAX(0,K786-(MAX(1,Q786)-1)*IF(TRIM(N786&amp;"")="111444",10,20))/IF(TRIM(N786&amp;"")="111444",10,20),0))=2,
                450,
                600
            )
        )
    ),
    ""
)</f>
        <v/>
      </c>
    </row>
    <row r="787" spans="1:22" ht="48.2" customHeight="1" x14ac:dyDescent="0.25">
      <c r="A787" s="17"/>
      <c r="B787" s="17"/>
      <c r="C787" s="18"/>
      <c r="D787" s="17"/>
      <c r="E787" s="19"/>
      <c r="F787" s="20"/>
      <c r="G787" s="21"/>
      <c r="H787" s="17"/>
      <c r="I787" s="20"/>
      <c r="J787" s="17"/>
      <c r="K787" s="17"/>
      <c r="L787" s="22"/>
      <c r="M787" s="22"/>
      <c r="N787" s="22"/>
      <c r="O787" s="22"/>
      <c r="P787" s="22"/>
      <c r="Q787" s="22"/>
      <c r="R787" s="23"/>
      <c r="S787" s="22"/>
      <c r="T787" s="24"/>
      <c r="U787" s="25"/>
    </row>
    <row r="788" spans="1:22" ht="48" customHeight="1" x14ac:dyDescent="0.25">
      <c r="A788" s="17" t="str">
        <f>VLOOKUP(C788,[1]Werke!$A$1:$C$168,3,0)</f>
        <v>26C</v>
      </c>
      <c r="B788" s="17" t="str">
        <f>VLOOKUP(C788,[1]Werke!$A$1:$C$168,2,0)</f>
        <v>CKD</v>
      </c>
      <c r="C788" s="18" t="s">
        <v>258</v>
      </c>
      <c r="D788" s="17" t="str">
        <f>VLOOKUP(C788,[1]Maliteslimalan!$A$1:$B$210,2,0)</f>
        <v>8000012767</v>
      </c>
      <c r="E788" s="19">
        <f>VLOOKUP(C788,[1]Bestellnr.!$A$1:$B$174,2,0)</f>
        <v>0</v>
      </c>
      <c r="F788" s="20" t="str">
        <f>VLOOKUP(G788,$U$1:$V$1730,2,0)</f>
        <v>N   106 109 02</v>
      </c>
      <c r="G788" s="21">
        <v>100325900</v>
      </c>
      <c r="H788" s="17">
        <f>VLOOKUP(G788,Z$2:AA$1905,2,FALSE)</f>
        <v>1.013E-2</v>
      </c>
      <c r="I788" s="20"/>
      <c r="J788" s="17">
        <f>VLOOKUP(G788,W$2:X$1905,2,FALSE)</f>
        <v>1000</v>
      </c>
      <c r="K788" s="17">
        <f>I788/J788</f>
        <v>0</v>
      </c>
      <c r="L788" s="22">
        <v>10</v>
      </c>
      <c r="M788" s="22">
        <v>10</v>
      </c>
      <c r="N788" s="22">
        <v>111444</v>
      </c>
      <c r="O788" s="22" t="str">
        <f>VLOOKUP(N788,$AL$1285:$AM$1310,2,FALSE)</f>
        <v>001006</v>
      </c>
      <c r="P788" s="22">
        <f>VLOOKUP(N788,AC$2:AD$1905,2,FALSE)</f>
        <v>34</v>
      </c>
      <c r="Q788" s="22"/>
      <c r="R788" s="23" t="s">
        <v>153</v>
      </c>
      <c r="S788" s="22">
        <f>VLOOKUP(R788,AC$2:AD$1905,2,FALSE)</f>
        <v>0.56999999999999995</v>
      </c>
      <c r="T788" s="24">
        <f>(H788*I788)+P788*Q788+S788*K788</f>
        <v>0</v>
      </c>
      <c r="U788" s="25">
        <f>IF(TRIM(N788&amp;"")="111444",
    IF(ROUNDUP(MAX(0,K788-(MAX(1,Q788)-1)*10)/10,0)=1,3,2),
    IF(TRIM(N788&amp;"")="VWPAL",
        IF(TRIM(R788&amp;"")="004147",1,2),
        ""
    )
)</f>
        <v>2</v>
      </c>
      <c r="V788" s="26" t="str">
        <f>IF(OR(TRIM(N788&amp;"")="111444",TRIM(N788&amp;"")="VWPAL"),
    IF(K788&lt;=0,"",
        IF(
            MIN(3,ROUNDUP(MAX(0,K788-(MAX(1,Q788)-1)*IF(TRIM(N788&amp;"")="111444",10,20))/IF(TRIM(N788&amp;"")="111444",10,20),0))=1,
            300,
            IF(
                MIN(3,ROUNDUP(MAX(0,K788-(MAX(1,Q788)-1)*IF(TRIM(N788&amp;"")="111444",10,20))/IF(TRIM(N788&amp;"")="111444",10,20),0))=2,
                450,
                600
            )
        )
    ),
    ""
)</f>
        <v/>
      </c>
    </row>
    <row r="789" spans="1:22" ht="48" customHeight="1" x14ac:dyDescent="0.25">
      <c r="A789" s="17" t="str">
        <f>VLOOKUP(C789,[1]Werke!$A$1:$C$168,3,0)</f>
        <v>26D</v>
      </c>
      <c r="B789" s="17" t="str">
        <f>VLOOKUP(C789,[1]Werke!$A$1:$C$168,2,0)</f>
        <v>G18</v>
      </c>
      <c r="C789" s="18" t="s">
        <v>257</v>
      </c>
      <c r="D789" s="17" t="str">
        <f>VLOOKUP(C789,[1]Maliteslimalan!$A$1:$B$210,2,0)</f>
        <v>8000012600</v>
      </c>
      <c r="E789" s="19">
        <f>VLOOKUP(C789,[1]Bestellnr.!$A$1:$B$174,2,0)</f>
        <v>0</v>
      </c>
      <c r="F789" s="20" t="str">
        <f>VLOOKUP(G789,$U$1:$V$1730,2,0)</f>
        <v>N   106 109 02</v>
      </c>
      <c r="G789" s="21">
        <v>100325900</v>
      </c>
      <c r="H789" s="17">
        <f>VLOOKUP(G789,Z$2:AA$1905,2,FALSE)</f>
        <v>1.013E-2</v>
      </c>
      <c r="I789" s="20"/>
      <c r="J789" s="17">
        <f>VLOOKUP(G789,W$2:X$1905,2,FALSE)</f>
        <v>1000</v>
      </c>
      <c r="K789" s="17">
        <f>I789/J789</f>
        <v>0</v>
      </c>
      <c r="L789" s="22">
        <v>10</v>
      </c>
      <c r="M789" s="22">
        <v>10</v>
      </c>
      <c r="N789" s="22">
        <v>111444</v>
      </c>
      <c r="O789" s="22" t="str">
        <f>VLOOKUP(N789,$AL$1285:$AM$1310,2,FALSE)</f>
        <v>001006</v>
      </c>
      <c r="P789" s="22">
        <f>VLOOKUP(N789,AC$2:AD$1905,2,FALSE)</f>
        <v>34</v>
      </c>
      <c r="Q789" s="22"/>
      <c r="R789" s="23" t="s">
        <v>153</v>
      </c>
      <c r="S789" s="22">
        <f>VLOOKUP(R789,AC$2:AD$1905,2,FALSE)</f>
        <v>0.56999999999999995</v>
      </c>
      <c r="T789" s="24">
        <f>(H789*I789)+P789*Q789+S789*K789</f>
        <v>0</v>
      </c>
      <c r="U789" s="25">
        <f>IF(TRIM(N789&amp;"")="111444",
    IF(ROUNDUP(MAX(0,K789-(MAX(1,Q789)-1)*10)/10,0)=1,3,2),
    IF(TRIM(N789&amp;"")="VWPAL",
        IF(TRIM(R789&amp;"")="004147",1,2),
        ""
    )
)</f>
        <v>2</v>
      </c>
      <c r="V789" s="26" t="str">
        <f>IF(OR(TRIM(N789&amp;"")="111444",TRIM(N789&amp;"")="VWPAL"),
    IF(K789&lt;=0,"",
        IF(
            MIN(3,ROUNDUP(MAX(0,K789-(MAX(1,Q789)-1)*IF(TRIM(N789&amp;"")="111444",10,20))/IF(TRIM(N789&amp;"")="111444",10,20),0))=1,
            300,
            IF(
                MIN(3,ROUNDUP(MAX(0,K789-(MAX(1,Q789)-1)*IF(TRIM(N789&amp;"")="111444",10,20))/IF(TRIM(N789&amp;"")="111444",10,20),0))=2,
                450,
                600
            )
        )
    ),
    ""
)</f>
        <v/>
      </c>
    </row>
    <row r="790" spans="1:22" ht="48" customHeight="1" x14ac:dyDescent="0.25">
      <c r="A790" s="17">
        <f>VLOOKUP(C790,[1]Werke!$A$1:$C$168,3,0)</f>
        <v>14</v>
      </c>
      <c r="B790" s="17" t="str">
        <f>VLOOKUP(C790,[1]Werke!$A$1:$C$168,2,0)</f>
        <v>D47</v>
      </c>
      <c r="C790" s="18" t="s">
        <v>246</v>
      </c>
      <c r="D790" s="17" t="str">
        <f>VLOOKUP(C790,[1]Maliteslimalan!$A$1:$B$210,2,0)</f>
        <v>8000012583</v>
      </c>
      <c r="E790" s="19">
        <f>VLOOKUP(C790,[1]Bestellnr.!$A$1:$B$174,2,0)</f>
        <v>0</v>
      </c>
      <c r="F790" s="20" t="str">
        <f>VLOOKUP(G790,$U$1:$V$1730,2,0)</f>
        <v>N   106 109 02</v>
      </c>
      <c r="G790" s="21">
        <v>100325900</v>
      </c>
      <c r="H790" s="17">
        <f>VLOOKUP(G790,Z$2:AA$1905,2,FALSE)</f>
        <v>1.013E-2</v>
      </c>
      <c r="I790" s="20"/>
      <c r="J790" s="17">
        <f>VLOOKUP(G790,W$2:X$1905,2,FALSE)</f>
        <v>1000</v>
      </c>
      <c r="K790" s="17">
        <f>I790/J790</f>
        <v>0</v>
      </c>
      <c r="L790" s="22">
        <v>10</v>
      </c>
      <c r="M790" s="22">
        <v>30</v>
      </c>
      <c r="N790" s="22">
        <v>111444</v>
      </c>
      <c r="O790" s="22" t="str">
        <f>VLOOKUP(N790,$AL$1285:$AM$1310,2,FALSE)</f>
        <v>001006</v>
      </c>
      <c r="P790" s="22">
        <f>VLOOKUP(N790,AC$2:AD$1905,2,FALSE)</f>
        <v>34</v>
      </c>
      <c r="Q790" s="22"/>
      <c r="R790" s="23" t="s">
        <v>153</v>
      </c>
      <c r="S790" s="22">
        <f>VLOOKUP(R790,AC$2:AD$1905,2,FALSE)</f>
        <v>0.56999999999999995</v>
      </c>
      <c r="T790" s="24">
        <f>(H790*I790)+P790*Q790+S790*K790</f>
        <v>0</v>
      </c>
      <c r="U790" s="25">
        <f>IF(TRIM(N790&amp;"")="111444",
    IF(ROUNDUP(MAX(0,K790-(MAX(1,Q790)-1)*10)/10,0)=1,3,2),
    IF(TRIM(N790&amp;"")="VWPAL",
        IF(TRIM(R790&amp;"")="004147",1,2),
        ""
    )
)</f>
        <v>2</v>
      </c>
      <c r="V790" s="26" t="str">
        <f>IF(OR(TRIM(N790&amp;"")="111444",TRIM(N790&amp;"")="VWPAL"),
    IF(K790&lt;=0,"",
        IF(
            MIN(3,ROUNDUP(MAX(0,K790-(MAX(1,Q790)-1)*IF(TRIM(N790&amp;"")="111444",10,20))/IF(TRIM(N790&amp;"")="111444",10,20),0))=1,
            300,
            IF(
                MIN(3,ROUNDUP(MAX(0,K790-(MAX(1,Q790)-1)*IF(TRIM(N790&amp;"")="111444",10,20))/IF(TRIM(N790&amp;"")="111444",10,20),0))=2,
                450,
                600
            )
        )
    ),
    ""
)</f>
        <v/>
      </c>
    </row>
    <row r="791" spans="1:22" ht="49.5" customHeight="1" x14ac:dyDescent="0.25">
      <c r="A791" s="17"/>
      <c r="B791" s="17"/>
      <c r="C791" s="18"/>
      <c r="D791" s="17"/>
      <c r="E791" s="19"/>
      <c r="F791" s="20"/>
      <c r="G791" s="21"/>
      <c r="H791" s="17"/>
      <c r="I791" s="20"/>
      <c r="J791" s="17"/>
      <c r="K791" s="17"/>
      <c r="L791" s="22"/>
      <c r="M791" s="22"/>
      <c r="N791" s="22"/>
      <c r="O791" s="22"/>
      <c r="P791" s="22"/>
      <c r="Q791" s="22"/>
      <c r="R791" s="23"/>
      <c r="S791" s="22"/>
      <c r="T791" s="24"/>
      <c r="U791" s="25"/>
    </row>
    <row r="792" spans="1:22" ht="48" customHeight="1" x14ac:dyDescent="0.25">
      <c r="A792" s="17">
        <f>VLOOKUP(C792,[1]Werke!$A$1:$C$168,3,0)</f>
        <v>14</v>
      </c>
      <c r="B792" s="17" t="str">
        <f>VLOOKUP(C792,[1]Werke!$A$1:$C$168,2,0)</f>
        <v>D72</v>
      </c>
      <c r="C792" s="18" t="s">
        <v>220</v>
      </c>
      <c r="D792" s="17" t="str">
        <f>VLOOKUP(C792,[1]Maliteslimalan!$A$1:$B$210,2,0)</f>
        <v>8000013493</v>
      </c>
      <c r="E792" s="19">
        <f>VLOOKUP(C792,[1]Bestellnr.!$A$1:$B$174,2,0)</f>
        <v>0</v>
      </c>
      <c r="F792" s="20" t="str">
        <f>VLOOKUP(G792,$U$1:$V$1730,2,0)</f>
        <v>N   105 599 01</v>
      </c>
      <c r="G792" s="21">
        <v>100325700</v>
      </c>
      <c r="H792" s="17">
        <f>VLOOKUP(G792,Z$2:AA$1905,2,FALSE)</f>
        <v>6.3E-3</v>
      </c>
      <c r="I792" s="20"/>
      <c r="J792" s="17">
        <f>VLOOKUP(G792,W$2:X$1905,2,FALSE)</f>
        <v>2200</v>
      </c>
      <c r="K792" s="17">
        <f>I792/J792</f>
        <v>0</v>
      </c>
      <c r="L792" s="22">
        <v>10</v>
      </c>
      <c r="M792" s="22">
        <v>10</v>
      </c>
      <c r="N792" s="22">
        <v>111444</v>
      </c>
      <c r="O792" s="22" t="str">
        <f>VLOOKUP(N792,$AL$1285:$AM$1310,2,FALSE)</f>
        <v>001006</v>
      </c>
      <c r="P792" s="22">
        <f>VLOOKUP(N792,AC$2:AD$1905,2,FALSE)</f>
        <v>34</v>
      </c>
      <c r="Q792" s="22"/>
      <c r="R792" s="23" t="s">
        <v>153</v>
      </c>
      <c r="S792" s="22">
        <f>VLOOKUP(R792,AC$2:AD$1905,2,FALSE)</f>
        <v>0.56999999999999995</v>
      </c>
      <c r="T792" s="24">
        <f>(H792*I792)+P792*Q792+S792*K792</f>
        <v>0</v>
      </c>
      <c r="U792" s="25">
        <f>IF(TRIM(N792&amp;"")="111444",
    IF(ROUNDUP(MAX(0,K792-(MAX(1,Q792)-1)*10)/10,0)=1,3,2),
    IF(TRIM(N792&amp;"")="VWPAL",
        IF(TRIM(R792&amp;"")="004147",1,2),
        ""
    )
)</f>
        <v>2</v>
      </c>
      <c r="V792" s="26" t="str">
        <f>IF(OR(TRIM(N792&amp;"")="111444",TRIM(N792&amp;"")="VWPAL"),
    IF(K792&lt;=0,"",
        IF(
            MIN(3,ROUNDUP(MAX(0,K792-(MAX(1,Q792)-1)*IF(TRIM(N792&amp;"")="111444",10,20))/IF(TRIM(N792&amp;"")="111444",10,20),0))=1,
            300,
            IF(
                MIN(3,ROUNDUP(MAX(0,K792-(MAX(1,Q792)-1)*IF(TRIM(N792&amp;"")="111444",10,20))/IF(TRIM(N792&amp;"")="111444",10,20),0))=2,
                450,
                600
            )
        )
    ),
    ""
)</f>
        <v/>
      </c>
    </row>
    <row r="793" spans="1:22" ht="48" customHeight="1" x14ac:dyDescent="0.25">
      <c r="A793" s="17"/>
      <c r="B793" s="17"/>
      <c r="C793" s="18"/>
      <c r="D793" s="17"/>
      <c r="E793" s="19"/>
      <c r="F793" s="20"/>
      <c r="G793" s="21"/>
      <c r="H793" s="17"/>
      <c r="I793" s="20"/>
      <c r="J793" s="17"/>
      <c r="K793" s="17"/>
      <c r="L793" s="22"/>
      <c r="M793" s="22"/>
      <c r="N793" s="22"/>
      <c r="O793" s="22"/>
      <c r="P793" s="22"/>
      <c r="Q793" s="22"/>
      <c r="R793" s="23"/>
      <c r="S793" s="22"/>
      <c r="T793" s="24"/>
      <c r="U793" s="25"/>
    </row>
    <row r="794" spans="1:22" ht="48" customHeight="1" x14ac:dyDescent="0.25">
      <c r="A794" s="17">
        <f>VLOOKUP(C794,[1]Werke!$A$1:$C$168,3,0)</f>
        <v>27</v>
      </c>
      <c r="B794" s="17" t="str">
        <f>VLOOKUP(C794,[1]Werke!$A$1:$C$168,2,0)</f>
        <v>EFL</v>
      </c>
      <c r="C794" s="18" t="s">
        <v>290</v>
      </c>
      <c r="D794" s="17" t="str">
        <f>VLOOKUP(C794,[1]Maliteslimalan!$A$1:$B$210,2,0)</f>
        <v>8000012573</v>
      </c>
      <c r="E794" s="19" t="str">
        <f>VLOOKUP(C794,[1]Bestellnr.!$A$1:$B$174,2,0)</f>
        <v>000006</v>
      </c>
      <c r="F794" s="20" t="str">
        <f t="shared" ref="F794:F802" si="412">VLOOKUP(G794,$U$1:$V$1730,2,0)</f>
        <v>N   106 554 02</v>
      </c>
      <c r="G794" s="21">
        <v>100326500</v>
      </c>
      <c r="H794" s="17">
        <f t="shared" ref="H794:H802" si="413">VLOOKUP(G794,Z$2:AA$1905,2,FALSE)</f>
        <v>1.163E-2</v>
      </c>
      <c r="I794" s="20"/>
      <c r="J794" s="17">
        <f t="shared" ref="J794:J802" si="414">VLOOKUP(G794,W$2:X$1905,2,FALSE)</f>
        <v>1000</v>
      </c>
      <c r="K794" s="17">
        <f t="shared" ref="K794:K802" si="415">I794/J794</f>
        <v>0</v>
      </c>
      <c r="L794" s="22">
        <v>10</v>
      </c>
      <c r="M794" s="22">
        <v>30</v>
      </c>
      <c r="N794" s="22">
        <v>111444</v>
      </c>
      <c r="O794" s="22" t="str">
        <f t="shared" ref="O794:O802" si="416">VLOOKUP(N794,$AL$1285:$AM$1310,2,FALSE)</f>
        <v>001006</v>
      </c>
      <c r="P794" s="22">
        <f t="shared" ref="P794:P802" si="417">VLOOKUP(N794,AC$2:AD$1905,2,FALSE)</f>
        <v>34</v>
      </c>
      <c r="Q794" s="22"/>
      <c r="R794" s="23" t="s">
        <v>153</v>
      </c>
      <c r="S794" s="22">
        <f t="shared" ref="S794:S802" si="418">VLOOKUP(R794,AC$2:AD$1905,2,FALSE)</f>
        <v>0.56999999999999995</v>
      </c>
      <c r="T794" s="24">
        <f t="shared" ref="T794:T802" si="419">(H794*I794)+P794*Q794+S794*K794</f>
        <v>0</v>
      </c>
      <c r="U794" s="25">
        <f t="shared" ref="U794:U802" si="420">IF(TRIM(N794&amp;"")="111444",
    IF(ROUNDUP(MAX(0,K794-(MAX(1,Q794)-1)*10)/10,0)=1,3,2),
    IF(TRIM(N794&amp;"")="VWPAL",
        IF(TRIM(R794&amp;"")="004147",1,2),
        ""
    )
)</f>
        <v>2</v>
      </c>
      <c r="V794" s="26" t="str">
        <f t="shared" ref="V794:V802" si="421">IF(OR(TRIM(N794&amp;"")="111444",TRIM(N794&amp;"")="VWPAL"),
    IF(K794&lt;=0,"",
        IF(
            MIN(3,ROUNDUP(MAX(0,K794-(MAX(1,Q794)-1)*IF(TRIM(N794&amp;"")="111444",10,20))/IF(TRIM(N794&amp;"")="111444",10,20),0))=1,
            300,
            IF(
                MIN(3,ROUNDUP(MAX(0,K794-(MAX(1,Q794)-1)*IF(TRIM(N794&amp;"")="111444",10,20))/IF(TRIM(N794&amp;"")="111444",10,20),0))=2,
                450,
                600
            )
        )
    ),
    ""
)</f>
        <v/>
      </c>
    </row>
    <row r="795" spans="1:22" ht="48" customHeight="1" x14ac:dyDescent="0.25">
      <c r="A795" s="17">
        <f>VLOOKUP(C795,[1]Werke!$A$1:$C$168,3,0)</f>
        <v>31</v>
      </c>
      <c r="B795" s="17" t="str">
        <f>VLOOKUP(C795,[1]Werke!$A$1:$C$168,2,0)</f>
        <v>BH7</v>
      </c>
      <c r="C795" s="18" t="s">
        <v>250</v>
      </c>
      <c r="D795" s="17">
        <f>VLOOKUP(C795,[1]Maliteslimalan!$A$1:$B$210,2,0)</f>
        <v>8000015577</v>
      </c>
      <c r="E795" s="19">
        <v>6</v>
      </c>
      <c r="F795" s="20" t="str">
        <f t="shared" si="412"/>
        <v>N   106 554 02</v>
      </c>
      <c r="G795" s="21">
        <v>100326500</v>
      </c>
      <c r="H795" s="17">
        <f t="shared" si="413"/>
        <v>1.163E-2</v>
      </c>
      <c r="I795" s="20"/>
      <c r="J795" s="17">
        <f t="shared" si="414"/>
        <v>1000</v>
      </c>
      <c r="K795" s="17">
        <f t="shared" si="415"/>
        <v>0</v>
      </c>
      <c r="L795" s="22">
        <v>10</v>
      </c>
      <c r="M795" s="22">
        <v>30</v>
      </c>
      <c r="N795" s="22">
        <v>111444</v>
      </c>
      <c r="O795" s="22" t="str">
        <f t="shared" si="416"/>
        <v>001006</v>
      </c>
      <c r="P795" s="22">
        <f t="shared" si="417"/>
        <v>34</v>
      </c>
      <c r="Q795" s="22"/>
      <c r="R795" s="23" t="s">
        <v>153</v>
      </c>
      <c r="S795" s="22">
        <f t="shared" si="418"/>
        <v>0.56999999999999995</v>
      </c>
      <c r="T795" s="24">
        <f t="shared" si="419"/>
        <v>0</v>
      </c>
      <c r="U795" s="25">
        <f t="shared" si="420"/>
        <v>2</v>
      </c>
      <c r="V795" s="26" t="str">
        <f t="shared" si="421"/>
        <v/>
      </c>
    </row>
    <row r="796" spans="1:22" ht="48" customHeight="1" x14ac:dyDescent="0.25">
      <c r="A796" s="17">
        <f>VLOOKUP(C796,[1]Werke!$A$1:$C$168,3,0)</f>
        <v>14</v>
      </c>
      <c r="B796" s="17" t="str">
        <f>VLOOKUP(C796,[1]Werke!$A$1:$C$168,2,0)</f>
        <v>D85</v>
      </c>
      <c r="C796" s="18" t="s">
        <v>239</v>
      </c>
      <c r="D796" s="17" t="str">
        <f>VLOOKUP(C796,[1]Maliteslimalan!$A$1:$B$210,2,0)</f>
        <v>8000012682</v>
      </c>
      <c r="E796" s="19">
        <f>VLOOKUP(C796,[1]Bestellnr.!$A$1:$B$174,2,0)</f>
        <v>0</v>
      </c>
      <c r="F796" s="20" t="str">
        <f t="shared" si="412"/>
        <v>N   106 554 02</v>
      </c>
      <c r="G796" s="21">
        <v>100326500</v>
      </c>
      <c r="H796" s="17">
        <f t="shared" si="413"/>
        <v>1.163E-2</v>
      </c>
      <c r="I796" s="20"/>
      <c r="J796" s="17">
        <f t="shared" si="414"/>
        <v>1000</v>
      </c>
      <c r="K796" s="17">
        <f t="shared" si="415"/>
        <v>0</v>
      </c>
      <c r="L796" s="22">
        <v>10</v>
      </c>
      <c r="M796" s="22">
        <v>30</v>
      </c>
      <c r="N796" s="22">
        <v>111444</v>
      </c>
      <c r="O796" s="22" t="str">
        <f t="shared" si="416"/>
        <v>001006</v>
      </c>
      <c r="P796" s="22">
        <f t="shared" si="417"/>
        <v>34</v>
      </c>
      <c r="Q796" s="22"/>
      <c r="R796" s="23" t="s">
        <v>153</v>
      </c>
      <c r="S796" s="22">
        <f t="shared" si="418"/>
        <v>0.56999999999999995</v>
      </c>
      <c r="T796" s="24">
        <f t="shared" si="419"/>
        <v>0</v>
      </c>
      <c r="U796" s="25">
        <f t="shared" si="420"/>
        <v>2</v>
      </c>
      <c r="V796" s="26" t="str">
        <f t="shared" si="421"/>
        <v/>
      </c>
    </row>
    <row r="797" spans="1:22" ht="48" customHeight="1" x14ac:dyDescent="0.25">
      <c r="A797" s="17">
        <f>VLOOKUP(C797,[1]Werke!$A$1:$C$168,3,0)</f>
        <v>24</v>
      </c>
      <c r="B797" s="17" t="str">
        <f>VLOOKUP(C797,[1]Werke!$A$1:$C$168,2,0)</f>
        <v>CKH</v>
      </c>
      <c r="C797" s="18" t="s">
        <v>224</v>
      </c>
      <c r="D797" s="17">
        <f>VLOOKUP(C797,[1]Maliteslimalan!$A$1:$B$210,2,0)</f>
        <v>8000013551</v>
      </c>
      <c r="E797" s="19">
        <v>6</v>
      </c>
      <c r="F797" s="20" t="str">
        <f t="shared" si="412"/>
        <v>N   106 554 02</v>
      </c>
      <c r="G797" s="21">
        <v>100326500</v>
      </c>
      <c r="H797" s="17">
        <f t="shared" si="413"/>
        <v>1.163E-2</v>
      </c>
      <c r="I797" s="20"/>
      <c r="J797" s="17">
        <f t="shared" si="414"/>
        <v>1000</v>
      </c>
      <c r="K797" s="17">
        <f t="shared" si="415"/>
        <v>0</v>
      </c>
      <c r="L797" s="22">
        <v>10</v>
      </c>
      <c r="M797" s="22">
        <v>30</v>
      </c>
      <c r="N797" s="22">
        <v>111444</v>
      </c>
      <c r="O797" s="22" t="str">
        <f t="shared" si="416"/>
        <v>001006</v>
      </c>
      <c r="P797" s="22">
        <f t="shared" si="417"/>
        <v>34</v>
      </c>
      <c r="Q797" s="22"/>
      <c r="R797" s="23" t="s">
        <v>153</v>
      </c>
      <c r="S797" s="22">
        <f t="shared" si="418"/>
        <v>0.56999999999999995</v>
      </c>
      <c r="T797" s="24">
        <f t="shared" si="419"/>
        <v>0</v>
      </c>
      <c r="U797" s="25">
        <f t="shared" si="420"/>
        <v>2</v>
      </c>
      <c r="V797" s="26" t="str">
        <f t="shared" si="421"/>
        <v/>
      </c>
    </row>
    <row r="798" spans="1:22" ht="48" customHeight="1" x14ac:dyDescent="0.25">
      <c r="A798" s="17" t="str">
        <f>VLOOKUP(C798,[1]Werke!$A$1:$C$168,3,0)</f>
        <v>LD</v>
      </c>
      <c r="B798" s="17" t="str">
        <f>VLOOKUP(C798,[1]Werke!$A$1:$C$168,2,0)</f>
        <v>SLD</v>
      </c>
      <c r="C798" s="18">
        <v>83630</v>
      </c>
      <c r="D798" s="17" t="str">
        <f>VLOOKUP(C798,[1]Maliteslimalan!$A$1:$B$210,2,0)</f>
        <v>8000012862</v>
      </c>
      <c r="E798" s="19" t="str">
        <f>VLOOKUP(C798,[1]Bestellnr.!$A$1:$B$174,2,0)</f>
        <v>000006</v>
      </c>
      <c r="F798" s="20" t="str">
        <f t="shared" si="412"/>
        <v>N   106 554 02</v>
      </c>
      <c r="G798" s="21">
        <v>100326500</v>
      </c>
      <c r="H798" s="17">
        <f t="shared" si="413"/>
        <v>1.163E-2</v>
      </c>
      <c r="I798" s="20"/>
      <c r="J798" s="17">
        <f t="shared" si="414"/>
        <v>1000</v>
      </c>
      <c r="K798" s="17">
        <f t="shared" si="415"/>
        <v>0</v>
      </c>
      <c r="L798" s="22">
        <v>10</v>
      </c>
      <c r="M798" s="22">
        <v>30</v>
      </c>
      <c r="N798" s="22">
        <v>111444</v>
      </c>
      <c r="O798" s="22" t="str">
        <f t="shared" si="416"/>
        <v>001006</v>
      </c>
      <c r="P798" s="22">
        <f t="shared" si="417"/>
        <v>34</v>
      </c>
      <c r="Q798" s="22"/>
      <c r="R798" s="23" t="s">
        <v>153</v>
      </c>
      <c r="S798" s="22">
        <f t="shared" si="418"/>
        <v>0.56999999999999995</v>
      </c>
      <c r="T798" s="24">
        <f t="shared" si="419"/>
        <v>0</v>
      </c>
      <c r="U798" s="25">
        <f t="shared" si="420"/>
        <v>2</v>
      </c>
      <c r="V798" s="26" t="str">
        <f t="shared" si="421"/>
        <v/>
      </c>
    </row>
    <row r="799" spans="1:22" ht="48" customHeight="1" x14ac:dyDescent="0.25">
      <c r="A799" s="17">
        <f>VLOOKUP(C799,[1]Werke!$A$1:$C$168,3,0)</f>
        <v>22</v>
      </c>
      <c r="B799" s="17" t="str">
        <f>VLOOKUP(C799,[1]Werke!$A$1:$C$168,2,0)</f>
        <v>13P</v>
      </c>
      <c r="C799" s="18" t="s">
        <v>230</v>
      </c>
      <c r="D799" s="17" t="str">
        <f>VLOOKUP(C799,[1]Maliteslimalan!$A$1:$B$210,2,0)</f>
        <v>8000013344</v>
      </c>
      <c r="E799" s="19" t="str">
        <f>VLOOKUP(C799,[1]Bestellnr.!$A$1:$B$174,2,0)</f>
        <v>000006</v>
      </c>
      <c r="F799" s="20" t="str">
        <f t="shared" si="412"/>
        <v>N   106 554 02</v>
      </c>
      <c r="G799" s="21">
        <v>100326500</v>
      </c>
      <c r="H799" s="17">
        <f t="shared" si="413"/>
        <v>1.163E-2</v>
      </c>
      <c r="I799" s="20"/>
      <c r="J799" s="17">
        <f t="shared" si="414"/>
        <v>1000</v>
      </c>
      <c r="K799" s="17">
        <f t="shared" si="415"/>
        <v>0</v>
      </c>
      <c r="L799" s="22">
        <v>10</v>
      </c>
      <c r="M799" s="22">
        <v>30</v>
      </c>
      <c r="N799" s="22">
        <v>111444</v>
      </c>
      <c r="O799" s="22" t="str">
        <f t="shared" si="416"/>
        <v>001006</v>
      </c>
      <c r="P799" s="22">
        <f t="shared" si="417"/>
        <v>34</v>
      </c>
      <c r="Q799" s="22"/>
      <c r="R799" s="23" t="s">
        <v>153</v>
      </c>
      <c r="S799" s="22">
        <f t="shared" si="418"/>
        <v>0.56999999999999995</v>
      </c>
      <c r="T799" s="24">
        <f t="shared" si="419"/>
        <v>0</v>
      </c>
      <c r="U799" s="25">
        <f t="shared" si="420"/>
        <v>2</v>
      </c>
      <c r="V799" s="26" t="str">
        <f t="shared" si="421"/>
        <v/>
      </c>
    </row>
    <row r="800" spans="1:22" ht="48" customHeight="1" x14ac:dyDescent="0.25">
      <c r="A800" s="17">
        <f>VLOOKUP(C800,[1]Werke!$A$1:$C$168,3,0)</f>
        <v>37</v>
      </c>
      <c r="B800" s="17" t="str">
        <f>VLOOKUP(C800,[1]Werke!$A$1:$C$168,2,0)</f>
        <v>AKL</v>
      </c>
      <c r="C800" s="18" t="s">
        <v>232</v>
      </c>
      <c r="D800" s="17" t="str">
        <f>VLOOKUP(C800,[1]Maliteslimalan!$A$1:$B$210,2,0)</f>
        <v>8000012562</v>
      </c>
      <c r="E800" s="19" t="str">
        <f>VLOOKUP(C800,[1]Bestellnr.!$A$1:$B$174,2,0)</f>
        <v>000006</v>
      </c>
      <c r="F800" s="20" t="str">
        <f t="shared" si="412"/>
        <v>N   106 554 02</v>
      </c>
      <c r="G800" s="21">
        <v>100326500</v>
      </c>
      <c r="H800" s="17">
        <f t="shared" si="413"/>
        <v>1.163E-2</v>
      </c>
      <c r="I800" s="20"/>
      <c r="J800" s="17">
        <f t="shared" si="414"/>
        <v>1000</v>
      </c>
      <c r="K800" s="17">
        <f t="shared" si="415"/>
        <v>0</v>
      </c>
      <c r="L800" s="22">
        <v>10</v>
      </c>
      <c r="M800" s="22">
        <v>30</v>
      </c>
      <c r="N800" s="22">
        <v>111444</v>
      </c>
      <c r="O800" s="22" t="str">
        <f t="shared" si="416"/>
        <v>001006</v>
      </c>
      <c r="P800" s="22">
        <f t="shared" si="417"/>
        <v>34</v>
      </c>
      <c r="Q800" s="22"/>
      <c r="R800" s="23" t="s">
        <v>153</v>
      </c>
      <c r="S800" s="22">
        <f t="shared" si="418"/>
        <v>0.56999999999999995</v>
      </c>
      <c r="T800" s="24">
        <f t="shared" si="419"/>
        <v>0</v>
      </c>
      <c r="U800" s="25">
        <f t="shared" si="420"/>
        <v>2</v>
      </c>
      <c r="V800" s="26" t="str">
        <f t="shared" si="421"/>
        <v/>
      </c>
    </row>
    <row r="801" spans="1:22" ht="48" customHeight="1" x14ac:dyDescent="0.25">
      <c r="A801" s="17">
        <f>VLOOKUP(C801,[1]Werke!$A$1:$C$168,3,0)</f>
        <v>33</v>
      </c>
      <c r="B801" s="17" t="str">
        <f>VLOOKUP(C801,[1]Werke!$A$1:$C$168,2,0)</f>
        <v>KK2</v>
      </c>
      <c r="C801" s="18" t="s">
        <v>233</v>
      </c>
      <c r="D801" s="17" t="str">
        <f>VLOOKUP(C801,[1]Maliteslimalan!$A$1:$B$210,2,0)</f>
        <v>8000012709</v>
      </c>
      <c r="E801" s="19" t="str">
        <f>VLOOKUP(C801,[1]Bestellnr.!$A$1:$B$174,2,0)</f>
        <v>000055</v>
      </c>
      <c r="F801" s="20" t="str">
        <f t="shared" si="412"/>
        <v>N   106 554 02</v>
      </c>
      <c r="G801" s="21">
        <v>100326500</v>
      </c>
      <c r="H801" s="17">
        <f t="shared" si="413"/>
        <v>1.163E-2</v>
      </c>
      <c r="I801" s="20"/>
      <c r="J801" s="17">
        <f t="shared" si="414"/>
        <v>1000</v>
      </c>
      <c r="K801" s="17">
        <f t="shared" si="415"/>
        <v>0</v>
      </c>
      <c r="L801" s="22">
        <v>10</v>
      </c>
      <c r="M801" s="22">
        <v>30</v>
      </c>
      <c r="N801" s="22">
        <v>111444</v>
      </c>
      <c r="O801" s="22" t="str">
        <f t="shared" si="416"/>
        <v>001006</v>
      </c>
      <c r="P801" s="22">
        <f t="shared" si="417"/>
        <v>34</v>
      </c>
      <c r="Q801" s="22"/>
      <c r="R801" s="23" t="s">
        <v>153</v>
      </c>
      <c r="S801" s="22">
        <f t="shared" si="418"/>
        <v>0.56999999999999995</v>
      </c>
      <c r="T801" s="24">
        <f t="shared" si="419"/>
        <v>0</v>
      </c>
      <c r="U801" s="25">
        <f t="shared" si="420"/>
        <v>2</v>
      </c>
      <c r="V801" s="26" t="str">
        <f t="shared" si="421"/>
        <v/>
      </c>
    </row>
    <row r="802" spans="1:22" ht="48" customHeight="1" x14ac:dyDescent="0.25">
      <c r="A802" s="17" t="str">
        <f>VLOOKUP(C802,[1]Werke!$A$1:$C$168,3,0)</f>
        <v>26D</v>
      </c>
      <c r="B802" s="17" t="str">
        <f>VLOOKUP(C802,[1]Werke!$A$1:$C$168,2,0)</f>
        <v>G18</v>
      </c>
      <c r="C802" s="18" t="s">
        <v>257</v>
      </c>
      <c r="D802" s="17" t="str">
        <f>VLOOKUP(C802,[1]Maliteslimalan!$A$1:$B$210,2,0)</f>
        <v>8000012600</v>
      </c>
      <c r="E802" s="19">
        <f>VLOOKUP(C802,[1]Bestellnr.!$A$1:$B$174,2,0)</f>
        <v>0</v>
      </c>
      <c r="F802" s="20" t="str">
        <f t="shared" si="412"/>
        <v>N   106 554 02</v>
      </c>
      <c r="G802" s="21">
        <v>100326500</v>
      </c>
      <c r="H802" s="17">
        <f t="shared" si="413"/>
        <v>1.163E-2</v>
      </c>
      <c r="I802" s="20"/>
      <c r="J802" s="17">
        <f t="shared" si="414"/>
        <v>1000</v>
      </c>
      <c r="K802" s="17">
        <f t="shared" si="415"/>
        <v>0</v>
      </c>
      <c r="L802" s="22">
        <v>10</v>
      </c>
      <c r="M802" s="22">
        <v>30</v>
      </c>
      <c r="N802" s="22">
        <v>111444</v>
      </c>
      <c r="O802" s="22" t="str">
        <f t="shared" si="416"/>
        <v>001006</v>
      </c>
      <c r="P802" s="22">
        <f t="shared" si="417"/>
        <v>34</v>
      </c>
      <c r="Q802" s="22"/>
      <c r="R802" s="23" t="s">
        <v>153</v>
      </c>
      <c r="S802" s="22">
        <f t="shared" si="418"/>
        <v>0.56999999999999995</v>
      </c>
      <c r="T802" s="24">
        <f t="shared" si="419"/>
        <v>0</v>
      </c>
      <c r="U802" s="25">
        <f t="shared" si="420"/>
        <v>2</v>
      </c>
      <c r="V802" s="26" t="str">
        <f t="shared" si="421"/>
        <v/>
      </c>
    </row>
    <row r="803" spans="1:22" ht="48" customHeight="1" x14ac:dyDescent="0.25">
      <c r="A803" s="17"/>
      <c r="B803" s="17"/>
      <c r="C803" s="18"/>
      <c r="D803" s="17"/>
      <c r="E803" s="19"/>
      <c r="F803" s="20"/>
      <c r="G803" s="21"/>
      <c r="H803" s="17"/>
      <c r="I803" s="20"/>
      <c r="J803" s="17"/>
      <c r="K803" s="17"/>
      <c r="L803" s="22"/>
      <c r="M803" s="22"/>
      <c r="N803" s="22"/>
      <c r="O803" s="22"/>
      <c r="P803" s="22"/>
      <c r="Q803" s="22"/>
      <c r="R803" s="23"/>
      <c r="S803" s="22"/>
      <c r="T803" s="24"/>
      <c r="U803" s="25"/>
    </row>
    <row r="804" spans="1:22" ht="48" customHeight="1" x14ac:dyDescent="0.25">
      <c r="A804" s="17" t="str">
        <f>VLOOKUP(C804,[1]Werke!$A$1:$C$168,3,0)</f>
        <v>HT</v>
      </c>
      <c r="B804" s="17">
        <f>VLOOKUP(C804,[1]Werke!$A$1:$C$168,2,0)</f>
        <v>34</v>
      </c>
      <c r="C804" s="18">
        <v>80245</v>
      </c>
      <c r="D804" s="17">
        <f>VLOOKUP(C804,[1]Maliteslimalan!$A$1:$B$210,2,0)</f>
        <v>8000012604</v>
      </c>
      <c r="E804" s="19">
        <v>6</v>
      </c>
      <c r="F804" s="20" t="str">
        <f t="shared" ref="F804:F818" si="422">VLOOKUP(G804,$U$1:$V$1730,2,0)</f>
        <v>N   107 390 02</v>
      </c>
      <c r="G804" s="21">
        <v>100326800</v>
      </c>
      <c r="H804" s="17">
        <f t="shared" ref="H804:H818" si="423">VLOOKUP(G804,Z$2:AA$1905,2,FALSE)</f>
        <v>1.257E-2</v>
      </c>
      <c r="I804" s="20"/>
      <c r="J804" s="17">
        <f t="shared" ref="J804:J815" si="424">VLOOKUP(G804,W$2:X$1905,2,FALSE)</f>
        <v>900</v>
      </c>
      <c r="K804" s="17">
        <f t="shared" ref="K804:K818" si="425">I804/J804</f>
        <v>0</v>
      </c>
      <c r="L804" s="22">
        <v>10</v>
      </c>
      <c r="M804" s="22">
        <v>30</v>
      </c>
      <c r="N804" s="22">
        <v>111444</v>
      </c>
      <c r="O804" s="22" t="str">
        <f t="shared" ref="O804:O818" si="426">VLOOKUP(N804,$AL$1285:$AM$1310,2,FALSE)</f>
        <v>001006</v>
      </c>
      <c r="P804" s="22">
        <f t="shared" ref="P804:P818" si="427">VLOOKUP(N804,AC$2:AD$1905,2,FALSE)</f>
        <v>34</v>
      </c>
      <c r="Q804" s="22"/>
      <c r="R804" s="23" t="s">
        <v>153</v>
      </c>
      <c r="S804" s="22">
        <f t="shared" ref="S804:S818" si="428">VLOOKUP(R804,AC$2:AD$1905,2,FALSE)</f>
        <v>0.56999999999999995</v>
      </c>
      <c r="T804" s="24">
        <f t="shared" ref="T804:T818" si="429">(H804*I804)+P804*Q804+S804*K804</f>
        <v>0</v>
      </c>
      <c r="U804" s="25">
        <f t="shared" ref="U804:U818" si="430">IF(TRIM(N804&amp;"")="111444",
    IF(ROUNDUP(MAX(0,K804-(MAX(1,Q804)-1)*10)/10,0)=1,3,2),
    IF(TRIM(N804&amp;"")="VWPAL",
        IF(TRIM(R804&amp;"")="004147",1,2),
        ""
    )
)</f>
        <v>2</v>
      </c>
      <c r="V804" s="26" t="str">
        <f t="shared" ref="V804:V818" si="431">IF(OR(TRIM(N804&amp;"")="111444",TRIM(N804&amp;"")="VWPAL"),
    IF(K804&lt;=0,"",
        IF(
            MIN(3,ROUNDUP(MAX(0,K804-(MAX(1,Q804)-1)*IF(TRIM(N804&amp;"")="111444",10,20))/IF(TRIM(N804&amp;"")="111444",10,20),0))=1,
            300,
            IF(
                MIN(3,ROUNDUP(MAX(0,K804-(MAX(1,Q804)-1)*IF(TRIM(N804&amp;"")="111444",10,20))/IF(TRIM(N804&amp;"")="111444",10,20),0))=2,
                450,
                600
            )
        )
    ),
    ""
)</f>
        <v/>
      </c>
    </row>
    <row r="805" spans="1:22" ht="48" customHeight="1" x14ac:dyDescent="0.25">
      <c r="A805" s="17">
        <f>VLOOKUP(C805,[1]Werke!$A$1:$C$168,3,0)</f>
        <v>17</v>
      </c>
      <c r="B805" s="17" t="str">
        <f>VLOOKUP(C805,[1]Werke!$A$1:$C$168,2,0)</f>
        <v>H2B</v>
      </c>
      <c r="C805" s="20" t="s">
        <v>289</v>
      </c>
      <c r="D805" s="17" t="str">
        <f>VLOOKUP(C805,[1]Maliteslimalan!$A$1:$B$210,2,0)</f>
        <v>8000012624</v>
      </c>
      <c r="E805" s="19" t="str">
        <f>VLOOKUP(C805,[1]Bestellnr.!$A$1:$B$174,2,0)</f>
        <v>000006</v>
      </c>
      <c r="F805" s="20" t="str">
        <f t="shared" si="422"/>
        <v>N   107 390 02</v>
      </c>
      <c r="G805" s="21">
        <v>100326800</v>
      </c>
      <c r="H805" s="17">
        <f t="shared" si="423"/>
        <v>1.257E-2</v>
      </c>
      <c r="I805" s="20"/>
      <c r="J805" s="17">
        <f t="shared" si="424"/>
        <v>900</v>
      </c>
      <c r="K805" s="17">
        <f t="shared" si="425"/>
        <v>0</v>
      </c>
      <c r="L805" s="22">
        <v>10</v>
      </c>
      <c r="M805" s="22">
        <v>10</v>
      </c>
      <c r="N805" s="22">
        <v>111444</v>
      </c>
      <c r="O805" s="22" t="str">
        <f t="shared" si="426"/>
        <v>001006</v>
      </c>
      <c r="P805" s="22">
        <f t="shared" si="427"/>
        <v>34</v>
      </c>
      <c r="Q805" s="22"/>
      <c r="R805" s="23" t="s">
        <v>153</v>
      </c>
      <c r="S805" s="22">
        <f t="shared" si="428"/>
        <v>0.56999999999999995</v>
      </c>
      <c r="T805" s="24">
        <f t="shared" si="429"/>
        <v>0</v>
      </c>
      <c r="U805" s="25">
        <f t="shared" si="430"/>
        <v>2</v>
      </c>
      <c r="V805" s="26" t="str">
        <f t="shared" si="431"/>
        <v/>
      </c>
    </row>
    <row r="806" spans="1:22" ht="48" customHeight="1" x14ac:dyDescent="0.25">
      <c r="A806" s="17" t="str">
        <f>VLOOKUP(C806,[1]Werke!$A$1:$C$168,3,0)</f>
        <v>26D</v>
      </c>
      <c r="B806" s="17" t="str">
        <f>VLOOKUP(C806,[1]Werke!$A$1:$C$168,2,0)</f>
        <v>G18</v>
      </c>
      <c r="C806" s="18" t="s">
        <v>257</v>
      </c>
      <c r="D806" s="17" t="str">
        <f>VLOOKUP(C806,[1]Maliteslimalan!$A$1:$B$210,2,0)</f>
        <v>8000012600</v>
      </c>
      <c r="E806" s="19">
        <f>VLOOKUP(C806,[1]Bestellnr.!$A$1:$B$174,2,0)</f>
        <v>0</v>
      </c>
      <c r="F806" s="20" t="str">
        <f t="shared" si="422"/>
        <v>N   107 390 02</v>
      </c>
      <c r="G806" s="21">
        <v>100326800</v>
      </c>
      <c r="H806" s="17">
        <f t="shared" si="423"/>
        <v>1.257E-2</v>
      </c>
      <c r="I806" s="20"/>
      <c r="J806" s="17">
        <f t="shared" si="424"/>
        <v>900</v>
      </c>
      <c r="K806" s="17">
        <f t="shared" si="425"/>
        <v>0</v>
      </c>
      <c r="L806" s="22">
        <v>10</v>
      </c>
      <c r="M806" s="22">
        <v>30</v>
      </c>
      <c r="N806" s="22">
        <v>111444</v>
      </c>
      <c r="O806" s="22" t="str">
        <f t="shared" si="426"/>
        <v>001006</v>
      </c>
      <c r="P806" s="22">
        <f t="shared" si="427"/>
        <v>34</v>
      </c>
      <c r="Q806" s="22"/>
      <c r="R806" s="23" t="s">
        <v>153</v>
      </c>
      <c r="S806" s="22">
        <f t="shared" si="428"/>
        <v>0.56999999999999995</v>
      </c>
      <c r="T806" s="24">
        <f t="shared" si="429"/>
        <v>0</v>
      </c>
      <c r="U806" s="25">
        <f t="shared" si="430"/>
        <v>2</v>
      </c>
      <c r="V806" s="26" t="str">
        <f t="shared" si="431"/>
        <v/>
      </c>
    </row>
    <row r="807" spans="1:22" ht="48" customHeight="1" x14ac:dyDescent="0.25">
      <c r="A807" s="17">
        <f>VLOOKUP(C807,[1]Werke!$A$1:$C$168,3,0)</f>
        <v>27</v>
      </c>
      <c r="B807" s="17" t="str">
        <f>VLOOKUP(C807,[1]Werke!$A$1:$C$168,2,0)</f>
        <v>EFL</v>
      </c>
      <c r="C807" s="18" t="s">
        <v>290</v>
      </c>
      <c r="D807" s="17" t="str">
        <f>VLOOKUP(C807,[1]Maliteslimalan!$A$1:$B$210,2,0)</f>
        <v>8000012573</v>
      </c>
      <c r="E807" s="19" t="str">
        <f>VLOOKUP(C807,[1]Bestellnr.!$A$1:$B$174,2,0)</f>
        <v>000006</v>
      </c>
      <c r="F807" s="20" t="str">
        <f t="shared" si="422"/>
        <v>N   107 390 02</v>
      </c>
      <c r="G807" s="21">
        <v>100326800</v>
      </c>
      <c r="H807" s="17">
        <f t="shared" si="423"/>
        <v>1.257E-2</v>
      </c>
      <c r="I807" s="20"/>
      <c r="J807" s="17">
        <f t="shared" si="424"/>
        <v>900</v>
      </c>
      <c r="K807" s="17">
        <f t="shared" si="425"/>
        <v>0</v>
      </c>
      <c r="L807" s="22">
        <v>10</v>
      </c>
      <c r="M807" s="22">
        <v>30</v>
      </c>
      <c r="N807" s="22">
        <v>111444</v>
      </c>
      <c r="O807" s="22" t="str">
        <f t="shared" si="426"/>
        <v>001006</v>
      </c>
      <c r="P807" s="22">
        <f t="shared" si="427"/>
        <v>34</v>
      </c>
      <c r="Q807" s="22"/>
      <c r="R807" s="23" t="s">
        <v>153</v>
      </c>
      <c r="S807" s="22">
        <f t="shared" si="428"/>
        <v>0.56999999999999995</v>
      </c>
      <c r="T807" s="24">
        <f t="shared" si="429"/>
        <v>0</v>
      </c>
      <c r="U807" s="25">
        <f t="shared" si="430"/>
        <v>2</v>
      </c>
      <c r="V807" s="26" t="str">
        <f t="shared" si="431"/>
        <v/>
      </c>
    </row>
    <row r="808" spans="1:22" ht="48" customHeight="1" x14ac:dyDescent="0.25">
      <c r="A808" s="17">
        <f>VLOOKUP(C808,[1]Werke!$A$1:$C$168,3,0)</f>
        <v>14</v>
      </c>
      <c r="B808" s="17" t="str">
        <f>VLOOKUP(C808,[1]Werke!$A$1:$C$168,2,0)</f>
        <v>D85</v>
      </c>
      <c r="C808" s="18" t="s">
        <v>239</v>
      </c>
      <c r="D808" s="17" t="str">
        <f>VLOOKUP(C808,[1]Maliteslimalan!$A$1:$B$210,2,0)</f>
        <v>8000012682</v>
      </c>
      <c r="E808" s="19">
        <f>VLOOKUP(C808,[1]Bestellnr.!$A$1:$B$174,2,0)</f>
        <v>0</v>
      </c>
      <c r="F808" s="20" t="str">
        <f t="shared" si="422"/>
        <v>N   107 390 02</v>
      </c>
      <c r="G808" s="21">
        <v>100326800</v>
      </c>
      <c r="H808" s="17">
        <f t="shared" si="423"/>
        <v>1.257E-2</v>
      </c>
      <c r="I808" s="20"/>
      <c r="J808" s="17">
        <f t="shared" si="424"/>
        <v>900</v>
      </c>
      <c r="K808" s="17">
        <f t="shared" si="425"/>
        <v>0</v>
      </c>
      <c r="L808" s="22">
        <v>10</v>
      </c>
      <c r="M808" s="22">
        <v>30</v>
      </c>
      <c r="N808" s="22">
        <v>111444</v>
      </c>
      <c r="O808" s="22" t="str">
        <f t="shared" si="426"/>
        <v>001006</v>
      </c>
      <c r="P808" s="22">
        <f t="shared" si="427"/>
        <v>34</v>
      </c>
      <c r="Q808" s="22"/>
      <c r="R808" s="23" t="s">
        <v>153</v>
      </c>
      <c r="S808" s="22">
        <f t="shared" si="428"/>
        <v>0.56999999999999995</v>
      </c>
      <c r="T808" s="24">
        <f t="shared" si="429"/>
        <v>0</v>
      </c>
      <c r="U808" s="25">
        <f t="shared" si="430"/>
        <v>2</v>
      </c>
      <c r="V808" s="26" t="str">
        <f t="shared" si="431"/>
        <v/>
      </c>
    </row>
    <row r="809" spans="1:22" ht="48" customHeight="1" x14ac:dyDescent="0.25">
      <c r="A809" s="17">
        <f>VLOOKUP(C809,[1]Werke!$A$1:$C$168,3,0)</f>
        <v>49</v>
      </c>
      <c r="B809" s="17" t="str">
        <f>VLOOKUP(C809,[1]Werke!$A$1:$C$168,2,0)</f>
        <v>CT</v>
      </c>
      <c r="C809" s="18" t="s">
        <v>217</v>
      </c>
      <c r="D809" s="17" t="str">
        <f>VLOOKUP(C809,[1]Maliteslimalan!$A$1:$B$210,2,0)</f>
        <v>8000012574</v>
      </c>
      <c r="E809" s="19" t="str">
        <f>VLOOKUP(C809,[1]Bestellnr.!$A$1:$B$174,2,0)</f>
        <v>000001</v>
      </c>
      <c r="F809" s="20" t="str">
        <f t="shared" si="422"/>
        <v>N   107 390 02</v>
      </c>
      <c r="G809" s="21">
        <v>100326800</v>
      </c>
      <c r="H809" s="17">
        <f t="shared" si="423"/>
        <v>1.257E-2</v>
      </c>
      <c r="I809" s="20"/>
      <c r="J809" s="17">
        <f t="shared" si="424"/>
        <v>900</v>
      </c>
      <c r="K809" s="17">
        <f t="shared" si="425"/>
        <v>0</v>
      </c>
      <c r="L809" s="22">
        <v>10</v>
      </c>
      <c r="M809" s="22">
        <v>30</v>
      </c>
      <c r="N809" s="22">
        <v>111444</v>
      </c>
      <c r="O809" s="22" t="str">
        <f t="shared" si="426"/>
        <v>001006</v>
      </c>
      <c r="P809" s="22">
        <f t="shared" si="427"/>
        <v>34</v>
      </c>
      <c r="Q809" s="22"/>
      <c r="R809" s="23" t="s">
        <v>153</v>
      </c>
      <c r="S809" s="22">
        <f t="shared" si="428"/>
        <v>0.56999999999999995</v>
      </c>
      <c r="T809" s="24">
        <f t="shared" si="429"/>
        <v>0</v>
      </c>
      <c r="U809" s="25">
        <f t="shared" si="430"/>
        <v>2</v>
      </c>
      <c r="V809" s="26" t="str">
        <f t="shared" si="431"/>
        <v/>
      </c>
    </row>
    <row r="810" spans="1:22" ht="48" customHeight="1" x14ac:dyDescent="0.25">
      <c r="A810" s="17" t="str">
        <f>VLOOKUP(C810,[1]Werke!$A$1:$C$168,3,0)</f>
        <v>LD</v>
      </c>
      <c r="B810" s="17" t="str">
        <f>VLOOKUP(C810,[1]Werke!$A$1:$C$168,2,0)</f>
        <v>SLD</v>
      </c>
      <c r="C810" s="18">
        <v>83630</v>
      </c>
      <c r="D810" s="17" t="str">
        <f>VLOOKUP(C810,[1]Maliteslimalan!$A$1:$B$210,2,0)</f>
        <v>8000012862</v>
      </c>
      <c r="E810" s="19" t="str">
        <f>VLOOKUP(C810,[1]Bestellnr.!$A$1:$B$174,2,0)</f>
        <v>000006</v>
      </c>
      <c r="F810" s="20" t="str">
        <f t="shared" si="422"/>
        <v>N   107 390 02</v>
      </c>
      <c r="G810" s="21">
        <v>100326800</v>
      </c>
      <c r="H810" s="17">
        <f t="shared" si="423"/>
        <v>1.257E-2</v>
      </c>
      <c r="I810" s="20"/>
      <c r="J810" s="17">
        <f t="shared" si="424"/>
        <v>900</v>
      </c>
      <c r="K810" s="17">
        <f t="shared" si="425"/>
        <v>0</v>
      </c>
      <c r="L810" s="22">
        <v>10</v>
      </c>
      <c r="M810" s="22">
        <v>30</v>
      </c>
      <c r="N810" s="22">
        <v>111444</v>
      </c>
      <c r="O810" s="22" t="str">
        <f t="shared" si="426"/>
        <v>001006</v>
      </c>
      <c r="P810" s="22">
        <f t="shared" si="427"/>
        <v>34</v>
      </c>
      <c r="Q810" s="22"/>
      <c r="R810" s="23" t="s">
        <v>153</v>
      </c>
      <c r="S810" s="22">
        <f t="shared" si="428"/>
        <v>0.56999999999999995</v>
      </c>
      <c r="T810" s="24">
        <f t="shared" si="429"/>
        <v>0</v>
      </c>
      <c r="U810" s="25">
        <f t="shared" si="430"/>
        <v>2</v>
      </c>
      <c r="V810" s="26" t="str">
        <f t="shared" si="431"/>
        <v/>
      </c>
    </row>
    <row r="811" spans="1:22" ht="48" customHeight="1" x14ac:dyDescent="0.25">
      <c r="A811" s="17">
        <f>VLOOKUP(C811,[1]Werke!$A$1:$C$168,3,0)</f>
        <v>12</v>
      </c>
      <c r="B811" s="17" t="str">
        <f>VLOOKUP(C811,[1]Werke!$A$1:$C$168,2,0)</f>
        <v>AKL</v>
      </c>
      <c r="C811" s="18" t="s">
        <v>320</v>
      </c>
      <c r="D811" s="17">
        <f>VLOOKUP(C811,[1]Maliteslimalan!$A$1:$B$210,2,0)</f>
        <v>8000016416</v>
      </c>
      <c r="E811" s="19">
        <v>6</v>
      </c>
      <c r="F811" s="20" t="str">
        <f t="shared" si="422"/>
        <v>N   107 390 02</v>
      </c>
      <c r="G811" s="21">
        <v>100326800</v>
      </c>
      <c r="H811" s="17">
        <f t="shared" si="423"/>
        <v>1.257E-2</v>
      </c>
      <c r="I811" s="20"/>
      <c r="J811" s="17">
        <f t="shared" si="424"/>
        <v>900</v>
      </c>
      <c r="K811" s="17">
        <f t="shared" si="425"/>
        <v>0</v>
      </c>
      <c r="L811" s="22">
        <v>10</v>
      </c>
      <c r="M811" s="22">
        <v>30</v>
      </c>
      <c r="N811" s="22">
        <v>111444</v>
      </c>
      <c r="O811" s="22" t="str">
        <f t="shared" si="426"/>
        <v>001006</v>
      </c>
      <c r="P811" s="22">
        <f t="shared" si="427"/>
        <v>34</v>
      </c>
      <c r="Q811" s="22"/>
      <c r="R811" s="23" t="s">
        <v>153</v>
      </c>
      <c r="S811" s="22">
        <f t="shared" si="428"/>
        <v>0.56999999999999995</v>
      </c>
      <c r="T811" s="24">
        <f t="shared" si="429"/>
        <v>0</v>
      </c>
      <c r="U811" s="25">
        <f t="shared" si="430"/>
        <v>2</v>
      </c>
      <c r="V811" s="26" t="str">
        <f t="shared" si="431"/>
        <v/>
      </c>
    </row>
    <row r="812" spans="1:22" ht="48" customHeight="1" x14ac:dyDescent="0.25">
      <c r="A812" s="17" t="str">
        <f>VLOOKUP(C812,[1]Werke!$A$1:$C$168,3,0)</f>
        <v>26C</v>
      </c>
      <c r="B812" s="17" t="str">
        <f>VLOOKUP(C812,[1]Werke!$A$1:$C$168,2,0)</f>
        <v>CKD</v>
      </c>
      <c r="C812" s="18" t="s">
        <v>258</v>
      </c>
      <c r="D812" s="17" t="str">
        <f>VLOOKUP(C812,[1]Maliteslimalan!$A$1:$B$210,2,0)</f>
        <v>8000012767</v>
      </c>
      <c r="E812" s="19">
        <f>VLOOKUP(C812,[1]Bestellnr.!$A$1:$B$174,2,0)</f>
        <v>0</v>
      </c>
      <c r="F812" s="20" t="str">
        <f t="shared" si="422"/>
        <v>N   107 390 02</v>
      </c>
      <c r="G812" s="21">
        <v>100326800</v>
      </c>
      <c r="H812" s="17">
        <f t="shared" si="423"/>
        <v>1.257E-2</v>
      </c>
      <c r="I812" s="20"/>
      <c r="J812" s="17">
        <f t="shared" si="424"/>
        <v>900</v>
      </c>
      <c r="K812" s="17">
        <f t="shared" si="425"/>
        <v>0</v>
      </c>
      <c r="L812" s="22">
        <v>10</v>
      </c>
      <c r="M812" s="22">
        <v>30</v>
      </c>
      <c r="N812" s="22">
        <v>111444</v>
      </c>
      <c r="O812" s="22" t="str">
        <f t="shared" si="426"/>
        <v>001006</v>
      </c>
      <c r="P812" s="22">
        <f t="shared" si="427"/>
        <v>34</v>
      </c>
      <c r="Q812" s="22"/>
      <c r="R812" s="23" t="s">
        <v>153</v>
      </c>
      <c r="S812" s="22">
        <f t="shared" si="428"/>
        <v>0.56999999999999995</v>
      </c>
      <c r="T812" s="24">
        <f t="shared" si="429"/>
        <v>0</v>
      </c>
      <c r="U812" s="25">
        <f t="shared" si="430"/>
        <v>2</v>
      </c>
      <c r="V812" s="26" t="str">
        <f t="shared" si="431"/>
        <v/>
      </c>
    </row>
    <row r="813" spans="1:22" ht="48" customHeight="1" x14ac:dyDescent="0.25">
      <c r="A813" s="17">
        <f>VLOOKUP(C813,[1]Werke!$A$1:$C$168,3,0)</f>
        <v>37</v>
      </c>
      <c r="B813" s="17" t="str">
        <f>VLOOKUP(C813,[1]Werke!$A$1:$C$168,2,0)</f>
        <v>AKL</v>
      </c>
      <c r="C813" s="18" t="s">
        <v>232</v>
      </c>
      <c r="D813" s="17" t="str">
        <f>VLOOKUP(C813,[1]Maliteslimalan!$A$1:$B$210,2,0)</f>
        <v>8000012562</v>
      </c>
      <c r="E813" s="19" t="str">
        <f>VLOOKUP(C813,[1]Bestellnr.!$A$1:$B$174,2,0)</f>
        <v>000006</v>
      </c>
      <c r="F813" s="20" t="str">
        <f t="shared" si="422"/>
        <v>N   107 390 02</v>
      </c>
      <c r="G813" s="21">
        <v>100326800</v>
      </c>
      <c r="H813" s="17">
        <f t="shared" si="423"/>
        <v>1.257E-2</v>
      </c>
      <c r="I813" s="20"/>
      <c r="J813" s="17">
        <f t="shared" si="424"/>
        <v>900</v>
      </c>
      <c r="K813" s="17">
        <f t="shared" si="425"/>
        <v>0</v>
      </c>
      <c r="L813" s="22">
        <v>10</v>
      </c>
      <c r="M813" s="22">
        <v>30</v>
      </c>
      <c r="N813" s="22">
        <v>111444</v>
      </c>
      <c r="O813" s="22" t="str">
        <f t="shared" si="426"/>
        <v>001006</v>
      </c>
      <c r="P813" s="22">
        <f t="shared" si="427"/>
        <v>34</v>
      </c>
      <c r="Q813" s="22"/>
      <c r="R813" s="23" t="s">
        <v>153</v>
      </c>
      <c r="S813" s="22">
        <f t="shared" si="428"/>
        <v>0.56999999999999995</v>
      </c>
      <c r="T813" s="24">
        <f t="shared" si="429"/>
        <v>0</v>
      </c>
      <c r="U813" s="25">
        <f t="shared" si="430"/>
        <v>2</v>
      </c>
      <c r="V813" s="26" t="str">
        <f t="shared" si="431"/>
        <v/>
      </c>
    </row>
    <row r="814" spans="1:22" ht="48" customHeight="1" x14ac:dyDescent="0.25">
      <c r="A814" s="17" t="str">
        <f>VLOOKUP(C814,[1]Werke!$A$1:$C$168,3,0)</f>
        <v>3P</v>
      </c>
      <c r="B814" s="17" t="str">
        <f>VLOOKUP(C814,[1]Werke!$A$1:$C$168,2,0)</f>
        <v>BP4</v>
      </c>
      <c r="C814" s="18" t="s">
        <v>234</v>
      </c>
      <c r="D814" s="17" t="str">
        <f>VLOOKUP(C814,[1]Maliteslimalan!$A$1:$B$210,2,0)</f>
        <v>8000012617</v>
      </c>
      <c r="E814" s="19" t="str">
        <f>VLOOKUP(C814,[1]Bestellnr.!$A$1:$B$174,2,0)</f>
        <v>000055</v>
      </c>
      <c r="F814" s="20" t="str">
        <f t="shared" si="422"/>
        <v>N   107 390 02</v>
      </c>
      <c r="G814" s="21">
        <v>100326800</v>
      </c>
      <c r="H814" s="17">
        <f t="shared" si="423"/>
        <v>1.257E-2</v>
      </c>
      <c r="I814" s="20"/>
      <c r="J814" s="17">
        <f t="shared" si="424"/>
        <v>900</v>
      </c>
      <c r="K814" s="17">
        <f t="shared" si="425"/>
        <v>0</v>
      </c>
      <c r="L814" s="22">
        <v>20</v>
      </c>
      <c r="M814" s="22">
        <v>20</v>
      </c>
      <c r="N814" s="22" t="s">
        <v>155</v>
      </c>
      <c r="O814" s="22" t="str">
        <f t="shared" si="426"/>
        <v>001210</v>
      </c>
      <c r="P814" s="22">
        <f t="shared" si="427"/>
        <v>55</v>
      </c>
      <c r="Q814" s="22"/>
      <c r="R814" s="23" t="s">
        <v>153</v>
      </c>
      <c r="S814" s="22">
        <f t="shared" si="428"/>
        <v>0.56999999999999995</v>
      </c>
      <c r="T814" s="24">
        <f t="shared" si="429"/>
        <v>0</v>
      </c>
      <c r="U814" s="25">
        <f t="shared" si="430"/>
        <v>2</v>
      </c>
      <c r="V814" s="26" t="str">
        <f t="shared" si="431"/>
        <v/>
      </c>
    </row>
    <row r="815" spans="1:22" ht="48" customHeight="1" x14ac:dyDescent="0.25">
      <c r="A815" s="17">
        <f>VLOOKUP(C815,[1]Werke!$A$1:$C$168,3,0)</f>
        <v>69</v>
      </c>
      <c r="B815" s="17" t="str">
        <f>VLOOKUP(C815,[1]Werke!$A$1:$C$168,2,0)</f>
        <v>AKL</v>
      </c>
      <c r="C815" s="18" t="s">
        <v>238</v>
      </c>
      <c r="D815" s="17">
        <f>VLOOKUP(C815,[1]Maliteslimalan!$A$1:$B$210,2,0)</f>
        <v>8000017492</v>
      </c>
      <c r="E815" s="19">
        <v>6</v>
      </c>
      <c r="F815" s="20" t="str">
        <f t="shared" si="422"/>
        <v>N   107 390 02</v>
      </c>
      <c r="G815" s="21">
        <v>100326800</v>
      </c>
      <c r="H815" s="17">
        <f t="shared" si="423"/>
        <v>1.257E-2</v>
      </c>
      <c r="I815" s="20"/>
      <c r="J815" s="17">
        <f t="shared" si="424"/>
        <v>900</v>
      </c>
      <c r="K815" s="17">
        <f t="shared" si="425"/>
        <v>0</v>
      </c>
      <c r="L815" s="22">
        <v>10</v>
      </c>
      <c r="M815" s="22">
        <v>30</v>
      </c>
      <c r="N815" s="22">
        <v>111444</v>
      </c>
      <c r="O815" s="22" t="str">
        <f t="shared" si="426"/>
        <v>001006</v>
      </c>
      <c r="P815" s="22">
        <f t="shared" si="427"/>
        <v>34</v>
      </c>
      <c r="Q815" s="22"/>
      <c r="R815" s="23" t="s">
        <v>153</v>
      </c>
      <c r="S815" s="22">
        <f t="shared" si="428"/>
        <v>0.56999999999999995</v>
      </c>
      <c r="T815" s="24">
        <f t="shared" si="429"/>
        <v>0</v>
      </c>
      <c r="U815" s="25">
        <f t="shared" si="430"/>
        <v>2</v>
      </c>
      <c r="V815" s="26" t="str">
        <f t="shared" si="431"/>
        <v/>
      </c>
    </row>
    <row r="816" spans="1:22" ht="48" customHeight="1" x14ac:dyDescent="0.25">
      <c r="A816" s="17">
        <f>VLOOKUP(C816,[1]Werke!$A$1:$C$168,3,0)</f>
        <v>42</v>
      </c>
      <c r="B816" s="17" t="str">
        <f>VLOOKUP(C816,[1]Werke!$A$1:$C$168,2,0)</f>
        <v>CC1</v>
      </c>
      <c r="C816" s="18" t="s">
        <v>241</v>
      </c>
      <c r="D816" s="17" t="str">
        <f>VLOOKUP(C816,[1]Maliteslimalan!$A$1:$B$210,2,0)</f>
        <v>8000012577</v>
      </c>
      <c r="E816" s="19" t="str">
        <f>VLOOKUP(C816,[1]Bestellnr.!$A$1:$B$174,2,0)</f>
        <v>000001</v>
      </c>
      <c r="F816" s="20" t="str">
        <f t="shared" si="422"/>
        <v>N   107 390 02</v>
      </c>
      <c r="G816" s="21">
        <v>100326800</v>
      </c>
      <c r="H816" s="17">
        <f t="shared" si="423"/>
        <v>1.257E-2</v>
      </c>
      <c r="I816" s="20"/>
      <c r="J816" s="17">
        <v>1000</v>
      </c>
      <c r="K816" s="17">
        <f t="shared" si="425"/>
        <v>0</v>
      </c>
      <c r="L816" s="22">
        <v>20</v>
      </c>
      <c r="M816" s="22">
        <v>60</v>
      </c>
      <c r="N816" s="22" t="s">
        <v>155</v>
      </c>
      <c r="O816" s="22" t="str">
        <f t="shared" si="426"/>
        <v>001210</v>
      </c>
      <c r="P816" s="22">
        <f t="shared" si="427"/>
        <v>55</v>
      </c>
      <c r="Q816" s="22"/>
      <c r="R816" s="23" t="s">
        <v>153</v>
      </c>
      <c r="S816" s="22">
        <f t="shared" si="428"/>
        <v>0.56999999999999995</v>
      </c>
      <c r="T816" s="24">
        <f t="shared" si="429"/>
        <v>0</v>
      </c>
      <c r="U816" s="25">
        <f t="shared" si="430"/>
        <v>2</v>
      </c>
      <c r="V816" s="26" t="str">
        <f t="shared" si="431"/>
        <v/>
      </c>
    </row>
    <row r="817" spans="1:22" ht="48" customHeight="1" x14ac:dyDescent="0.25">
      <c r="A817" s="17">
        <f>VLOOKUP(C817,[1]Werke!$A$1:$C$168,3,0)</f>
        <v>31</v>
      </c>
      <c r="B817" s="17" t="str">
        <f>VLOOKUP(C817,[1]Werke!$A$1:$C$168,2,0)</f>
        <v>BH7</v>
      </c>
      <c r="C817" s="18" t="s">
        <v>250</v>
      </c>
      <c r="D817" s="17">
        <f>VLOOKUP(C817,[1]Maliteslimalan!$A$1:$B$210,2,0)</f>
        <v>8000015577</v>
      </c>
      <c r="E817" s="19">
        <v>6</v>
      </c>
      <c r="F817" s="20" t="str">
        <f t="shared" si="422"/>
        <v>N   107 390 02</v>
      </c>
      <c r="G817" s="21">
        <v>100326800</v>
      </c>
      <c r="H817" s="17">
        <f t="shared" si="423"/>
        <v>1.257E-2</v>
      </c>
      <c r="I817" s="20"/>
      <c r="J817" s="17">
        <f>VLOOKUP(G817,W$2:X$1905,2,FALSE)</f>
        <v>900</v>
      </c>
      <c r="K817" s="17">
        <f t="shared" si="425"/>
        <v>0</v>
      </c>
      <c r="L817" s="22">
        <v>20</v>
      </c>
      <c r="M817" s="22">
        <v>20</v>
      </c>
      <c r="N817" s="22" t="s">
        <v>155</v>
      </c>
      <c r="O817" s="22" t="str">
        <f t="shared" si="426"/>
        <v>001210</v>
      </c>
      <c r="P817" s="22">
        <f t="shared" si="427"/>
        <v>55</v>
      </c>
      <c r="Q817" s="22"/>
      <c r="R817" s="23" t="s">
        <v>153</v>
      </c>
      <c r="S817" s="22">
        <f t="shared" si="428"/>
        <v>0.56999999999999995</v>
      </c>
      <c r="T817" s="24">
        <f t="shared" si="429"/>
        <v>0</v>
      </c>
      <c r="U817" s="25">
        <f t="shared" si="430"/>
        <v>2</v>
      </c>
      <c r="V817" s="26" t="str">
        <f t="shared" si="431"/>
        <v/>
      </c>
    </row>
    <row r="818" spans="1:22" ht="48" customHeight="1" x14ac:dyDescent="0.25">
      <c r="A818" s="17" t="str">
        <f>VLOOKUP(C818,[1]Werke!$A$1:$C$168,3,0)</f>
        <v>3T</v>
      </c>
      <c r="B818" s="17" t="str">
        <f>VLOOKUP(C818,[1]Werke!$A$1:$C$168,2,0)</f>
        <v>BZ5</v>
      </c>
      <c r="C818" s="18" t="s">
        <v>242</v>
      </c>
      <c r="D818" s="17">
        <f>VLOOKUP(C818,[1]Maliteslimalan!$A$1:$B$210,2,0)</f>
        <v>8000012711</v>
      </c>
      <c r="E818" s="19">
        <v>6</v>
      </c>
      <c r="F818" s="20" t="str">
        <f t="shared" si="422"/>
        <v>N   107 390 02</v>
      </c>
      <c r="G818" s="21">
        <v>100326800</v>
      </c>
      <c r="H818" s="17">
        <f t="shared" si="423"/>
        <v>1.257E-2</v>
      </c>
      <c r="I818" s="20"/>
      <c r="J818" s="17">
        <f>VLOOKUP(G818,W$2:X$1905,2,FALSE)</f>
        <v>900</v>
      </c>
      <c r="K818" s="17">
        <f t="shared" si="425"/>
        <v>0</v>
      </c>
      <c r="L818" s="22">
        <v>10</v>
      </c>
      <c r="M818" s="22">
        <v>10</v>
      </c>
      <c r="N818" s="22">
        <v>111444</v>
      </c>
      <c r="O818" s="22" t="str">
        <f t="shared" si="426"/>
        <v>001006</v>
      </c>
      <c r="P818" s="22">
        <f t="shared" si="427"/>
        <v>34</v>
      </c>
      <c r="Q818" s="22"/>
      <c r="R818" s="23" t="s">
        <v>153</v>
      </c>
      <c r="S818" s="22">
        <f t="shared" si="428"/>
        <v>0.56999999999999995</v>
      </c>
      <c r="T818" s="24">
        <f t="shared" si="429"/>
        <v>0</v>
      </c>
      <c r="U818" s="25">
        <f t="shared" si="430"/>
        <v>2</v>
      </c>
      <c r="V818" s="26" t="str">
        <f t="shared" si="431"/>
        <v/>
      </c>
    </row>
    <row r="819" spans="1:22" ht="48" customHeight="1" x14ac:dyDescent="0.25">
      <c r="A819" s="17"/>
      <c r="B819" s="17"/>
      <c r="C819" s="18"/>
      <c r="D819" s="17"/>
      <c r="E819" s="19"/>
      <c r="F819" s="20"/>
      <c r="G819" s="21"/>
      <c r="H819" s="17"/>
      <c r="I819" s="20"/>
      <c r="J819" s="17"/>
      <c r="K819" s="17"/>
      <c r="L819" s="22"/>
      <c r="M819" s="22"/>
      <c r="N819" s="22"/>
      <c r="O819" s="22"/>
      <c r="P819" s="22"/>
      <c r="Q819" s="22"/>
      <c r="R819" s="23"/>
      <c r="S819" s="22"/>
      <c r="T819" s="24"/>
      <c r="U819" s="25"/>
    </row>
    <row r="820" spans="1:22" ht="48" customHeight="1" x14ac:dyDescent="0.25">
      <c r="A820" s="17">
        <f>VLOOKUP(C820,[1]Werke!$A$1:$C$168,3,0)</f>
        <v>34</v>
      </c>
      <c r="B820" s="17" t="str">
        <f>VLOOKUP(C820,[1]Werke!$A$1:$C$168,2,0)</f>
        <v>01</v>
      </c>
      <c r="C820" s="18" t="s">
        <v>280</v>
      </c>
      <c r="D820" s="17" t="str">
        <f>VLOOKUP(C820,[1]Maliteslimalan!$A$1:$B$210,2,0)</f>
        <v>8000012622</v>
      </c>
      <c r="E820" s="19">
        <f>VLOOKUP(C820,[1]Bestellnr.!$A$1:$B$174,2,0)</f>
        <v>0</v>
      </c>
      <c r="F820" s="20" t="str">
        <f>VLOOKUP(G820,$U$1:$V$1730,2,0)</f>
        <v>N   107 436 01</v>
      </c>
      <c r="G820" s="21">
        <v>100326900</v>
      </c>
      <c r="H820" s="17">
        <f>VLOOKUP(G820,Z$2:AA$1905,2,FALSE)</f>
        <v>2.0650000000000002E-2</v>
      </c>
      <c r="I820" s="20"/>
      <c r="J820" s="17">
        <f>VLOOKUP(G820,W$2:X$1905,2,FALSE)</f>
        <v>550</v>
      </c>
      <c r="K820" s="17">
        <f>I820/J820</f>
        <v>0</v>
      </c>
      <c r="L820" s="22">
        <v>10</v>
      </c>
      <c r="M820" s="22">
        <v>30</v>
      </c>
      <c r="N820" s="22">
        <v>111444</v>
      </c>
      <c r="O820" s="22" t="str">
        <f>VLOOKUP(N820,$AL$1285:$AM$1310,2,FALSE)</f>
        <v>001006</v>
      </c>
      <c r="P820" s="22">
        <f>VLOOKUP(N820,AC$2:AD$1905,2,FALSE)</f>
        <v>34</v>
      </c>
      <c r="Q820" s="22"/>
      <c r="R820" s="23" t="s">
        <v>153</v>
      </c>
      <c r="S820" s="22">
        <f>VLOOKUP(R820,AC$2:AD$1905,2,FALSE)</f>
        <v>0.56999999999999995</v>
      </c>
      <c r="T820" s="24">
        <f>(H820*I820)+P820*Q820+S820*K820</f>
        <v>0</v>
      </c>
      <c r="U820" s="25">
        <f>IF(TRIM(N820&amp;"")="111444",
    IF(ROUNDUP(MAX(0,K820-(MAX(1,Q820)-1)*10)/10,0)=1,3,2),
    IF(TRIM(N820&amp;"")="VWPAL",
        IF(TRIM(R820&amp;"")="004147",1,2),
        ""
    )
)</f>
        <v>2</v>
      </c>
      <c r="V820" s="26" t="str">
        <f>IF(OR(TRIM(N820&amp;"")="111444",TRIM(N820&amp;"")="VWPAL"),
    IF(K820&lt;=0,"",
        IF(
            MIN(3,ROUNDUP(MAX(0,K820-(MAX(1,Q820)-1)*IF(TRIM(N820&amp;"")="111444",10,20))/IF(TRIM(N820&amp;"")="111444",10,20),0))=1,
            300,
            IF(
                MIN(3,ROUNDUP(MAX(0,K820-(MAX(1,Q820)-1)*IF(TRIM(N820&amp;"")="111444",10,20))/IF(TRIM(N820&amp;"")="111444",10,20),0))=2,
                450,
                600
            )
        )
    ),
    ""
)</f>
        <v/>
      </c>
    </row>
    <row r="821" spans="1:22" ht="48" customHeight="1" x14ac:dyDescent="0.25">
      <c r="A821" s="17" t="str">
        <f>VLOOKUP(C821,[1]Werke!$A$1:$C$168,3,0)</f>
        <v>26D</v>
      </c>
      <c r="B821" s="17" t="str">
        <f>VLOOKUP(C821,[1]Werke!$A$1:$C$168,2,0)</f>
        <v>G18</v>
      </c>
      <c r="C821" s="18" t="s">
        <v>257</v>
      </c>
      <c r="D821" s="17" t="str">
        <f>VLOOKUP(C821,[1]Maliteslimalan!$A$1:$B$210,2,0)</f>
        <v>8000012600</v>
      </c>
      <c r="E821" s="19">
        <f>VLOOKUP(C821,[1]Bestellnr.!$A$1:$B$174,2,0)</f>
        <v>0</v>
      </c>
      <c r="F821" s="20" t="str">
        <f>VLOOKUP(G821,$U$1:$V$1730,2,0)</f>
        <v>N   107 436 01</v>
      </c>
      <c r="G821" s="21">
        <v>100326900</v>
      </c>
      <c r="H821" s="17">
        <f>VLOOKUP(G821,Z$2:AA$1905,2,FALSE)</f>
        <v>2.0650000000000002E-2</v>
      </c>
      <c r="I821" s="20"/>
      <c r="J821" s="17">
        <f>VLOOKUP(G821,W$2:X$1905,2,FALSE)</f>
        <v>550</v>
      </c>
      <c r="K821" s="17">
        <f>I821/J821</f>
        <v>0</v>
      </c>
      <c r="L821" s="22">
        <v>10</v>
      </c>
      <c r="M821" s="22">
        <v>20</v>
      </c>
      <c r="N821" s="22">
        <v>111444</v>
      </c>
      <c r="O821" s="22" t="str">
        <f>VLOOKUP(N821,$AL$1285:$AM$1310,2,FALSE)</f>
        <v>001006</v>
      </c>
      <c r="P821" s="22">
        <f>VLOOKUP(N821,AC$2:AD$1905,2,FALSE)</f>
        <v>34</v>
      </c>
      <c r="Q821" s="22"/>
      <c r="R821" s="23" t="s">
        <v>153</v>
      </c>
      <c r="S821" s="22">
        <f>VLOOKUP(R821,AC$2:AD$1905,2,FALSE)</f>
        <v>0.56999999999999995</v>
      </c>
      <c r="T821" s="24">
        <f>(H821*I821)+P821*Q821+S821*K821</f>
        <v>0</v>
      </c>
      <c r="U821" s="25">
        <f>IF(TRIM(N821&amp;"")="111444",
    IF(ROUNDUP(MAX(0,K821-(MAX(1,Q821)-1)*10)/10,0)=1,3,2),
    IF(TRIM(N821&amp;"")="VWPAL",
        IF(TRIM(R821&amp;"")="004147",1,2),
        ""
    )
)</f>
        <v>2</v>
      </c>
      <c r="V821" s="26" t="str">
        <f>IF(OR(TRIM(N821&amp;"")="111444",TRIM(N821&amp;"")="VWPAL"),
    IF(K821&lt;=0,"",
        IF(
            MIN(3,ROUNDUP(MAX(0,K821-(MAX(1,Q821)-1)*IF(TRIM(N821&amp;"")="111444",10,20))/IF(TRIM(N821&amp;"")="111444",10,20),0))=1,
            300,
            IF(
                MIN(3,ROUNDUP(MAX(0,K821-(MAX(1,Q821)-1)*IF(TRIM(N821&amp;"")="111444",10,20))/IF(TRIM(N821&amp;"")="111444",10,20),0))=2,
                450,
                600
            )
        )
    ),
    ""
)</f>
        <v/>
      </c>
    </row>
    <row r="822" spans="1:22" ht="48" customHeight="1" x14ac:dyDescent="0.25">
      <c r="A822" s="17"/>
      <c r="B822" s="17"/>
      <c r="C822" s="18"/>
      <c r="D822" s="17"/>
      <c r="E822" s="19"/>
      <c r="F822" s="20"/>
      <c r="G822" s="21"/>
      <c r="H822" s="17"/>
      <c r="I822" s="20"/>
      <c r="J822" s="17"/>
      <c r="K822" s="17"/>
      <c r="L822" s="22"/>
      <c r="M822" s="22"/>
      <c r="N822" s="22"/>
      <c r="O822" s="22"/>
      <c r="P822" s="22"/>
      <c r="Q822" s="22"/>
      <c r="R822" s="23"/>
      <c r="S822" s="22"/>
      <c r="T822" s="24"/>
      <c r="U822" s="25"/>
    </row>
    <row r="823" spans="1:22" ht="48" customHeight="1" x14ac:dyDescent="0.25">
      <c r="A823" s="17">
        <f>VLOOKUP(C823,[1]Werke!$A$1:$C$168,3,0)</f>
        <v>40</v>
      </c>
      <c r="B823" s="17">
        <f>VLOOKUP(C823,[1]Werke!$A$1:$C$168,2,0)</f>
        <v>908</v>
      </c>
      <c r="C823" s="18" t="s">
        <v>247</v>
      </c>
      <c r="D823" s="17" t="str">
        <f>VLOOKUP(C823,[1]Maliteslimalan!$A$1:$B$210,2,0)</f>
        <v>8000012582</v>
      </c>
      <c r="E823" s="19" t="str">
        <f>VLOOKUP(C823,[1]Bestellnr.!$A$1:$B$174,2,0)</f>
        <v>000001</v>
      </c>
      <c r="F823" s="20" t="str">
        <f>VLOOKUP(G823,$U$1:$V$1730,2,0)</f>
        <v>N   107 511 02</v>
      </c>
      <c r="G823" s="21">
        <v>100327800</v>
      </c>
      <c r="H823" s="17">
        <f>VLOOKUP(G823,Z$2:AA$1905,2,FALSE)</f>
        <v>7.1399999999999996E-3</v>
      </c>
      <c r="I823" s="20"/>
      <c r="J823" s="17">
        <f>VLOOKUP(G823,W$2:X$1905,2,FALSE)</f>
        <v>2100</v>
      </c>
      <c r="K823" s="17">
        <f>I823/J823</f>
        <v>0</v>
      </c>
      <c r="L823" s="22">
        <v>10</v>
      </c>
      <c r="M823" s="22">
        <v>30</v>
      </c>
      <c r="N823" s="22">
        <v>111444</v>
      </c>
      <c r="O823" s="22" t="str">
        <f>VLOOKUP(N823,$AL$1285:$AM$1310,2,FALSE)</f>
        <v>001006</v>
      </c>
      <c r="P823" s="22">
        <f>VLOOKUP(N823,AC$2:AD$1905,2,FALSE)</f>
        <v>34</v>
      </c>
      <c r="Q823" s="22"/>
      <c r="R823" s="23" t="s">
        <v>153</v>
      </c>
      <c r="S823" s="22">
        <f>VLOOKUP(R823,AC$2:AD$1905,2,FALSE)</f>
        <v>0.56999999999999995</v>
      </c>
      <c r="T823" s="24">
        <f>(H823*I823)+P823*Q823+S823*K823</f>
        <v>0</v>
      </c>
      <c r="U823" s="25">
        <f>IF(TRIM(N823&amp;"")="111444",
    IF(ROUNDUP(MAX(0,K823-(MAX(1,Q823)-1)*10)/10,0)=1,3,2),
    IF(TRIM(N823&amp;"")="VWPAL",
        IF(TRIM(R823&amp;"")="004147",1,2),
        ""
    )
)</f>
        <v>2</v>
      </c>
      <c r="V823" s="26" t="str">
        <f>IF(OR(TRIM(N823&amp;"")="111444",TRIM(N823&amp;"")="VWPAL"),
    IF(K823&lt;=0,"",
        IF(
            MIN(3,ROUNDUP(MAX(0,K823-(MAX(1,Q823)-1)*IF(TRIM(N823&amp;"")="111444",10,20))/IF(TRIM(N823&amp;"")="111444",10,20),0))=1,
            300,
            IF(
                MIN(3,ROUNDUP(MAX(0,K823-(MAX(1,Q823)-1)*IF(TRIM(N823&amp;"")="111444",10,20))/IF(TRIM(N823&amp;"")="111444",10,20),0))=2,
                450,
                600
            )
        )
    ),
    ""
)</f>
        <v/>
      </c>
    </row>
    <row r="824" spans="1:22" ht="48" customHeight="1" x14ac:dyDescent="0.25">
      <c r="A824" s="17"/>
      <c r="B824" s="17"/>
      <c r="C824" s="18"/>
      <c r="D824" s="17"/>
      <c r="E824" s="19"/>
      <c r="F824" s="20"/>
      <c r="G824" s="21"/>
      <c r="H824" s="17"/>
      <c r="I824" s="20"/>
      <c r="J824" s="17"/>
      <c r="K824" s="17"/>
      <c r="L824" s="22"/>
      <c r="M824" s="22"/>
      <c r="N824" s="22"/>
      <c r="O824" s="22"/>
      <c r="P824" s="22"/>
      <c r="Q824" s="22"/>
      <c r="R824" s="23"/>
      <c r="S824" s="22"/>
      <c r="T824" s="24"/>
      <c r="U824" s="25"/>
    </row>
    <row r="825" spans="1:22" ht="48" customHeight="1" x14ac:dyDescent="0.25">
      <c r="A825" s="17">
        <f>VLOOKUP(C825,[1]Werke!$A$1:$C$168,3,0)</f>
        <v>69</v>
      </c>
      <c r="B825" s="17" t="str">
        <f>VLOOKUP(C825,[1]Werke!$A$1:$C$168,2,0)</f>
        <v>G02</v>
      </c>
      <c r="C825" s="18" t="s">
        <v>321</v>
      </c>
      <c r="D825" s="17">
        <f>VLOOKUP(C825,[1]Maliteslimalan!$A$1:$B$210,2,0)</f>
        <v>8000015684</v>
      </c>
      <c r="E825" s="19">
        <v>6</v>
      </c>
      <c r="F825" s="20" t="str">
        <f>VLOOKUP(G825,$U$1:$V$1730,2,0)</f>
        <v>N   909 897 02</v>
      </c>
      <c r="G825" s="21">
        <v>100327900</v>
      </c>
      <c r="H825" s="17">
        <f>VLOOKUP(G825,Z$2:AA$1905,2,FALSE)</f>
        <v>1.3939999999999999E-2</v>
      </c>
      <c r="I825" s="20"/>
      <c r="J825" s="17">
        <f>VLOOKUP(G825,W$2:X$1905,2,FALSE)</f>
        <v>900</v>
      </c>
      <c r="K825" s="17">
        <f>I825/J825</f>
        <v>0</v>
      </c>
      <c r="L825" s="22">
        <v>10</v>
      </c>
      <c r="M825" s="22">
        <v>30</v>
      </c>
      <c r="N825" s="22">
        <v>111444</v>
      </c>
      <c r="O825" s="22" t="str">
        <f>VLOOKUP(N825,$AL$1285:$AM$1310,2,FALSE)</f>
        <v>001006</v>
      </c>
      <c r="P825" s="22">
        <f>VLOOKUP(N825,AC$2:AD$1905,2,FALSE)</f>
        <v>34</v>
      </c>
      <c r="Q825" s="22"/>
      <c r="R825" s="23" t="s">
        <v>153</v>
      </c>
      <c r="S825" s="22">
        <f>VLOOKUP(R825,AC$2:AD$1905,2,FALSE)</f>
        <v>0.56999999999999995</v>
      </c>
      <c r="T825" s="24">
        <f>(H825*I825)+P825*Q825+S825*K825</f>
        <v>0</v>
      </c>
      <c r="U825" s="25">
        <f>IF(TRIM(N825&amp;"")="111444",
    IF(ROUNDUP(MAX(0,K825-(MAX(1,Q825)-1)*10)/10,0)=1,3,2),
    IF(TRIM(N825&amp;"")="VWPAL",
        IF(TRIM(R825&amp;"")="004147",1,2),
        ""
    )
)</f>
        <v>2</v>
      </c>
      <c r="V825" s="26" t="str">
        <f>IF(OR(TRIM(N825&amp;"")="111444",TRIM(N825&amp;"")="VWPAL"),
    IF(K825&lt;=0,"",
        IF(
            MIN(3,ROUNDUP(MAX(0,K825-(MAX(1,Q825)-1)*IF(TRIM(N825&amp;"")="111444",10,20))/IF(TRIM(N825&amp;"")="111444",10,20),0))=1,
            300,
            IF(
                MIN(3,ROUNDUP(MAX(0,K825-(MAX(1,Q825)-1)*IF(TRIM(N825&amp;"")="111444",10,20))/IF(TRIM(N825&amp;"")="111444",10,20),0))=2,
                450,
                600
            )
        )
    ),
    ""
)</f>
        <v/>
      </c>
    </row>
    <row r="826" spans="1:22" ht="48" customHeight="1" x14ac:dyDescent="0.25">
      <c r="A826" s="17" t="str">
        <f>VLOOKUP(C826,[1]Werke!$A$1:$C$168,3,0)</f>
        <v>3P</v>
      </c>
      <c r="B826" s="17" t="str">
        <f>VLOOKUP(C826,[1]Werke!$A$1:$C$168,2,0)</f>
        <v>BP4</v>
      </c>
      <c r="C826" s="18" t="s">
        <v>234</v>
      </c>
      <c r="D826" s="17" t="str">
        <f>VLOOKUP(C826,[1]Maliteslimalan!$A$1:$B$210,2,0)</f>
        <v>8000012617</v>
      </c>
      <c r="E826" s="19" t="str">
        <f>VLOOKUP(C826,[1]Bestellnr.!$A$1:$B$174,2,0)</f>
        <v>000055</v>
      </c>
      <c r="F826" s="20" t="str">
        <f>VLOOKUP(G826,$U$1:$V$1730,2,0)</f>
        <v>N   909 897 02</v>
      </c>
      <c r="G826" s="21">
        <v>100327900</v>
      </c>
      <c r="H826" s="17">
        <f>VLOOKUP(G826,Z$2:AA$1905,2,FALSE)</f>
        <v>1.3939999999999999E-2</v>
      </c>
      <c r="I826" s="20"/>
      <c r="J826" s="17">
        <f>VLOOKUP(G826,W$2:X$1905,2,FALSE)</f>
        <v>900</v>
      </c>
      <c r="K826" s="17">
        <f>I826/J826</f>
        <v>0</v>
      </c>
      <c r="L826" s="22">
        <v>10</v>
      </c>
      <c r="M826" s="22">
        <v>30</v>
      </c>
      <c r="N826" s="22">
        <v>111444</v>
      </c>
      <c r="O826" s="22" t="str">
        <f>VLOOKUP(N826,$AL$1285:$AM$1310,2,FALSE)</f>
        <v>001006</v>
      </c>
      <c r="P826" s="22">
        <f>VLOOKUP(N826,AC$2:AD$1905,2,FALSE)</f>
        <v>34</v>
      </c>
      <c r="Q826" s="22"/>
      <c r="R826" s="23" t="s">
        <v>153</v>
      </c>
      <c r="S826" s="22">
        <f>VLOOKUP(R826,AC$2:AD$1905,2,FALSE)</f>
        <v>0.56999999999999995</v>
      </c>
      <c r="T826" s="24">
        <f>(H826*I826)+P826*Q826+S826*K826</f>
        <v>0</v>
      </c>
      <c r="U826" s="25">
        <f>IF(TRIM(N826&amp;"")="111444",
    IF(ROUNDUP(MAX(0,K826-(MAX(1,Q826)-1)*10)/10,0)=1,3,2),
    IF(TRIM(N826&amp;"")="VWPAL",
        IF(TRIM(R826&amp;"")="004147",1,2),
        ""
    )
)</f>
        <v>2</v>
      </c>
      <c r="V826" s="26" t="str">
        <f>IF(OR(TRIM(N826&amp;"")="111444",TRIM(N826&amp;"")="VWPAL"),
    IF(K826&lt;=0,"",
        IF(
            MIN(3,ROUNDUP(MAX(0,K826-(MAX(1,Q826)-1)*IF(TRIM(N826&amp;"")="111444",10,20))/IF(TRIM(N826&amp;"")="111444",10,20),0))=1,
            300,
            IF(
                MIN(3,ROUNDUP(MAX(0,K826-(MAX(1,Q826)-1)*IF(TRIM(N826&amp;"")="111444",10,20))/IF(TRIM(N826&amp;"")="111444",10,20),0))=2,
                450,
                600
            )
        )
    ),
    ""
)</f>
        <v/>
      </c>
    </row>
    <row r="827" spans="1:22" ht="48" customHeight="1" x14ac:dyDescent="0.25">
      <c r="A827" s="17">
        <f>VLOOKUP(C827,[1]Werke!$A$1:$C$168,3,0)</f>
        <v>14</v>
      </c>
      <c r="B827" s="17" t="str">
        <f>VLOOKUP(C827,[1]Werke!$A$1:$C$168,2,0)</f>
        <v>D66</v>
      </c>
      <c r="C827" s="18" t="s">
        <v>248</v>
      </c>
      <c r="D827" s="17" t="str">
        <f>VLOOKUP(C827,[1]Maliteslimalan!$A$1:$B$210,2,0)</f>
        <v>8000012561</v>
      </c>
      <c r="E827" s="19">
        <f>VLOOKUP(C827,[1]Bestellnr.!$A$1:$B$174,2,0)</f>
        <v>0</v>
      </c>
      <c r="F827" s="20" t="str">
        <f>VLOOKUP(G827,$U$1:$V$1730,2,0)</f>
        <v>N   909 897 02</v>
      </c>
      <c r="G827" s="21">
        <v>100327900</v>
      </c>
      <c r="H827" s="17">
        <f>VLOOKUP(G827,Z$2:AA$1905,2,FALSE)</f>
        <v>1.3939999999999999E-2</v>
      </c>
      <c r="I827" s="20"/>
      <c r="J827" s="17">
        <f>VLOOKUP(G827,W$2:X$1905,2,FALSE)</f>
        <v>900</v>
      </c>
      <c r="K827" s="17">
        <f>I827/J827</f>
        <v>0</v>
      </c>
      <c r="L827" s="22">
        <v>10</v>
      </c>
      <c r="M827" s="22">
        <v>30</v>
      </c>
      <c r="N827" s="22">
        <v>111444</v>
      </c>
      <c r="O827" s="22" t="str">
        <f>VLOOKUP(N827,$AL$1285:$AM$1310,2,FALSE)</f>
        <v>001006</v>
      </c>
      <c r="P827" s="22">
        <f>VLOOKUP(N827,AC$2:AD$1905,2,FALSE)</f>
        <v>34</v>
      </c>
      <c r="Q827" s="22"/>
      <c r="R827" s="23" t="s">
        <v>153</v>
      </c>
      <c r="S827" s="22">
        <f>VLOOKUP(R827,AC$2:AD$1905,2,FALSE)</f>
        <v>0.56999999999999995</v>
      </c>
      <c r="T827" s="24">
        <f>(H827*I827)+P827*Q827+S827*K827</f>
        <v>0</v>
      </c>
      <c r="U827" s="25">
        <f>IF(TRIM(N827&amp;"")="111444",
    IF(ROUNDUP(MAX(0,K827-(MAX(1,Q827)-1)*10)/10,0)=1,3,2),
    IF(TRIM(N827&amp;"")="VWPAL",
        IF(TRIM(R827&amp;"")="004147",1,2),
        ""
    )
)</f>
        <v>2</v>
      </c>
      <c r="V827" s="26" t="str">
        <f>IF(OR(TRIM(N827&amp;"")="111444",TRIM(N827&amp;"")="VWPAL"),
    IF(K827&lt;=0,"",
        IF(
            MIN(3,ROUNDUP(MAX(0,K827-(MAX(1,Q827)-1)*IF(TRIM(N827&amp;"")="111444",10,20))/IF(TRIM(N827&amp;"")="111444",10,20),0))=1,
            300,
            IF(
                MIN(3,ROUNDUP(MAX(0,K827-(MAX(1,Q827)-1)*IF(TRIM(N827&amp;"")="111444",10,20))/IF(TRIM(N827&amp;"")="111444",10,20),0))=2,
                450,
                600
            )
        )
    ),
    ""
)</f>
        <v/>
      </c>
    </row>
    <row r="828" spans="1:22" ht="48" customHeight="1" x14ac:dyDescent="0.25">
      <c r="A828" s="17" t="str">
        <f>VLOOKUP(C828,[1]Werke!$A$1:$C$168,3,0)</f>
        <v>LD</v>
      </c>
      <c r="B828" s="17" t="str">
        <f>VLOOKUP(C828,[1]Werke!$A$1:$C$168,2,0)</f>
        <v>SLD</v>
      </c>
      <c r="C828" s="18">
        <v>83630</v>
      </c>
      <c r="D828" s="17" t="str">
        <f>VLOOKUP(C828,[1]Maliteslimalan!$A$1:$B$210,2,0)</f>
        <v>8000012862</v>
      </c>
      <c r="E828" s="19" t="str">
        <f>VLOOKUP(C828,[1]Bestellnr.!$A$1:$B$174,2,0)</f>
        <v>000006</v>
      </c>
      <c r="F828" s="20" t="str">
        <f>VLOOKUP(G828,$U$1:$V$1730,2,0)</f>
        <v>N   909 897 02</v>
      </c>
      <c r="G828" s="21">
        <v>100327900</v>
      </c>
      <c r="H828" s="17">
        <f>VLOOKUP(G828,Z$2:AA$1905,2,FALSE)</f>
        <v>1.3939999999999999E-2</v>
      </c>
      <c r="I828" s="20"/>
      <c r="J828" s="17">
        <f>VLOOKUP(G828,W$2:X$1905,2,FALSE)</f>
        <v>900</v>
      </c>
      <c r="K828" s="17">
        <f>I828/J828</f>
        <v>0</v>
      </c>
      <c r="L828" s="22">
        <v>10</v>
      </c>
      <c r="M828" s="22">
        <v>30</v>
      </c>
      <c r="N828" s="22">
        <v>111444</v>
      </c>
      <c r="O828" s="22" t="str">
        <f>VLOOKUP(N828,$AL$1285:$AM$1310,2,FALSE)</f>
        <v>001006</v>
      </c>
      <c r="P828" s="22">
        <f>VLOOKUP(N828,AC$2:AD$1905,2,FALSE)</f>
        <v>34</v>
      </c>
      <c r="Q828" s="22"/>
      <c r="R828" s="23" t="s">
        <v>153</v>
      </c>
      <c r="S828" s="22">
        <f>VLOOKUP(R828,AC$2:AD$1905,2,FALSE)</f>
        <v>0.56999999999999995</v>
      </c>
      <c r="T828" s="24">
        <f>(H828*I828)+P828*Q828+S828*K828</f>
        <v>0</v>
      </c>
      <c r="U828" s="25">
        <f>IF(TRIM(N828&amp;"")="111444",
    IF(ROUNDUP(MAX(0,K828-(MAX(1,Q828)-1)*10)/10,0)=1,3,2),
    IF(TRIM(N828&amp;"")="VWPAL",
        IF(TRIM(R828&amp;"")="004147",1,2),
        ""
    )
)</f>
        <v>2</v>
      </c>
      <c r="V828" s="26" t="str">
        <f>IF(OR(TRIM(N828&amp;"")="111444",TRIM(N828&amp;"")="VWPAL"),
    IF(K828&lt;=0,"",
        IF(
            MIN(3,ROUNDUP(MAX(0,K828-(MAX(1,Q828)-1)*IF(TRIM(N828&amp;"")="111444",10,20))/IF(TRIM(N828&amp;"")="111444",10,20),0))=1,
            300,
            IF(
                MIN(3,ROUNDUP(MAX(0,K828-(MAX(1,Q828)-1)*IF(TRIM(N828&amp;"")="111444",10,20))/IF(TRIM(N828&amp;"")="111444",10,20),0))=2,
                450,
                600
            )
        )
    ),
    ""
)</f>
        <v/>
      </c>
    </row>
    <row r="829" spans="1:22" ht="48" customHeight="1" x14ac:dyDescent="0.25">
      <c r="A829" s="17" t="str">
        <f>VLOOKUP(C829,[1]Werke!$A$1:$C$168,3,0)</f>
        <v>3T</v>
      </c>
      <c r="B829" s="17" t="str">
        <f>VLOOKUP(C829,[1]Werke!$A$1:$C$168,2,0)</f>
        <v>BZ5</v>
      </c>
      <c r="C829" s="18" t="s">
        <v>242</v>
      </c>
      <c r="D829" s="17">
        <f>VLOOKUP(C829,[1]Maliteslimalan!$A$1:$B$210,2,0)</f>
        <v>8000012711</v>
      </c>
      <c r="E829" s="19">
        <v>6</v>
      </c>
      <c r="F829" s="20" t="str">
        <f>VLOOKUP(G829,$U$1:$V$1730,2,0)</f>
        <v>N   909 897 02</v>
      </c>
      <c r="G829" s="21">
        <v>100327900</v>
      </c>
      <c r="H829" s="17">
        <f>VLOOKUP(G829,Z$2:AA$1905,2,FALSE)</f>
        <v>1.3939999999999999E-2</v>
      </c>
      <c r="I829" s="20"/>
      <c r="J829" s="17">
        <f>VLOOKUP(G829,W$2:X$1905,2,FALSE)</f>
        <v>900</v>
      </c>
      <c r="K829" s="17">
        <f>I829/J829</f>
        <v>0</v>
      </c>
      <c r="L829" s="22">
        <v>10</v>
      </c>
      <c r="M829" s="22">
        <v>30</v>
      </c>
      <c r="N829" s="22">
        <v>111444</v>
      </c>
      <c r="O829" s="22" t="str">
        <f>VLOOKUP(N829,$AL$1285:$AM$1310,2,FALSE)</f>
        <v>001006</v>
      </c>
      <c r="P829" s="22">
        <f>VLOOKUP(N829,AC$2:AD$1905,2,FALSE)</f>
        <v>34</v>
      </c>
      <c r="Q829" s="22"/>
      <c r="R829" s="23" t="s">
        <v>153</v>
      </c>
      <c r="S829" s="22">
        <f>VLOOKUP(R829,AC$2:AD$1905,2,FALSE)</f>
        <v>0.56999999999999995</v>
      </c>
      <c r="T829" s="24">
        <f>(H829*I829)+P829*Q829+S829*K829</f>
        <v>0</v>
      </c>
      <c r="U829" s="25">
        <f>IF(TRIM(N829&amp;"")="111444",
    IF(ROUNDUP(MAX(0,K829-(MAX(1,Q829)-1)*10)/10,0)=1,3,2),
    IF(TRIM(N829&amp;"")="VWPAL",
        IF(TRIM(R829&amp;"")="004147",1,2),
        ""
    )
)</f>
        <v>2</v>
      </c>
      <c r="V829" s="26" t="str">
        <f>IF(OR(TRIM(N829&amp;"")="111444",TRIM(N829&amp;"")="VWPAL"),
    IF(K829&lt;=0,"",
        IF(
            MIN(3,ROUNDUP(MAX(0,K829-(MAX(1,Q829)-1)*IF(TRIM(N829&amp;"")="111444",10,20))/IF(TRIM(N829&amp;"")="111444",10,20),0))=1,
            300,
            IF(
                MIN(3,ROUNDUP(MAX(0,K829-(MAX(1,Q829)-1)*IF(TRIM(N829&amp;"")="111444",10,20))/IF(TRIM(N829&amp;"")="111444",10,20),0))=2,
                450,
                600
            )
        )
    ),
    ""
)</f>
        <v/>
      </c>
    </row>
    <row r="830" spans="1:22" ht="48" customHeight="1" x14ac:dyDescent="0.25">
      <c r="A830" s="17"/>
      <c r="B830" s="17"/>
      <c r="C830" s="18"/>
      <c r="D830" s="17"/>
      <c r="E830" s="19"/>
      <c r="F830" s="20"/>
      <c r="G830" s="21"/>
      <c r="H830" s="17"/>
      <c r="I830" s="20"/>
      <c r="J830" s="17"/>
      <c r="K830" s="17"/>
      <c r="L830" s="22"/>
      <c r="M830" s="22"/>
      <c r="N830" s="22"/>
      <c r="O830" s="22"/>
      <c r="P830" s="22"/>
      <c r="Q830" s="22"/>
      <c r="R830" s="23"/>
      <c r="S830" s="22"/>
      <c r="T830" s="24"/>
      <c r="U830" s="25"/>
    </row>
    <row r="831" spans="1:22" ht="48" customHeight="1" x14ac:dyDescent="0.25">
      <c r="A831" s="17">
        <f>VLOOKUP(C831,[1]Werke!$A$1:$C$168,3,0)</f>
        <v>14</v>
      </c>
      <c r="B831" s="17" t="str">
        <f>VLOOKUP(C831,[1]Werke!$A$1:$C$168,2,0)</f>
        <v>D85</v>
      </c>
      <c r="C831" s="18" t="s">
        <v>239</v>
      </c>
      <c r="D831" s="17" t="str">
        <f>VLOOKUP(C831,[1]Maliteslimalan!$A$1:$B$210,2,0)</f>
        <v>8000012682</v>
      </c>
      <c r="E831" s="19">
        <f>VLOOKUP(C831,[1]Bestellnr.!$A$1:$B$174,2,0)</f>
        <v>0</v>
      </c>
      <c r="F831" s="20" t="str">
        <f>VLOOKUP(G831,$U$1:$V$1730,2,0)</f>
        <v>N   910 214 03</v>
      </c>
      <c r="G831" s="21">
        <v>100328100</v>
      </c>
      <c r="H831" s="17">
        <f>VLOOKUP(G831,Z$2:AA$1905,2,FALSE)</f>
        <v>3.6929999999999998E-2</v>
      </c>
      <c r="I831" s="20"/>
      <c r="J831" s="17">
        <f>VLOOKUP(G831,W$2:X$1905,2,FALSE)</f>
        <v>300</v>
      </c>
      <c r="K831" s="17">
        <f>I831/J831</f>
        <v>0</v>
      </c>
      <c r="L831" s="22">
        <v>10</v>
      </c>
      <c r="M831" s="22">
        <v>30</v>
      </c>
      <c r="N831" s="22">
        <v>111444</v>
      </c>
      <c r="O831" s="22" t="str">
        <f>VLOOKUP(N831,$AL$1285:$AM$1310,2,FALSE)</f>
        <v>001006</v>
      </c>
      <c r="P831" s="22">
        <f>VLOOKUP(N831,AC$2:AD$1905,2,FALSE)</f>
        <v>34</v>
      </c>
      <c r="Q831" s="22"/>
      <c r="R831" s="23" t="s">
        <v>153</v>
      </c>
      <c r="S831" s="22">
        <f>VLOOKUP(R831,AC$2:AD$1905,2,FALSE)</f>
        <v>0.56999999999999995</v>
      </c>
      <c r="T831" s="24">
        <f>(H831*I831)+P831*Q831+S831*K831</f>
        <v>0</v>
      </c>
      <c r="U831" s="25">
        <f>IF(TRIM(N831&amp;"")="111444",
    IF(ROUNDUP(MAX(0,K831-(MAX(1,Q831)-1)*10)/10,0)=1,3,2),
    IF(TRIM(N831&amp;"")="VWPAL",
        IF(TRIM(R831&amp;"")="004147",1,2),
        ""
    )
)</f>
        <v>2</v>
      </c>
      <c r="V831" s="26" t="str">
        <f>IF(OR(TRIM(N831&amp;"")="111444",TRIM(N831&amp;"")="VWPAL"),
    IF(K831&lt;=0,"",
        IF(
            MIN(3,ROUNDUP(MAX(0,K831-(MAX(1,Q831)-1)*IF(TRIM(N831&amp;"")="111444",10,20))/IF(TRIM(N831&amp;"")="111444",10,20),0))=1,
            300,
            IF(
                MIN(3,ROUNDUP(MAX(0,K831-(MAX(1,Q831)-1)*IF(TRIM(N831&amp;"")="111444",10,20))/IF(TRIM(N831&amp;"")="111444",10,20),0))=2,
                450,
                600
            )
        )
    ),
    ""
)</f>
        <v/>
      </c>
    </row>
    <row r="832" spans="1:22" ht="48" customHeight="1" x14ac:dyDescent="0.25">
      <c r="A832" s="17"/>
      <c r="B832" s="17"/>
      <c r="C832" s="18"/>
      <c r="D832" s="17"/>
      <c r="E832" s="19"/>
      <c r="F832" s="20"/>
      <c r="G832" s="21"/>
      <c r="H832" s="17"/>
      <c r="I832" s="20"/>
      <c r="J832" s="17"/>
      <c r="K832" s="17"/>
      <c r="L832" s="22"/>
      <c r="M832" s="22"/>
      <c r="N832" s="22"/>
      <c r="O832" s="22"/>
      <c r="P832" s="22"/>
      <c r="Q832" s="22"/>
      <c r="R832" s="23"/>
      <c r="S832" s="22"/>
      <c r="T832" s="24"/>
      <c r="U832" s="25"/>
    </row>
    <row r="833" spans="1:22" ht="48" customHeight="1" x14ac:dyDescent="0.25">
      <c r="A833" s="17">
        <f>VLOOKUP(C833,[1]Werke!$A$1:$C$168,3,0)</f>
        <v>21</v>
      </c>
      <c r="B833" s="17" t="str">
        <f>VLOOKUP(C833,[1]Werke!$A$1:$C$168,2,0)</f>
        <v>GZD</v>
      </c>
      <c r="C833" s="18" t="s">
        <v>223</v>
      </c>
      <c r="D833" s="17" t="str">
        <f>VLOOKUP(C833,[1]Maliteslimalan!$A$1:$B$210,2,0)</f>
        <v>8000012572</v>
      </c>
      <c r="E833" s="19" t="str">
        <f>VLOOKUP(C833,[1]Bestellnr.!$A$1:$B$174,2,0)</f>
        <v>000006</v>
      </c>
      <c r="F833" s="20" t="str">
        <f t="shared" ref="F833:F845" si="432">VLOOKUP(G833,$U$1:$V$1730,2,0)</f>
        <v>N   910 669 01</v>
      </c>
      <c r="G833" s="21">
        <v>100328200</v>
      </c>
      <c r="H833" s="17">
        <f t="shared" ref="H833:H845" si="433">VLOOKUP(G833,Z$2:AA$1905,2,FALSE)</f>
        <v>2.9510000000000002E-2</v>
      </c>
      <c r="I833" s="20"/>
      <c r="J833" s="17">
        <f t="shared" ref="J833:J845" si="434">VLOOKUP(G833,W$2:X$1905,2,FALSE)</f>
        <v>400</v>
      </c>
      <c r="K833" s="17">
        <f t="shared" ref="K833:K845" si="435">I833/J833</f>
        <v>0</v>
      </c>
      <c r="L833" s="22">
        <v>20</v>
      </c>
      <c r="M833" s="22">
        <v>20</v>
      </c>
      <c r="N833" s="22" t="s">
        <v>155</v>
      </c>
      <c r="O833" s="22" t="str">
        <f t="shared" ref="O833:O845" si="436">VLOOKUP(N833,$AL$1285:$AM$1310,2,FALSE)</f>
        <v>001210</v>
      </c>
      <c r="P833" s="22">
        <f t="shared" ref="P833:P845" si="437">VLOOKUP(N833,AC$2:AD$1905,2,FALSE)</f>
        <v>55</v>
      </c>
      <c r="Q833" s="22"/>
      <c r="R833" s="23" t="s">
        <v>153</v>
      </c>
      <c r="S833" s="22">
        <f t="shared" ref="S833:S845" si="438">VLOOKUP(R833,AC$2:AD$1905,2,FALSE)</f>
        <v>0.56999999999999995</v>
      </c>
      <c r="T833" s="24">
        <f t="shared" ref="T833:T845" si="439">(H833*I833)+P833*Q833+S833*K833</f>
        <v>0</v>
      </c>
      <c r="U833" s="25">
        <f t="shared" ref="U833:U845" si="440">IF(TRIM(N833&amp;"")="111444",
    IF(ROUNDUP(MAX(0,K833-(MAX(1,Q833)-1)*10)/10,0)=1,3,2),
    IF(TRIM(N833&amp;"")="VWPAL",
        IF(TRIM(R833&amp;"")="004147",1,2),
        ""
    )
)</f>
        <v>2</v>
      </c>
      <c r="V833" s="26" t="str">
        <f t="shared" ref="V833:V845" si="441">IF(OR(TRIM(N833&amp;"")="111444",TRIM(N833&amp;"")="VWPAL"),
    IF(K833&lt;=0,"",
        IF(
            MIN(3,ROUNDUP(MAX(0,K833-(MAX(1,Q833)-1)*IF(TRIM(N833&amp;"")="111444",10,20))/IF(TRIM(N833&amp;"")="111444",10,20),0))=1,
            300,
            IF(
                MIN(3,ROUNDUP(MAX(0,K833-(MAX(1,Q833)-1)*IF(TRIM(N833&amp;"")="111444",10,20))/IF(TRIM(N833&amp;"")="111444",10,20),0))=2,
                450,
                600
            )
        )
    ),
    ""
)</f>
        <v/>
      </c>
    </row>
    <row r="834" spans="1:22" ht="48" customHeight="1" x14ac:dyDescent="0.25">
      <c r="A834" s="17">
        <f>VLOOKUP(C834,[1]Werke!$A$1:$C$168,3,0)</f>
        <v>35</v>
      </c>
      <c r="B834" s="17" t="str">
        <f>VLOOKUP(C834,[1]Werke!$A$1:$C$168,2,0)</f>
        <v>AKL</v>
      </c>
      <c r="C834" s="18" t="s">
        <v>231</v>
      </c>
      <c r="D834" s="17" t="str">
        <f>VLOOKUP(C834,[1]Maliteslimalan!$A$1:$B$210,2,0)</f>
        <v>8000013262</v>
      </c>
      <c r="E834" s="19" t="str">
        <f>VLOOKUP(C834,[1]Bestellnr.!$A$1:$B$174,2,0)</f>
        <v>000006</v>
      </c>
      <c r="F834" s="20" t="str">
        <f t="shared" si="432"/>
        <v>N   910 669 01</v>
      </c>
      <c r="G834" s="21">
        <v>100328200</v>
      </c>
      <c r="H834" s="17">
        <f t="shared" si="433"/>
        <v>2.9510000000000002E-2</v>
      </c>
      <c r="I834" s="20"/>
      <c r="J834" s="17">
        <f t="shared" si="434"/>
        <v>400</v>
      </c>
      <c r="K834" s="17">
        <f t="shared" si="435"/>
        <v>0</v>
      </c>
      <c r="L834" s="22">
        <v>10</v>
      </c>
      <c r="M834" s="22">
        <v>30</v>
      </c>
      <c r="N834" s="22">
        <v>111444</v>
      </c>
      <c r="O834" s="22" t="str">
        <f t="shared" si="436"/>
        <v>001006</v>
      </c>
      <c r="P834" s="22">
        <f t="shared" si="437"/>
        <v>34</v>
      </c>
      <c r="Q834" s="22"/>
      <c r="R834" s="23" t="s">
        <v>153</v>
      </c>
      <c r="S834" s="22">
        <f t="shared" si="438"/>
        <v>0.56999999999999995</v>
      </c>
      <c r="T834" s="24">
        <f t="shared" si="439"/>
        <v>0</v>
      </c>
      <c r="U834" s="25">
        <f t="shared" si="440"/>
        <v>2</v>
      </c>
      <c r="V834" s="26" t="str">
        <f t="shared" si="441"/>
        <v/>
      </c>
    </row>
    <row r="835" spans="1:22" ht="48" customHeight="1" x14ac:dyDescent="0.25">
      <c r="A835" s="17">
        <f>VLOOKUP(C835,[1]Werke!$A$1:$C$168,3,0)</f>
        <v>49</v>
      </c>
      <c r="B835" s="17" t="str">
        <f>VLOOKUP(C835,[1]Werke!$A$1:$C$168,2,0)</f>
        <v>CT</v>
      </c>
      <c r="C835" s="18" t="s">
        <v>217</v>
      </c>
      <c r="D835" s="17" t="str">
        <f>VLOOKUP(C835,[1]Maliteslimalan!$A$1:$B$210,2,0)</f>
        <v>8000012574</v>
      </c>
      <c r="E835" s="19" t="str">
        <f>VLOOKUP(C835,[1]Bestellnr.!$A$1:$B$174,2,0)</f>
        <v>000001</v>
      </c>
      <c r="F835" s="20" t="str">
        <f t="shared" si="432"/>
        <v>N   910 669 01</v>
      </c>
      <c r="G835" s="21">
        <v>100328200</v>
      </c>
      <c r="H835" s="17">
        <f t="shared" si="433"/>
        <v>2.9510000000000002E-2</v>
      </c>
      <c r="I835" s="20"/>
      <c r="J835" s="17">
        <f t="shared" si="434"/>
        <v>400</v>
      </c>
      <c r="K835" s="17">
        <f t="shared" si="435"/>
        <v>0</v>
      </c>
      <c r="L835" s="22">
        <v>10</v>
      </c>
      <c r="M835" s="22">
        <v>30</v>
      </c>
      <c r="N835" s="22">
        <v>111444</v>
      </c>
      <c r="O835" s="22" t="str">
        <f t="shared" si="436"/>
        <v>001006</v>
      </c>
      <c r="P835" s="22">
        <f t="shared" si="437"/>
        <v>34</v>
      </c>
      <c r="Q835" s="22"/>
      <c r="R835" s="23" t="s">
        <v>153</v>
      </c>
      <c r="S835" s="22">
        <f t="shared" si="438"/>
        <v>0.56999999999999995</v>
      </c>
      <c r="T835" s="24">
        <f t="shared" si="439"/>
        <v>0</v>
      </c>
      <c r="U835" s="25">
        <f t="shared" si="440"/>
        <v>2</v>
      </c>
      <c r="V835" s="26" t="str">
        <f t="shared" si="441"/>
        <v/>
      </c>
    </row>
    <row r="836" spans="1:22" ht="48" customHeight="1" x14ac:dyDescent="0.25">
      <c r="A836" s="17" t="str">
        <f>VLOOKUP(C836,[1]Werke!$A$1:$C$168,3,0)</f>
        <v>IM</v>
      </c>
      <c r="B836" s="17">
        <f>VLOOKUP(C836,[1]Werke!$A$1:$C$168,2,0)</f>
        <v>889</v>
      </c>
      <c r="C836" s="18" t="s">
        <v>225</v>
      </c>
      <c r="D836" s="17">
        <f>VLOOKUP(C836,[1]Maliteslimalan!$A$1:$B$210,2,0)</f>
        <v>8000017117</v>
      </c>
      <c r="E836" s="19">
        <v>6</v>
      </c>
      <c r="F836" s="20" t="str">
        <f t="shared" si="432"/>
        <v>N   910 669 01</v>
      </c>
      <c r="G836" s="21">
        <v>100328200</v>
      </c>
      <c r="H836" s="17">
        <f t="shared" si="433"/>
        <v>2.9510000000000002E-2</v>
      </c>
      <c r="I836" s="20"/>
      <c r="J836" s="17">
        <f t="shared" si="434"/>
        <v>400</v>
      </c>
      <c r="K836" s="17">
        <f t="shared" si="435"/>
        <v>0</v>
      </c>
      <c r="L836" s="22">
        <v>20</v>
      </c>
      <c r="M836" s="22">
        <v>20</v>
      </c>
      <c r="N836" s="22" t="s">
        <v>155</v>
      </c>
      <c r="O836" s="22" t="str">
        <f t="shared" si="436"/>
        <v>001210</v>
      </c>
      <c r="P836" s="22">
        <f t="shared" si="437"/>
        <v>55</v>
      </c>
      <c r="Q836" s="22"/>
      <c r="R836" s="23" t="s">
        <v>153</v>
      </c>
      <c r="S836" s="22">
        <f t="shared" si="438"/>
        <v>0.56999999999999995</v>
      </c>
      <c r="T836" s="24">
        <f t="shared" si="439"/>
        <v>0</v>
      </c>
      <c r="U836" s="25">
        <f t="shared" si="440"/>
        <v>2</v>
      </c>
      <c r="V836" s="26" t="str">
        <f t="shared" si="441"/>
        <v/>
      </c>
    </row>
    <row r="837" spans="1:22" ht="48" customHeight="1" x14ac:dyDescent="0.25">
      <c r="A837" s="17" t="str">
        <f>VLOOKUP(C837,[1]Werke!$A$1:$C$168,3,0)</f>
        <v>LD</v>
      </c>
      <c r="B837" s="17" t="str">
        <f>VLOOKUP(C837,[1]Werke!$A$1:$C$168,2,0)</f>
        <v>SLD</v>
      </c>
      <c r="C837" s="18">
        <v>83630</v>
      </c>
      <c r="D837" s="17" t="str">
        <f>VLOOKUP(C837,[1]Maliteslimalan!$A$1:$B$210,2,0)</f>
        <v>8000012862</v>
      </c>
      <c r="E837" s="19" t="str">
        <f>VLOOKUP(C837,[1]Bestellnr.!$A$1:$B$174,2,0)</f>
        <v>000006</v>
      </c>
      <c r="F837" s="20" t="str">
        <f t="shared" si="432"/>
        <v>N   910 669 01</v>
      </c>
      <c r="G837" s="21">
        <v>100328200</v>
      </c>
      <c r="H837" s="17">
        <f t="shared" si="433"/>
        <v>2.9510000000000002E-2</v>
      </c>
      <c r="I837" s="20"/>
      <c r="J837" s="17">
        <f t="shared" si="434"/>
        <v>400</v>
      </c>
      <c r="K837" s="17">
        <f t="shared" si="435"/>
        <v>0</v>
      </c>
      <c r="L837" s="22">
        <v>10</v>
      </c>
      <c r="M837" s="22">
        <v>30</v>
      </c>
      <c r="N837" s="22">
        <v>111444</v>
      </c>
      <c r="O837" s="22" t="str">
        <f t="shared" si="436"/>
        <v>001006</v>
      </c>
      <c r="P837" s="22">
        <f t="shared" si="437"/>
        <v>34</v>
      </c>
      <c r="Q837" s="22"/>
      <c r="R837" s="23" t="s">
        <v>153</v>
      </c>
      <c r="S837" s="22">
        <f t="shared" si="438"/>
        <v>0.56999999999999995</v>
      </c>
      <c r="T837" s="24">
        <f t="shared" si="439"/>
        <v>0</v>
      </c>
      <c r="U837" s="25">
        <f t="shared" si="440"/>
        <v>2</v>
      </c>
      <c r="V837" s="26" t="str">
        <f t="shared" si="441"/>
        <v/>
      </c>
    </row>
    <row r="838" spans="1:22" ht="48" customHeight="1" x14ac:dyDescent="0.25">
      <c r="A838" s="17">
        <f>VLOOKUP(C838,[1]Werke!$A$1:$C$168,3,0)</f>
        <v>11</v>
      </c>
      <c r="B838" s="17" t="str">
        <f>VLOOKUP(C838,[1]Werke!$A$1:$C$168,2,0)</f>
        <v>AKL</v>
      </c>
      <c r="C838" s="18" t="s">
        <v>227</v>
      </c>
      <c r="D838" s="17" t="str">
        <f>VLOOKUP(C838,[1]Maliteslimalan!$A$1:$B$210,2,0)</f>
        <v>8000012570</v>
      </c>
      <c r="E838" s="19" t="str">
        <f>VLOOKUP(C838,[1]Bestellnr.!$A$1:$B$174,2,0)</f>
        <v>000006</v>
      </c>
      <c r="F838" s="20" t="str">
        <f t="shared" si="432"/>
        <v>N   910 669 01</v>
      </c>
      <c r="G838" s="21">
        <v>100328200</v>
      </c>
      <c r="H838" s="17">
        <f t="shared" si="433"/>
        <v>2.9510000000000002E-2</v>
      </c>
      <c r="I838" s="20"/>
      <c r="J838" s="17">
        <f t="shared" si="434"/>
        <v>400</v>
      </c>
      <c r="K838" s="17">
        <f t="shared" si="435"/>
        <v>0</v>
      </c>
      <c r="L838" s="22">
        <v>20</v>
      </c>
      <c r="M838" s="22">
        <v>20</v>
      </c>
      <c r="N838" s="22" t="s">
        <v>155</v>
      </c>
      <c r="O838" s="22" t="str">
        <f t="shared" si="436"/>
        <v>001210</v>
      </c>
      <c r="P838" s="22">
        <f t="shared" si="437"/>
        <v>55</v>
      </c>
      <c r="Q838" s="22"/>
      <c r="R838" s="23" t="s">
        <v>153</v>
      </c>
      <c r="S838" s="22">
        <f t="shared" si="438"/>
        <v>0.56999999999999995</v>
      </c>
      <c r="T838" s="24">
        <f t="shared" si="439"/>
        <v>0</v>
      </c>
      <c r="U838" s="25">
        <f t="shared" si="440"/>
        <v>2</v>
      </c>
      <c r="V838" s="26" t="str">
        <f t="shared" si="441"/>
        <v/>
      </c>
    </row>
    <row r="839" spans="1:22" ht="48" customHeight="1" x14ac:dyDescent="0.25">
      <c r="A839" s="17">
        <f>VLOOKUP(C839,[1]Werke!$A$1:$C$168,3,0)</f>
        <v>33</v>
      </c>
      <c r="B839" s="17" t="str">
        <f>VLOOKUP(C839,[1]Werke!$A$1:$C$168,2,0)</f>
        <v>KK2</v>
      </c>
      <c r="C839" s="18" t="s">
        <v>233</v>
      </c>
      <c r="D839" s="17" t="str">
        <f>VLOOKUP(C839,[1]Maliteslimalan!$A$1:$B$210,2,0)</f>
        <v>8000012709</v>
      </c>
      <c r="E839" s="19" t="str">
        <f>VLOOKUP(C839,[1]Bestellnr.!$A$1:$B$174,2,0)</f>
        <v>000055</v>
      </c>
      <c r="F839" s="20" t="str">
        <f t="shared" si="432"/>
        <v>N   910 669 01</v>
      </c>
      <c r="G839" s="21">
        <v>100328200</v>
      </c>
      <c r="H839" s="17">
        <f t="shared" si="433"/>
        <v>2.9510000000000002E-2</v>
      </c>
      <c r="I839" s="20"/>
      <c r="J839" s="17">
        <f t="shared" si="434"/>
        <v>400</v>
      </c>
      <c r="K839" s="17">
        <f t="shared" si="435"/>
        <v>0</v>
      </c>
      <c r="L839" s="22">
        <v>20</v>
      </c>
      <c r="M839" s="22">
        <v>20</v>
      </c>
      <c r="N839" s="22" t="s">
        <v>155</v>
      </c>
      <c r="O839" s="22" t="str">
        <f t="shared" si="436"/>
        <v>001210</v>
      </c>
      <c r="P839" s="22">
        <f t="shared" si="437"/>
        <v>55</v>
      </c>
      <c r="Q839" s="22"/>
      <c r="R839" s="23" t="s">
        <v>153</v>
      </c>
      <c r="S839" s="22">
        <f t="shared" si="438"/>
        <v>0.56999999999999995</v>
      </c>
      <c r="T839" s="24">
        <f t="shared" si="439"/>
        <v>0</v>
      </c>
      <c r="U839" s="25">
        <f t="shared" si="440"/>
        <v>2</v>
      </c>
      <c r="V839" s="26" t="str">
        <f t="shared" si="441"/>
        <v/>
      </c>
    </row>
    <row r="840" spans="1:22" ht="48" customHeight="1" x14ac:dyDescent="0.25">
      <c r="A840" s="17">
        <f>VLOOKUP(C840,[1]Werke!$A$1:$C$168,3,0)</f>
        <v>43</v>
      </c>
      <c r="B840" s="17" t="str">
        <f>VLOOKUP(C840,[1]Werke!$A$1:$C$168,2,0)</f>
        <v>FGK</v>
      </c>
      <c r="C840" s="18" t="s">
        <v>292</v>
      </c>
      <c r="D840" s="17" t="str">
        <f>VLOOKUP(C840,[1]Maliteslimalan!$A$1:$B$210,2,0)</f>
        <v>8000012785</v>
      </c>
      <c r="E840" s="19" t="str">
        <f>VLOOKUP(C840,[1]Bestellnr.!$A$1:$B$174,2,0)</f>
        <v>000006</v>
      </c>
      <c r="F840" s="20" t="str">
        <f t="shared" si="432"/>
        <v>N   910 669 01</v>
      </c>
      <c r="G840" s="21">
        <v>100328200</v>
      </c>
      <c r="H840" s="17">
        <f t="shared" si="433"/>
        <v>2.9510000000000002E-2</v>
      </c>
      <c r="I840" s="20"/>
      <c r="J840" s="17">
        <f t="shared" si="434"/>
        <v>400</v>
      </c>
      <c r="K840" s="17">
        <f t="shared" si="435"/>
        <v>0</v>
      </c>
      <c r="L840" s="22">
        <v>10</v>
      </c>
      <c r="M840" s="22">
        <v>10</v>
      </c>
      <c r="N840" s="22">
        <v>111444</v>
      </c>
      <c r="O840" s="22" t="str">
        <f t="shared" si="436"/>
        <v>001006</v>
      </c>
      <c r="P840" s="22">
        <f t="shared" si="437"/>
        <v>34</v>
      </c>
      <c r="Q840" s="22"/>
      <c r="R840" s="23" t="s">
        <v>153</v>
      </c>
      <c r="S840" s="22">
        <f t="shared" si="438"/>
        <v>0.56999999999999995</v>
      </c>
      <c r="T840" s="24">
        <f t="shared" si="439"/>
        <v>0</v>
      </c>
      <c r="U840" s="25">
        <f t="shared" si="440"/>
        <v>2</v>
      </c>
      <c r="V840" s="26" t="str">
        <f t="shared" si="441"/>
        <v/>
      </c>
    </row>
    <row r="841" spans="1:22" ht="48" customHeight="1" x14ac:dyDescent="0.25">
      <c r="A841" s="17" t="str">
        <f>VLOOKUP(C841,[1]Werke!$A$1:$C$168,3,0)</f>
        <v>K3</v>
      </c>
      <c r="B841" s="17">
        <f>VLOOKUP(C841,[1]Werke!$A$1:$C$168,2,0)</f>
        <v>501</v>
      </c>
      <c r="C841" s="18">
        <v>15501</v>
      </c>
      <c r="D841" s="17">
        <f>VLOOKUP(C841,[1]Maliteslimalan!$A$1:$B$210,2,0)</f>
        <v>8000012800</v>
      </c>
      <c r="E841" s="19">
        <v>6</v>
      </c>
      <c r="F841" s="20" t="str">
        <f t="shared" si="432"/>
        <v>N   910 669 01</v>
      </c>
      <c r="G841" s="21">
        <v>100328200</v>
      </c>
      <c r="H841" s="17">
        <f t="shared" si="433"/>
        <v>2.9510000000000002E-2</v>
      </c>
      <c r="I841" s="20"/>
      <c r="J841" s="17">
        <f t="shared" si="434"/>
        <v>400</v>
      </c>
      <c r="K841" s="17">
        <f t="shared" si="435"/>
        <v>0</v>
      </c>
      <c r="L841" s="22">
        <v>10</v>
      </c>
      <c r="M841" s="22">
        <v>30</v>
      </c>
      <c r="N841" s="22">
        <v>111444</v>
      </c>
      <c r="O841" s="22" t="str">
        <f t="shared" si="436"/>
        <v>001006</v>
      </c>
      <c r="P841" s="22">
        <f t="shared" si="437"/>
        <v>34</v>
      </c>
      <c r="Q841" s="22"/>
      <c r="R841" s="23" t="s">
        <v>153</v>
      </c>
      <c r="S841" s="22">
        <f t="shared" si="438"/>
        <v>0.56999999999999995</v>
      </c>
      <c r="T841" s="24">
        <f t="shared" si="439"/>
        <v>0</v>
      </c>
      <c r="U841" s="25">
        <f t="shared" si="440"/>
        <v>2</v>
      </c>
      <c r="V841" s="26" t="str">
        <f t="shared" si="441"/>
        <v/>
      </c>
    </row>
    <row r="842" spans="1:22" ht="48" customHeight="1" x14ac:dyDescent="0.25">
      <c r="A842" s="17" t="str">
        <f>VLOOKUP(C842,[1]Werke!$A$1:$C$168,3,0)</f>
        <v>HT</v>
      </c>
      <c r="B842" s="17">
        <f>VLOOKUP(C842,[1]Werke!$A$1:$C$168,2,0)</f>
        <v>34</v>
      </c>
      <c r="C842" s="18">
        <v>80245</v>
      </c>
      <c r="D842" s="17">
        <f>VLOOKUP(C842,[1]Maliteslimalan!$A$1:$B$210,2,0)</f>
        <v>8000012604</v>
      </c>
      <c r="E842" s="19">
        <v>6</v>
      </c>
      <c r="F842" s="20" t="str">
        <f t="shared" si="432"/>
        <v>N   910 669 01</v>
      </c>
      <c r="G842" s="21">
        <v>100328200</v>
      </c>
      <c r="H842" s="17">
        <f t="shared" si="433"/>
        <v>2.9510000000000002E-2</v>
      </c>
      <c r="I842" s="20"/>
      <c r="J842" s="17">
        <f t="shared" si="434"/>
        <v>400</v>
      </c>
      <c r="K842" s="17">
        <f t="shared" si="435"/>
        <v>0</v>
      </c>
      <c r="L842" s="22">
        <v>10</v>
      </c>
      <c r="M842" s="22">
        <v>30</v>
      </c>
      <c r="N842" s="22">
        <v>111444</v>
      </c>
      <c r="O842" s="22" t="str">
        <f t="shared" si="436"/>
        <v>001006</v>
      </c>
      <c r="P842" s="22">
        <f t="shared" si="437"/>
        <v>34</v>
      </c>
      <c r="Q842" s="22"/>
      <c r="R842" s="23" t="s">
        <v>153</v>
      </c>
      <c r="S842" s="22">
        <f t="shared" si="438"/>
        <v>0.56999999999999995</v>
      </c>
      <c r="T842" s="24">
        <f t="shared" si="439"/>
        <v>0</v>
      </c>
      <c r="U842" s="25">
        <f t="shared" si="440"/>
        <v>2</v>
      </c>
      <c r="V842" s="26" t="str">
        <f t="shared" si="441"/>
        <v/>
      </c>
    </row>
    <row r="843" spans="1:22" ht="48" customHeight="1" x14ac:dyDescent="0.25">
      <c r="A843" s="17">
        <f>VLOOKUP(C843,[1]Werke!$A$1:$C$168,3,0)</f>
        <v>24</v>
      </c>
      <c r="B843" s="17" t="str">
        <f>VLOOKUP(C843,[1]Werke!$A$1:$C$168,2,0)</f>
        <v>CKH</v>
      </c>
      <c r="C843" s="18" t="s">
        <v>224</v>
      </c>
      <c r="D843" s="17">
        <f>VLOOKUP(C843,[1]Maliteslimalan!$A$1:$B$210,2,0)</f>
        <v>8000013551</v>
      </c>
      <c r="E843" s="19">
        <v>6</v>
      </c>
      <c r="F843" s="20" t="str">
        <f t="shared" si="432"/>
        <v>N   910 669 01</v>
      </c>
      <c r="G843" s="21">
        <v>100328200</v>
      </c>
      <c r="H843" s="17">
        <f t="shared" si="433"/>
        <v>2.9510000000000002E-2</v>
      </c>
      <c r="I843" s="20"/>
      <c r="J843" s="17">
        <f t="shared" si="434"/>
        <v>400</v>
      </c>
      <c r="K843" s="17">
        <f t="shared" si="435"/>
        <v>0</v>
      </c>
      <c r="L843" s="22">
        <v>10</v>
      </c>
      <c r="M843" s="22">
        <v>10</v>
      </c>
      <c r="N843" s="22">
        <v>111444</v>
      </c>
      <c r="O843" s="22" t="str">
        <f t="shared" si="436"/>
        <v>001006</v>
      </c>
      <c r="P843" s="22">
        <f t="shared" si="437"/>
        <v>34</v>
      </c>
      <c r="Q843" s="22"/>
      <c r="R843" s="23" t="s">
        <v>153</v>
      </c>
      <c r="S843" s="22">
        <f t="shared" si="438"/>
        <v>0.56999999999999995</v>
      </c>
      <c r="T843" s="24">
        <f t="shared" si="439"/>
        <v>0</v>
      </c>
      <c r="U843" s="25">
        <f t="shared" si="440"/>
        <v>2</v>
      </c>
      <c r="V843" s="26" t="str">
        <f t="shared" si="441"/>
        <v/>
      </c>
    </row>
    <row r="844" spans="1:22" ht="48" customHeight="1" x14ac:dyDescent="0.25">
      <c r="A844" s="17">
        <f>VLOOKUP(C844,[1]Werke!$A$1:$C$168,3,0)</f>
        <v>24</v>
      </c>
      <c r="B844" s="17" t="str">
        <f>VLOOKUP(C844,[1]Werke!$A$1:$C$168,2,0)</f>
        <v>CKS</v>
      </c>
      <c r="C844" s="18" t="s">
        <v>245</v>
      </c>
      <c r="D844" s="17" t="str">
        <f>VLOOKUP(C844,[1]Maliteslimalan!$A$1:$B$210,2,0)</f>
        <v>8000012647</v>
      </c>
      <c r="E844" s="19" t="str">
        <f>VLOOKUP(C844,[1]Bestellnr.!$A$1:$B$174,2,0)</f>
        <v>000006</v>
      </c>
      <c r="F844" s="20" t="str">
        <f t="shared" si="432"/>
        <v>N   910 669 01</v>
      </c>
      <c r="G844" s="21">
        <v>100328200</v>
      </c>
      <c r="H844" s="17">
        <f t="shared" si="433"/>
        <v>2.9510000000000002E-2</v>
      </c>
      <c r="I844" s="20"/>
      <c r="J844" s="17">
        <f t="shared" si="434"/>
        <v>400</v>
      </c>
      <c r="K844" s="17">
        <f t="shared" si="435"/>
        <v>0</v>
      </c>
      <c r="L844" s="22">
        <v>10</v>
      </c>
      <c r="M844" s="22">
        <v>10</v>
      </c>
      <c r="N844" s="22">
        <v>111444</v>
      </c>
      <c r="O844" s="22" t="str">
        <f t="shared" si="436"/>
        <v>001006</v>
      </c>
      <c r="P844" s="22">
        <f t="shared" si="437"/>
        <v>34</v>
      </c>
      <c r="Q844" s="22"/>
      <c r="R844" s="23" t="s">
        <v>153</v>
      </c>
      <c r="S844" s="22">
        <f t="shared" si="438"/>
        <v>0.56999999999999995</v>
      </c>
      <c r="T844" s="24">
        <f t="shared" si="439"/>
        <v>0</v>
      </c>
      <c r="U844" s="25">
        <f t="shared" si="440"/>
        <v>2</v>
      </c>
      <c r="V844" s="26" t="str">
        <f t="shared" si="441"/>
        <v/>
      </c>
    </row>
    <row r="845" spans="1:22" ht="48" customHeight="1" x14ac:dyDescent="0.25">
      <c r="A845" s="17" t="str">
        <f>VLOOKUP(C845,[1]Werke!$A$1:$C$168,3,0)</f>
        <v>16D</v>
      </c>
      <c r="B845" s="17">
        <f>VLOOKUP(C845,[1]Werke!$A$1:$C$168,2,0)</f>
        <v>210</v>
      </c>
      <c r="C845" s="18" t="s">
        <v>226</v>
      </c>
      <c r="D845" s="17" t="str">
        <f>VLOOKUP(C845,[1]Maliteslimalan!$A$1:$B$210,2,0)</f>
        <v>8000012565</v>
      </c>
      <c r="E845" s="19">
        <f>VLOOKUP(C845,[1]Bestellnr.!$A$1:$B$174,2,0)</f>
        <v>0</v>
      </c>
      <c r="F845" s="20" t="str">
        <f t="shared" si="432"/>
        <v>N   910 669 01</v>
      </c>
      <c r="G845" s="21">
        <v>100328200</v>
      </c>
      <c r="H845" s="17">
        <f t="shared" si="433"/>
        <v>2.9510000000000002E-2</v>
      </c>
      <c r="I845" s="20"/>
      <c r="J845" s="17">
        <f t="shared" si="434"/>
        <v>400</v>
      </c>
      <c r="K845" s="17">
        <f t="shared" si="435"/>
        <v>0</v>
      </c>
      <c r="L845" s="22">
        <v>10</v>
      </c>
      <c r="M845" s="22">
        <v>20</v>
      </c>
      <c r="N845" s="22">
        <v>111444</v>
      </c>
      <c r="O845" s="22" t="str">
        <f t="shared" si="436"/>
        <v>001006</v>
      </c>
      <c r="P845" s="22">
        <f t="shared" si="437"/>
        <v>34</v>
      </c>
      <c r="Q845" s="22"/>
      <c r="R845" s="23" t="s">
        <v>153</v>
      </c>
      <c r="S845" s="22">
        <f t="shared" si="438"/>
        <v>0.56999999999999995</v>
      </c>
      <c r="T845" s="24">
        <f t="shared" si="439"/>
        <v>0</v>
      </c>
      <c r="U845" s="25">
        <f t="shared" si="440"/>
        <v>2</v>
      </c>
      <c r="V845" s="26" t="str">
        <f t="shared" si="441"/>
        <v/>
      </c>
    </row>
    <row r="846" spans="1:22" ht="48" customHeight="1" x14ac:dyDescent="0.25">
      <c r="A846" s="17"/>
      <c r="B846" s="17"/>
      <c r="C846" s="18"/>
      <c r="D846" s="17"/>
      <c r="E846" s="19"/>
      <c r="F846" s="20"/>
      <c r="G846" s="21"/>
      <c r="H846" s="17"/>
      <c r="I846" s="20"/>
      <c r="J846" s="17"/>
      <c r="K846" s="17"/>
      <c r="L846" s="22"/>
      <c r="M846" s="22"/>
      <c r="N846" s="22"/>
      <c r="O846" s="22"/>
      <c r="P846" s="22"/>
      <c r="Q846" s="22"/>
      <c r="R846" s="23"/>
      <c r="S846" s="22"/>
      <c r="T846" s="24"/>
      <c r="U846" s="25"/>
    </row>
    <row r="847" spans="1:22" ht="48" customHeight="1" x14ac:dyDescent="0.25">
      <c r="A847" s="17">
        <f>VLOOKUP(C847,[1]Werke!$A$1:$C$168,3,0)</f>
        <v>14</v>
      </c>
      <c r="B847" s="17" t="str">
        <f>VLOOKUP(C847,[1]Werke!$A$1:$C$168,2,0)</f>
        <v>D47</v>
      </c>
      <c r="C847" s="18" t="s">
        <v>246</v>
      </c>
      <c r="D847" s="17" t="str">
        <f>VLOOKUP(C847,[1]Maliteslimalan!$A$1:$B$210,2,0)</f>
        <v>8000012583</v>
      </c>
      <c r="E847" s="19">
        <f>VLOOKUP(C847,[1]Bestellnr.!$A$1:$B$174,2,0)</f>
        <v>0</v>
      </c>
      <c r="F847" s="20" t="str">
        <f>VLOOKUP(G847,$U$1:$V$1730,2,0)</f>
        <v>WHT 010 182</v>
      </c>
      <c r="G847" s="21">
        <v>100331300</v>
      </c>
      <c r="H847" s="17">
        <f>VLOOKUP(G847,Z$2:AA$1905,2,FALSE)</f>
        <v>0.24679999999999999</v>
      </c>
      <c r="I847" s="20"/>
      <c r="J847" s="17">
        <f>VLOOKUP(G847,W$2:X$1905,2,FALSE)</f>
        <v>50</v>
      </c>
      <c r="K847" s="17">
        <f>I847/J847</f>
        <v>0</v>
      </c>
      <c r="L847" s="22">
        <v>10</v>
      </c>
      <c r="M847" s="22">
        <v>30</v>
      </c>
      <c r="N847" s="22">
        <v>111444</v>
      </c>
      <c r="O847" s="22" t="str">
        <f>VLOOKUP(N847,$AL$1285:$AM$1310,2,FALSE)</f>
        <v>001006</v>
      </c>
      <c r="P847" s="22">
        <f>VLOOKUP(N847,AC$2:AD$1905,2,FALSE)</f>
        <v>34</v>
      </c>
      <c r="Q847" s="22"/>
      <c r="R847" s="23" t="s">
        <v>153</v>
      </c>
      <c r="S847" s="22">
        <f>VLOOKUP(R847,AC$2:AD$1905,2,FALSE)</f>
        <v>0.56999999999999995</v>
      </c>
      <c r="T847" s="24">
        <f>(H847*I847)+P847*Q847+S847*K847</f>
        <v>0</v>
      </c>
      <c r="U847" s="25">
        <f>IF(TRIM(N847&amp;"")="111444",
    IF(ROUNDUP(MAX(0,K847-(MAX(1,Q847)-1)*10)/10,0)=1,3,2),
    IF(TRIM(N847&amp;"")="VWPAL",
        IF(TRIM(R847&amp;"")="004147",1,2),
        ""
    )
)</f>
        <v>2</v>
      </c>
      <c r="V847" s="26" t="str">
        <f>IF(OR(TRIM(N847&amp;"")="111444",TRIM(N847&amp;"")="VWPAL"),
    IF(K847&lt;=0,"",
        IF(
            MIN(3,ROUNDUP(MAX(0,K847-(MAX(1,Q847)-1)*IF(TRIM(N847&amp;"")="111444",10,20))/IF(TRIM(N847&amp;"")="111444",10,20),0))=1,
            300,
            IF(
                MIN(3,ROUNDUP(MAX(0,K847-(MAX(1,Q847)-1)*IF(TRIM(N847&amp;"")="111444",10,20))/IF(TRIM(N847&amp;"")="111444",10,20),0))=2,
                450,
                600
            )
        )
    ),
    ""
)</f>
        <v/>
      </c>
    </row>
    <row r="848" spans="1:22" ht="48" customHeight="1" x14ac:dyDescent="0.25">
      <c r="A848" s="17"/>
      <c r="B848" s="17"/>
      <c r="C848" s="18"/>
      <c r="D848" s="17"/>
      <c r="E848" s="19"/>
      <c r="F848" s="20"/>
      <c r="G848" s="21"/>
      <c r="H848" s="17"/>
      <c r="I848" s="20"/>
      <c r="J848" s="17"/>
      <c r="K848" s="17"/>
      <c r="L848" s="22"/>
      <c r="M848" s="22"/>
      <c r="N848" s="22"/>
      <c r="O848" s="22"/>
      <c r="P848" s="22"/>
      <c r="Q848" s="22"/>
      <c r="R848" s="23"/>
      <c r="S848" s="22"/>
      <c r="T848" s="24"/>
      <c r="U848" s="25"/>
    </row>
    <row r="849" spans="1:22" ht="48" customHeight="1" x14ac:dyDescent="0.25">
      <c r="A849" s="17" t="str">
        <f>VLOOKUP(C849,[1]Werke!$A$1:$C$168,3,0)</f>
        <v>14S</v>
      </c>
      <c r="B849" s="17" t="str">
        <f>VLOOKUP(C849,[1]Werke!$A$1:$C$168,2,0)</f>
        <v>LZG</v>
      </c>
      <c r="C849" s="18" t="s">
        <v>311</v>
      </c>
      <c r="D849" s="17" t="str">
        <f>VLOOKUP(C849,[1]Maliteslimalan!$A$1:$B$210,2,0)</f>
        <v>8000014767</v>
      </c>
      <c r="E849" s="19" t="str">
        <f>VLOOKUP(C849,[1]Bestellnr.!$A$1:$B$174,2,0)</f>
        <v>000006</v>
      </c>
      <c r="F849" s="20" t="str">
        <f>VLOOKUP(G849,$U$1:$V$1730,2,0)</f>
        <v>N   911 239 01</v>
      </c>
      <c r="G849" s="21">
        <v>100328400</v>
      </c>
      <c r="H849" s="17">
        <f>VLOOKUP(G849,Z$2:AA$1905,2,FALSE)</f>
        <v>6.7499999999999999E-3</v>
      </c>
      <c r="I849" s="20"/>
      <c r="J849" s="17">
        <f>VLOOKUP(G849,W$2:X$1905,2,FALSE)</f>
        <v>1800</v>
      </c>
      <c r="K849" s="17">
        <f>I849/J849</f>
        <v>0</v>
      </c>
      <c r="L849" s="22">
        <v>10</v>
      </c>
      <c r="M849" s="22">
        <v>10</v>
      </c>
      <c r="N849" s="22">
        <v>111444</v>
      </c>
      <c r="O849" s="22" t="str">
        <f>VLOOKUP(N849,$AL$1285:$AM$1310,2,FALSE)</f>
        <v>001006</v>
      </c>
      <c r="P849" s="22">
        <f>VLOOKUP(N849,AC$2:AD$1905,2,FALSE)</f>
        <v>34</v>
      </c>
      <c r="Q849" s="22"/>
      <c r="R849" s="23" t="s">
        <v>153</v>
      </c>
      <c r="S849" s="22">
        <f>VLOOKUP(R849,AC$2:AD$1905,2,FALSE)</f>
        <v>0.56999999999999995</v>
      </c>
      <c r="T849" s="24">
        <f>(H849*I849)+P849*Q849+S849*K849</f>
        <v>0</v>
      </c>
      <c r="U849" s="25">
        <f>IF(TRIM(N849&amp;"")="111444",
    IF(ROUNDUP(MAX(0,K849-(MAX(1,Q849)-1)*10)/10,0)=1,3,2),
    IF(TRIM(N849&amp;"")="VWPAL",
        IF(TRIM(R849&amp;"")="004147",1,2),
        ""
    )
)</f>
        <v>2</v>
      </c>
      <c r="V849" s="26" t="str">
        <f>IF(OR(TRIM(N849&amp;"")="111444",TRIM(N849&amp;"")="VWPAL"),
    IF(K849&lt;=0,"",
        IF(
            MIN(3,ROUNDUP(MAX(0,K849-(MAX(1,Q849)-1)*IF(TRIM(N849&amp;"")="111444",10,20))/IF(TRIM(N849&amp;"")="111444",10,20),0))=1,
            300,
            IF(
                MIN(3,ROUNDUP(MAX(0,K849-(MAX(1,Q849)-1)*IF(TRIM(N849&amp;"")="111444",10,20))/IF(TRIM(N849&amp;"")="111444",10,20),0))=2,
                450,
                600
            )
        )
    ),
    ""
)</f>
        <v/>
      </c>
    </row>
    <row r="850" spans="1:22" ht="48" customHeight="1" x14ac:dyDescent="0.25">
      <c r="A850" s="17">
        <f>VLOOKUP(C850,[1]Werke!$A$1:$C$168,3,0)</f>
        <v>32</v>
      </c>
      <c r="B850" s="17" t="str">
        <f>VLOOKUP(C850,[1]Werke!$A$1:$C$168,2,0)</f>
        <v>VV3</v>
      </c>
      <c r="C850" s="18" t="s">
        <v>322</v>
      </c>
      <c r="D850" s="17" t="str">
        <f>VLOOKUP(C850,[1]Maliteslimalan!$A$1:$B$210,2,0)</f>
        <v>8000012905</v>
      </c>
      <c r="E850" s="19" t="str">
        <f>VLOOKUP(C850,[1]Bestellnr.!$A$1:$B$174,2,0)</f>
        <v>000055</v>
      </c>
      <c r="F850" s="20" t="str">
        <f>VLOOKUP(G850,$U$1:$V$1730,2,0)</f>
        <v>N   911 239 01</v>
      </c>
      <c r="G850" s="21">
        <v>100328400</v>
      </c>
      <c r="H850" s="17">
        <f>VLOOKUP(G850,Z$2:AA$1905,2,FALSE)</f>
        <v>6.7499999999999999E-3</v>
      </c>
      <c r="I850" s="20"/>
      <c r="J850" s="17">
        <f>VLOOKUP(G850,W$2:X$1905,2,FALSE)</f>
        <v>1800</v>
      </c>
      <c r="K850" s="17">
        <f>I850/J850</f>
        <v>0</v>
      </c>
      <c r="L850" s="22">
        <v>10</v>
      </c>
      <c r="M850" s="22">
        <v>10</v>
      </c>
      <c r="N850" s="22">
        <v>111444</v>
      </c>
      <c r="O850" s="22" t="str">
        <f>VLOOKUP(N850,$AL$1285:$AM$1310,2,FALSE)</f>
        <v>001006</v>
      </c>
      <c r="P850" s="22">
        <f>VLOOKUP(N850,AC$2:AD$1905,2,FALSE)</f>
        <v>34</v>
      </c>
      <c r="Q850" s="22"/>
      <c r="R850" s="23" t="s">
        <v>153</v>
      </c>
      <c r="S850" s="22">
        <f>VLOOKUP(R850,AC$2:AD$1905,2,FALSE)</f>
        <v>0.56999999999999995</v>
      </c>
      <c r="T850" s="24">
        <f>(H850*I850)+P850*Q850+S850*K850</f>
        <v>0</v>
      </c>
      <c r="U850" s="25">
        <f>IF(TRIM(N850&amp;"")="111444",
    IF(ROUNDUP(MAX(0,K850-(MAX(1,Q850)-1)*10)/10,0)=1,3,2),
    IF(TRIM(N850&amp;"")="VWPAL",
        IF(TRIM(R850&amp;"")="004147",1,2),
        ""
    )
)</f>
        <v>2</v>
      </c>
      <c r="V850" s="26" t="str">
        <f>IF(OR(TRIM(N850&amp;"")="111444",TRIM(N850&amp;"")="VWPAL"),
    IF(K850&lt;=0,"",
        IF(
            MIN(3,ROUNDUP(MAX(0,K850-(MAX(1,Q850)-1)*IF(TRIM(N850&amp;"")="111444",10,20))/IF(TRIM(N850&amp;"")="111444",10,20),0))=1,
            300,
            IF(
                MIN(3,ROUNDUP(MAX(0,K850-(MAX(1,Q850)-1)*IF(TRIM(N850&amp;"")="111444",10,20))/IF(TRIM(N850&amp;"")="111444",10,20),0))=2,
                450,
                600
            )
        )
    ),
    ""
)</f>
        <v/>
      </c>
    </row>
    <row r="851" spans="1:22" ht="48" customHeight="1" x14ac:dyDescent="0.25">
      <c r="A851" s="17">
        <f>VLOOKUP(C851,[1]Werke!$A$1:$C$168,3,0)</f>
        <v>14</v>
      </c>
      <c r="B851" s="17" t="str">
        <f>VLOOKUP(C851,[1]Werke!$A$1:$C$168,2,0)</f>
        <v>D72</v>
      </c>
      <c r="C851" s="18" t="s">
        <v>220</v>
      </c>
      <c r="D851" s="17" t="str">
        <f>VLOOKUP(C851,[1]Maliteslimalan!$A$1:$B$210,2,0)</f>
        <v>8000013493</v>
      </c>
      <c r="E851" s="19">
        <f>VLOOKUP(C851,[1]Bestellnr.!$A$1:$B$174,2,0)</f>
        <v>0</v>
      </c>
      <c r="F851" s="20" t="str">
        <f>VLOOKUP(G851,$U$1:$V$1730,2,0)</f>
        <v>N   911 239 01</v>
      </c>
      <c r="G851" s="21">
        <v>100328400</v>
      </c>
      <c r="H851" s="17">
        <f>VLOOKUP(G851,Z$2:AA$1905,2,FALSE)</f>
        <v>6.7499999999999999E-3</v>
      </c>
      <c r="I851" s="20"/>
      <c r="J851" s="17">
        <f>VLOOKUP(G851,W$2:X$1905,2,FALSE)</f>
        <v>1800</v>
      </c>
      <c r="K851" s="17">
        <f>I851/J851</f>
        <v>0</v>
      </c>
      <c r="L851" s="22">
        <v>10</v>
      </c>
      <c r="M851" s="22">
        <v>10</v>
      </c>
      <c r="N851" s="22">
        <v>111444</v>
      </c>
      <c r="O851" s="22" t="str">
        <f>VLOOKUP(N851,$AL$1285:$AM$1310,2,FALSE)</f>
        <v>001006</v>
      </c>
      <c r="P851" s="22">
        <f>VLOOKUP(N851,AC$2:AD$1905,2,FALSE)</f>
        <v>34</v>
      </c>
      <c r="Q851" s="22"/>
      <c r="R851" s="23" t="s">
        <v>153</v>
      </c>
      <c r="S851" s="22">
        <f>VLOOKUP(R851,AC$2:AD$1905,2,FALSE)</f>
        <v>0.56999999999999995</v>
      </c>
      <c r="T851" s="24">
        <f>(H851*I851)+P851*Q851+S851*K851</f>
        <v>0</v>
      </c>
      <c r="U851" s="25">
        <f>IF(TRIM(N851&amp;"")="111444",
    IF(ROUNDUP(MAX(0,K851-(MAX(1,Q851)-1)*10)/10,0)=1,3,2),
    IF(TRIM(N851&amp;"")="VWPAL",
        IF(TRIM(R851&amp;"")="004147",1,2),
        ""
    )
)</f>
        <v>2</v>
      </c>
      <c r="V851" s="26" t="str">
        <f>IF(OR(TRIM(N851&amp;"")="111444",TRIM(N851&amp;"")="VWPAL"),
    IF(K851&lt;=0,"",
        IF(
            MIN(3,ROUNDUP(MAX(0,K851-(MAX(1,Q851)-1)*IF(TRIM(N851&amp;"")="111444",10,20))/IF(TRIM(N851&amp;"")="111444",10,20),0))=1,
            300,
            IF(
                MIN(3,ROUNDUP(MAX(0,K851-(MAX(1,Q851)-1)*IF(TRIM(N851&amp;"")="111444",10,20))/IF(TRIM(N851&amp;"")="111444",10,20),0))=2,
                450,
                600
            )
        )
    ),
    ""
)</f>
        <v/>
      </c>
    </row>
    <row r="852" spans="1:22" ht="48" customHeight="1" x14ac:dyDescent="0.25">
      <c r="A852" s="17"/>
      <c r="B852" s="17"/>
      <c r="C852" s="18"/>
      <c r="D852" s="17"/>
      <c r="E852" s="19"/>
      <c r="F852" s="20"/>
      <c r="G852" s="21"/>
      <c r="H852" s="17"/>
      <c r="I852" s="20"/>
      <c r="J852" s="17"/>
      <c r="K852" s="17"/>
      <c r="L852" s="22"/>
      <c r="M852" s="22"/>
      <c r="N852" s="22"/>
      <c r="O852" s="22"/>
      <c r="P852" s="22"/>
      <c r="Q852" s="22"/>
      <c r="R852" s="23"/>
      <c r="S852" s="22"/>
      <c r="T852" s="24"/>
      <c r="U852" s="25"/>
    </row>
    <row r="853" spans="1:22" ht="48" customHeight="1" x14ac:dyDescent="0.25">
      <c r="A853" s="17" t="str">
        <f>VLOOKUP(C853,[1]Werke!$A$1:$C$168,3,0)</f>
        <v>CP</v>
      </c>
      <c r="B853" s="17" t="str">
        <f>VLOOKUP(C853,[1]Werke!$A$1:$C$168,2,0)</f>
        <v>BAE</v>
      </c>
      <c r="C853" s="18" t="s">
        <v>300</v>
      </c>
      <c r="D853" s="17" t="str">
        <f>VLOOKUP(C853,[1]Maliteslimalan!$A$1:$B$210,2,0)</f>
        <v>8000012884</v>
      </c>
      <c r="E853" s="19" t="str">
        <f>VLOOKUP(C853,[1]Bestellnr.!$A$1:$B$174,2,0)</f>
        <v>000006</v>
      </c>
      <c r="F853" s="20" t="str">
        <f>VLOOKUP(G853,$U$1:$V$1730,2,0)</f>
        <v>N   913 027 01</v>
      </c>
      <c r="G853" s="21">
        <v>100355700</v>
      </c>
      <c r="H853" s="17">
        <f>VLOOKUP(G853,Z$2:AA$1905,2,FALSE)</f>
        <v>2.4500000000000001E-2</v>
      </c>
      <c r="I853" s="20"/>
      <c r="J853" s="17">
        <f>VLOOKUP(G853,W$2:X$1905,2,FALSE)</f>
        <v>500</v>
      </c>
      <c r="K853" s="17">
        <f>I853/J853</f>
        <v>0</v>
      </c>
      <c r="L853" s="22">
        <v>20</v>
      </c>
      <c r="M853" s="22">
        <v>20</v>
      </c>
      <c r="N853" s="22" t="s">
        <v>155</v>
      </c>
      <c r="O853" s="22" t="str">
        <f>VLOOKUP(N853,$AL$1285:$AM$1310,2,FALSE)</f>
        <v>001210</v>
      </c>
      <c r="P853" s="22">
        <f>VLOOKUP(N853,AC$2:AD$1905,2,FALSE)</f>
        <v>55</v>
      </c>
      <c r="Q853" s="22"/>
      <c r="R853" s="23" t="s">
        <v>153</v>
      </c>
      <c r="S853" s="22">
        <f>VLOOKUP(R853,AC$2:AD$1905,2,FALSE)</f>
        <v>0.56999999999999995</v>
      </c>
      <c r="T853" s="24">
        <f>(H853*I853)+P853*Q853+S853*K853</f>
        <v>0</v>
      </c>
      <c r="U853" s="25">
        <f>IF(TRIM(N853&amp;"")="111444",
    IF(ROUNDUP(MAX(0,K853-(MAX(1,Q853)-1)*10)/10,0)=1,3,2),
    IF(TRIM(N853&amp;"")="VWPAL",
        IF(TRIM(R853&amp;"")="004147",1,2),
        ""
    )
)</f>
        <v>2</v>
      </c>
      <c r="V853" s="26" t="str">
        <f>IF(OR(TRIM(N853&amp;"")="111444",TRIM(N853&amp;"")="VWPAL"),
    IF(K853&lt;=0,"",
        IF(
            MIN(3,ROUNDUP(MAX(0,K853-(MAX(1,Q853)-1)*IF(TRIM(N853&amp;"")="111444",10,20))/IF(TRIM(N853&amp;"")="111444",10,20),0))=1,
            300,
            IF(
                MIN(3,ROUNDUP(MAX(0,K853-(MAX(1,Q853)-1)*IF(TRIM(N853&amp;"")="111444",10,20))/IF(TRIM(N853&amp;"")="111444",10,20),0))=2,
                450,
                600
            )
        )
    ),
    ""
)</f>
        <v/>
      </c>
    </row>
    <row r="854" spans="1:22" ht="48" customHeight="1" x14ac:dyDescent="0.25">
      <c r="A854" s="17">
        <f>VLOOKUP(C854,[1]Werke!$A$1:$C$168,3,0)</f>
        <v>37</v>
      </c>
      <c r="B854" s="17" t="str">
        <f>VLOOKUP(C854,[1]Werke!$A$1:$C$168,2,0)</f>
        <v>AKL</v>
      </c>
      <c r="C854" s="18" t="s">
        <v>232</v>
      </c>
      <c r="D854" s="17" t="str">
        <f>VLOOKUP(C854,[1]Maliteslimalan!$A$1:$B$210,2,0)</f>
        <v>8000012562</v>
      </c>
      <c r="E854" s="19" t="str">
        <f>VLOOKUP(C854,[1]Bestellnr.!$A$1:$B$174,2,0)</f>
        <v>000006</v>
      </c>
      <c r="F854" s="20" t="str">
        <f>VLOOKUP(G854,$U$1:$V$1730,2,0)</f>
        <v>N   913 027 01</v>
      </c>
      <c r="G854" s="21">
        <v>100355700</v>
      </c>
      <c r="H854" s="17">
        <f>VLOOKUP(G854,Z$2:AA$1905,2,FALSE)</f>
        <v>2.4500000000000001E-2</v>
      </c>
      <c r="I854" s="20"/>
      <c r="J854" s="17">
        <f>VLOOKUP(G854,W$2:X$1905,2,FALSE)</f>
        <v>500</v>
      </c>
      <c r="K854" s="17">
        <f>I854/J854</f>
        <v>0</v>
      </c>
      <c r="L854" s="22">
        <v>10</v>
      </c>
      <c r="M854" s="22">
        <v>30</v>
      </c>
      <c r="N854" s="22">
        <v>111444</v>
      </c>
      <c r="O854" s="22" t="str">
        <f>VLOOKUP(N854,$AL$1285:$AM$1310,2,FALSE)</f>
        <v>001006</v>
      </c>
      <c r="P854" s="22">
        <f>VLOOKUP(N854,AC$2:AD$1905,2,FALSE)</f>
        <v>34</v>
      </c>
      <c r="Q854" s="22"/>
      <c r="R854" s="23" t="s">
        <v>153</v>
      </c>
      <c r="S854" s="22">
        <f>VLOOKUP(R854,AC$2:AD$1905,2,FALSE)</f>
        <v>0.56999999999999995</v>
      </c>
      <c r="T854" s="24">
        <f>(H854*I854)+P854*Q854+S854*K854</f>
        <v>0</v>
      </c>
      <c r="U854" s="25">
        <f>IF(TRIM(N854&amp;"")="111444",
    IF(ROUNDUP(MAX(0,K854-(MAX(1,Q854)-1)*10)/10,0)=1,3,2),
    IF(TRIM(N854&amp;"")="VWPAL",
        IF(TRIM(R854&amp;"")="004147",1,2),
        ""
    )
)</f>
        <v>2</v>
      </c>
      <c r="V854" s="26" t="str">
        <f>IF(OR(TRIM(N854&amp;"")="111444",TRIM(N854&amp;"")="VWPAL"),
    IF(K854&lt;=0,"",
        IF(
            MIN(3,ROUNDUP(MAX(0,K854-(MAX(1,Q854)-1)*IF(TRIM(N854&amp;"")="111444",10,20))/IF(TRIM(N854&amp;"")="111444",10,20),0))=1,
            300,
            IF(
                MIN(3,ROUNDUP(MAX(0,K854-(MAX(1,Q854)-1)*IF(TRIM(N854&amp;"")="111444",10,20))/IF(TRIM(N854&amp;"")="111444",10,20),0))=2,
                450,
                600
            )
        )
    ),
    ""
)</f>
        <v/>
      </c>
    </row>
    <row r="855" spans="1:22" ht="48" customHeight="1" x14ac:dyDescent="0.25">
      <c r="A855" s="17"/>
      <c r="B855" s="17"/>
      <c r="C855" s="18"/>
      <c r="D855" s="17"/>
      <c r="E855" s="19"/>
      <c r="F855" s="20"/>
      <c r="G855" s="21"/>
      <c r="H855" s="17"/>
      <c r="I855" s="20"/>
      <c r="J855" s="17"/>
      <c r="K855" s="17"/>
      <c r="L855" s="22"/>
      <c r="M855" s="22"/>
      <c r="N855" s="22"/>
      <c r="O855" s="22"/>
      <c r="P855" s="22"/>
      <c r="Q855" s="22"/>
      <c r="R855" s="23"/>
      <c r="S855" s="22"/>
      <c r="T855" s="24"/>
      <c r="U855" s="25"/>
    </row>
    <row r="856" spans="1:22" ht="48" customHeight="1" x14ac:dyDescent="0.25">
      <c r="A856" s="17" t="str">
        <f>VLOOKUP(C856,[1]Werke!$A$1:$C$168,3,0)</f>
        <v>LD</v>
      </c>
      <c r="B856" s="17" t="str">
        <f>VLOOKUP(C856,[1]Werke!$A$1:$C$168,2,0)</f>
        <v>SLD</v>
      </c>
      <c r="C856" s="18">
        <v>83630</v>
      </c>
      <c r="D856" s="17" t="str">
        <f>VLOOKUP(C856,[1]Maliteslimalan!$A$1:$B$210,2,0)</f>
        <v>8000012862</v>
      </c>
      <c r="E856" s="19" t="str">
        <f>VLOOKUP(C856,[1]Bestellnr.!$A$1:$B$174,2,0)</f>
        <v>000006</v>
      </c>
      <c r="F856" s="20" t="str">
        <f>VLOOKUP(G856,$U$1:$V$1730,2,0)</f>
        <v>WHT 010 158</v>
      </c>
      <c r="G856" s="21">
        <v>100476700</v>
      </c>
      <c r="H856" s="17">
        <f>VLOOKUP(G856,Z$2:AA$1905,2,FALSE)</f>
        <v>2.5999999999999999E-2</v>
      </c>
      <c r="I856" s="20"/>
      <c r="J856" s="17">
        <f>VLOOKUP(G856,W$2:X$1905,2,FALSE)</f>
        <v>400</v>
      </c>
      <c r="K856" s="17">
        <f>I856/J856</f>
        <v>0</v>
      </c>
      <c r="L856" s="22">
        <v>10</v>
      </c>
      <c r="M856" s="22">
        <v>30</v>
      </c>
      <c r="N856" s="22">
        <v>111444</v>
      </c>
      <c r="O856" s="22" t="str">
        <f>VLOOKUP(N856,$AL$1285:$AM$1310,2,FALSE)</f>
        <v>001006</v>
      </c>
      <c r="P856" s="22">
        <f>VLOOKUP(N856,AC$2:AD$1905,2,FALSE)</f>
        <v>34</v>
      </c>
      <c r="Q856" s="22"/>
      <c r="R856" s="23" t="s">
        <v>153</v>
      </c>
      <c r="S856" s="22">
        <f>VLOOKUP(R856,AC$2:AD$1905,2,FALSE)</f>
        <v>0.56999999999999995</v>
      </c>
      <c r="T856" s="24">
        <f>(H856*I856)+P856*Q856+S856*K856</f>
        <v>0</v>
      </c>
      <c r="U856" s="25">
        <f>IF(TRIM(N856&amp;"")="111444",
    IF(ROUNDUP(MAX(0,K856-(MAX(1,Q856)-1)*10)/10,0)=1,3,2),
    IF(TRIM(N856&amp;"")="VWPAL",
        IF(TRIM(R856&amp;"")="004147",1,2),
        ""
    )
)</f>
        <v>2</v>
      </c>
      <c r="V856" s="26" t="str">
        <f>IF(OR(TRIM(N856&amp;"")="111444",TRIM(N856&amp;"")="VWPAL"),
    IF(K856&lt;=0,"",
        IF(
            MIN(3,ROUNDUP(MAX(0,K856-(MAX(1,Q856)-1)*IF(TRIM(N856&amp;"")="111444",10,20))/IF(TRIM(N856&amp;"")="111444",10,20),0))=1,
            300,
            IF(
                MIN(3,ROUNDUP(MAX(0,K856-(MAX(1,Q856)-1)*IF(TRIM(N856&amp;"")="111444",10,20))/IF(TRIM(N856&amp;"")="111444",10,20),0))=2,
                450,
                600
            )
        )
    ),
    ""
)</f>
        <v/>
      </c>
    </row>
    <row r="857" spans="1:22" ht="48" customHeight="1" x14ac:dyDescent="0.25">
      <c r="A857" s="17">
        <f>VLOOKUP(C857,[1]Werke!$A$1:$C$168,3,0)</f>
        <v>15</v>
      </c>
      <c r="B857" s="17" t="str">
        <f>VLOOKUP(C857,[1]Werke!$A$1:$C$168,2,0)</f>
        <v>H9A</v>
      </c>
      <c r="C857" s="18" t="s">
        <v>240</v>
      </c>
      <c r="D857" s="17">
        <f>VLOOKUP(C857,[1]Maliteslimalan!$A$1:$B$210,2,0)</f>
        <v>8000017580</v>
      </c>
      <c r="E857" s="19">
        <v>6</v>
      </c>
      <c r="F857" s="20" t="str">
        <f>VLOOKUP(G857,$U$1:$V$1730,2,0)</f>
        <v>WHT 010 158</v>
      </c>
      <c r="G857" s="21">
        <v>100476700</v>
      </c>
      <c r="H857" s="17">
        <f>VLOOKUP(G857,Z$2:AA$1905,2,FALSE)</f>
        <v>2.5999999999999999E-2</v>
      </c>
      <c r="I857" s="20"/>
      <c r="J857" s="17">
        <f>VLOOKUP(G857,W$2:X$1905,2,FALSE)</f>
        <v>400</v>
      </c>
      <c r="K857" s="17">
        <f>I857/J857</f>
        <v>0</v>
      </c>
      <c r="L857" s="22">
        <v>20</v>
      </c>
      <c r="M857" s="22">
        <v>20</v>
      </c>
      <c r="N857" s="22" t="s">
        <v>155</v>
      </c>
      <c r="O857" s="22" t="str">
        <f>VLOOKUP(N857,$AL$1285:$AM$1310,2,FALSE)</f>
        <v>001210</v>
      </c>
      <c r="P857" s="22">
        <f>VLOOKUP(N857,AC$2:AD$1905,2,FALSE)</f>
        <v>55</v>
      </c>
      <c r="Q857" s="22"/>
      <c r="R857" s="23" t="s">
        <v>153</v>
      </c>
      <c r="S857" s="22">
        <f>VLOOKUP(R857,AC$2:AD$1905,2,FALSE)</f>
        <v>0.56999999999999995</v>
      </c>
      <c r="T857" s="24">
        <f>(H857*I857)+P857*Q857+S857*K857</f>
        <v>0</v>
      </c>
      <c r="U857" s="25">
        <f>IF(TRIM(N857&amp;"")="111444",
    IF(ROUNDUP(MAX(0,K857-(MAX(1,Q857)-1)*10)/10,0)=1,3,2),
    IF(TRIM(N857&amp;"")="VWPAL",
        IF(TRIM(R857&amp;"")="004147",1,2),
        ""
    )
)</f>
        <v>2</v>
      </c>
      <c r="V857" s="26" t="str">
        <f>IF(OR(TRIM(N857&amp;"")="111444",TRIM(N857&amp;"")="VWPAL"),
    IF(K857&lt;=0,"",
        IF(
            MIN(3,ROUNDUP(MAX(0,K857-(MAX(1,Q857)-1)*IF(TRIM(N857&amp;"")="111444",10,20))/IF(TRIM(N857&amp;"")="111444",10,20),0))=1,
            300,
            IF(
                MIN(3,ROUNDUP(MAX(0,K857-(MAX(1,Q857)-1)*IF(TRIM(N857&amp;"")="111444",10,20))/IF(TRIM(N857&amp;"")="111444",10,20),0))=2,
                450,
                600
            )
        )
    ),
    ""
)</f>
        <v/>
      </c>
    </row>
    <row r="858" spans="1:22" ht="48" customHeight="1" x14ac:dyDescent="0.25">
      <c r="A858" s="17">
        <f>VLOOKUP(C858,[1]Werke!$A$1:$C$168,3,0)</f>
        <v>14</v>
      </c>
      <c r="B858" s="17" t="str">
        <f>VLOOKUP(C858,[1]Werke!$A$1:$C$168,2,0)</f>
        <v>D72</v>
      </c>
      <c r="C858" s="18" t="s">
        <v>220</v>
      </c>
      <c r="D858" s="17" t="str">
        <f>VLOOKUP(C858,[1]Maliteslimalan!$A$1:$B$210,2,0)</f>
        <v>8000013493</v>
      </c>
      <c r="E858" s="19">
        <f>VLOOKUP(C858,[1]Bestellnr.!$A$1:$B$174,2,0)</f>
        <v>0</v>
      </c>
      <c r="F858" s="20" t="str">
        <f>VLOOKUP(G858,$U$1:$V$1730,2,0)</f>
        <v>WHT 010 158</v>
      </c>
      <c r="G858" s="21">
        <v>100476700</v>
      </c>
      <c r="H858" s="17">
        <f>VLOOKUP(G858,Z$2:AA$1905,2,FALSE)</f>
        <v>2.5999999999999999E-2</v>
      </c>
      <c r="I858" s="20"/>
      <c r="J858" s="17">
        <f>VLOOKUP(G858,W$2:X$1905,2,FALSE)</f>
        <v>400</v>
      </c>
      <c r="K858" s="17">
        <f>I858/J858</f>
        <v>0</v>
      </c>
      <c r="L858" s="22">
        <v>10</v>
      </c>
      <c r="M858" s="22">
        <v>30</v>
      </c>
      <c r="N858" s="22">
        <v>111444</v>
      </c>
      <c r="O858" s="22" t="str">
        <f>VLOOKUP(N858,$AL$1285:$AM$1310,2,FALSE)</f>
        <v>001006</v>
      </c>
      <c r="P858" s="22">
        <f>VLOOKUP(N858,AC$2:AD$1905,2,FALSE)</f>
        <v>34</v>
      </c>
      <c r="Q858" s="22"/>
      <c r="R858" s="23" t="s">
        <v>153</v>
      </c>
      <c r="S858" s="22">
        <f>VLOOKUP(R858,AC$2:AD$1905,2,FALSE)</f>
        <v>0.56999999999999995</v>
      </c>
      <c r="T858" s="24">
        <f>(H858*I858)+P858*Q858+S858*K858</f>
        <v>0</v>
      </c>
      <c r="U858" s="25">
        <f>IF(TRIM(N858&amp;"")="111444",
    IF(ROUNDUP(MAX(0,K858-(MAX(1,Q858)-1)*10)/10,0)=1,3,2),
    IF(TRIM(N858&amp;"")="VWPAL",
        IF(TRIM(R858&amp;"")="004147",1,2),
        ""
    )
)</f>
        <v>2</v>
      </c>
      <c r="V858" s="26" t="str">
        <f>IF(OR(TRIM(N858&amp;"")="111444",TRIM(N858&amp;"")="VWPAL"),
    IF(K858&lt;=0,"",
        IF(
            MIN(3,ROUNDUP(MAX(0,K858-(MAX(1,Q858)-1)*IF(TRIM(N858&amp;"")="111444",10,20))/IF(TRIM(N858&amp;"")="111444",10,20),0))=1,
            300,
            IF(
                MIN(3,ROUNDUP(MAX(0,K858-(MAX(1,Q858)-1)*IF(TRIM(N858&amp;"")="111444",10,20))/IF(TRIM(N858&amp;"")="111444",10,20),0))=2,
                450,
                600
            )
        )
    ),
    ""
)</f>
        <v/>
      </c>
    </row>
    <row r="859" spans="1:22" ht="48" customHeight="1" x14ac:dyDescent="0.25">
      <c r="A859" s="17"/>
      <c r="B859" s="17"/>
      <c r="C859" s="18"/>
      <c r="D859" s="17"/>
      <c r="E859" s="19"/>
      <c r="F859" s="20"/>
      <c r="G859" s="21"/>
      <c r="H859" s="17"/>
      <c r="I859" s="20"/>
      <c r="J859" s="17"/>
      <c r="K859" s="17"/>
      <c r="L859" s="22"/>
      <c r="M859" s="22"/>
      <c r="N859" s="22"/>
      <c r="O859" s="22"/>
      <c r="P859" s="22"/>
      <c r="Q859" s="22"/>
      <c r="R859" s="23"/>
      <c r="S859" s="22"/>
      <c r="T859" s="24"/>
      <c r="U859" s="25"/>
    </row>
    <row r="860" spans="1:22" ht="48" customHeight="1" x14ac:dyDescent="0.25">
      <c r="A860" s="17">
        <f>VLOOKUP(C860,[1]Werke!$A$1:$C$168,3,0)</f>
        <v>22</v>
      </c>
      <c r="B860" s="17" t="str">
        <f>VLOOKUP(C860,[1]Werke!$A$1:$C$168,2,0)</f>
        <v>13P</v>
      </c>
      <c r="C860" s="18" t="s">
        <v>230</v>
      </c>
      <c r="D860" s="17" t="str">
        <f>VLOOKUP(C860,[1]Maliteslimalan!$A$1:$B$210,2,0)</f>
        <v>8000013344</v>
      </c>
      <c r="E860" s="19" t="str">
        <f>VLOOKUP(C860,[1]Bestellnr.!$A$1:$B$174,2,0)</f>
        <v>000006</v>
      </c>
      <c r="F860" s="20" t="str">
        <f>VLOOKUP(G860,$U$1:$V$1730,2,0)</f>
        <v>WHT 007 422</v>
      </c>
      <c r="G860" s="21">
        <v>934310000</v>
      </c>
      <c r="H860" s="17">
        <f>VLOOKUP(G860,Z$2:AA$1905,2,FALSE)</f>
        <v>8.2650000000000001E-2</v>
      </c>
      <c r="I860" s="20"/>
      <c r="J860" s="17">
        <f>VLOOKUP(G860,W$2:X$1905,2,FALSE)</f>
        <v>140</v>
      </c>
      <c r="K860" s="17">
        <f>I860/J860</f>
        <v>0</v>
      </c>
      <c r="L860" s="22">
        <v>10</v>
      </c>
      <c r="M860" s="22">
        <v>30</v>
      </c>
      <c r="N860" s="22">
        <v>111444</v>
      </c>
      <c r="O860" s="22" t="str">
        <f>VLOOKUP(N860,$AL$1285:$AM$1310,2,FALSE)</f>
        <v>001006</v>
      </c>
      <c r="P860" s="22">
        <f>VLOOKUP(N860,AC$2:AD$1905,2,FALSE)</f>
        <v>34</v>
      </c>
      <c r="Q860" s="22"/>
      <c r="R860" s="23" t="s">
        <v>153</v>
      </c>
      <c r="S860" s="22">
        <f>VLOOKUP(R860,AC$2:AD$1905,2,FALSE)</f>
        <v>0.56999999999999995</v>
      </c>
      <c r="T860" s="24">
        <f>(H860*I860)+P860*Q860+S860*K860</f>
        <v>0</v>
      </c>
      <c r="U860" s="25">
        <f>IF(TRIM(N860&amp;"")="111444",
    IF(ROUNDUP(MAX(0,K860-(MAX(1,Q860)-1)*10)/10,0)=1,3,2),
    IF(TRIM(N860&amp;"")="VWPAL",
        IF(TRIM(R860&amp;"")="004147",1,2),
        ""
    )
)</f>
        <v>2</v>
      </c>
      <c r="V860" s="26" t="str">
        <f>IF(OR(TRIM(N860&amp;"")="111444",TRIM(N860&amp;"")="VWPAL"),
    IF(K860&lt;=0,"",
        IF(
            MIN(3,ROUNDUP(MAX(0,K860-(MAX(1,Q860)-1)*IF(TRIM(N860&amp;"")="111444",10,20))/IF(TRIM(N860&amp;"")="111444",10,20),0))=1,
            300,
            IF(
                MIN(3,ROUNDUP(MAX(0,K860-(MAX(1,Q860)-1)*IF(TRIM(N860&amp;"")="111444",10,20))/IF(TRIM(N860&amp;"")="111444",10,20),0))=2,
                450,
                600
            )
        )
    ),
    ""
)</f>
        <v/>
      </c>
    </row>
    <row r="861" spans="1:22" ht="48" customHeight="1" x14ac:dyDescent="0.25">
      <c r="A861" s="17">
        <f>VLOOKUP(C861,[1]Werke!$A$1:$C$168,3,0)</f>
        <v>37</v>
      </c>
      <c r="B861" s="17" t="str">
        <f>VLOOKUP(C861,[1]Werke!$A$1:$C$168,2,0)</f>
        <v>AKL</v>
      </c>
      <c r="C861" s="18" t="s">
        <v>232</v>
      </c>
      <c r="D861" s="17" t="str">
        <f>VLOOKUP(C861,[1]Maliteslimalan!$A$1:$B$210,2,0)</f>
        <v>8000012562</v>
      </c>
      <c r="E861" s="19" t="str">
        <f>VLOOKUP(C861,[1]Bestellnr.!$A$1:$B$174,2,0)</f>
        <v>000006</v>
      </c>
      <c r="F861" s="20" t="str">
        <f>VLOOKUP(G861,$U$1:$V$1730,2,0)</f>
        <v>WHT 007 422</v>
      </c>
      <c r="G861" s="21">
        <v>934310000</v>
      </c>
      <c r="H861" s="17">
        <f>VLOOKUP(G861,Z$2:AA$1905,2,FALSE)</f>
        <v>8.2650000000000001E-2</v>
      </c>
      <c r="I861" s="20"/>
      <c r="J861" s="17">
        <f>VLOOKUP(G861,W$2:X$1905,2,FALSE)</f>
        <v>140</v>
      </c>
      <c r="K861" s="17">
        <f>I861/J861</f>
        <v>0</v>
      </c>
      <c r="L861" s="22">
        <v>10</v>
      </c>
      <c r="M861" s="22">
        <v>30</v>
      </c>
      <c r="N861" s="22">
        <v>111444</v>
      </c>
      <c r="O861" s="22" t="str">
        <f>VLOOKUP(N861,$AL$1285:$AM$1310,2,FALSE)</f>
        <v>001006</v>
      </c>
      <c r="P861" s="22">
        <f>VLOOKUP(N861,AC$2:AD$1905,2,FALSE)</f>
        <v>34</v>
      </c>
      <c r="Q861" s="22"/>
      <c r="R861" s="23" t="s">
        <v>153</v>
      </c>
      <c r="S861" s="22">
        <f>VLOOKUP(R861,AC$2:AD$1905,2,FALSE)</f>
        <v>0.56999999999999995</v>
      </c>
      <c r="T861" s="24">
        <f>(H861*I861)+P861*Q861+S861*K861</f>
        <v>0</v>
      </c>
      <c r="U861" s="25">
        <f>IF(TRIM(N861&amp;"")="111444",
    IF(ROUNDUP(MAX(0,K861-(MAX(1,Q861)-1)*10)/10,0)=1,3,2),
    IF(TRIM(N861&amp;"")="VWPAL",
        IF(TRIM(R861&amp;"")="004147",1,2),
        ""
    )
)</f>
        <v>2</v>
      </c>
      <c r="V861" s="26" t="str">
        <f>IF(OR(TRIM(N861&amp;"")="111444",TRIM(N861&amp;"")="VWPAL"),
    IF(K861&lt;=0,"",
        IF(
            MIN(3,ROUNDUP(MAX(0,K861-(MAX(1,Q861)-1)*IF(TRIM(N861&amp;"")="111444",10,20))/IF(TRIM(N861&amp;"")="111444",10,20),0))=1,
            300,
            IF(
                MIN(3,ROUNDUP(MAX(0,K861-(MAX(1,Q861)-1)*IF(TRIM(N861&amp;"")="111444",10,20))/IF(TRIM(N861&amp;"")="111444",10,20),0))=2,
                450,
                600
            )
        )
    ),
    ""
)</f>
        <v/>
      </c>
    </row>
    <row r="862" spans="1:22" ht="48" customHeight="1" x14ac:dyDescent="0.25">
      <c r="A862" s="17">
        <f>VLOOKUP(C862,[1]Werke!$A$1:$C$168,3,0)</f>
        <v>14</v>
      </c>
      <c r="B862" s="17" t="str">
        <f>VLOOKUP(C862,[1]Werke!$A$1:$C$168,2,0)</f>
        <v>D66</v>
      </c>
      <c r="C862" s="18" t="s">
        <v>248</v>
      </c>
      <c r="D862" s="17" t="str">
        <f>VLOOKUP(C862,[1]Maliteslimalan!$A$1:$B$210,2,0)</f>
        <v>8000012561</v>
      </c>
      <c r="E862" s="19">
        <f>VLOOKUP(C862,[1]Bestellnr.!$A$1:$B$174,2,0)</f>
        <v>0</v>
      </c>
      <c r="F862" s="20" t="str">
        <f>VLOOKUP(G862,$U$1:$V$1730,2,0)</f>
        <v>WHT 007 422</v>
      </c>
      <c r="G862" s="21">
        <v>934310000</v>
      </c>
      <c r="H862" s="17">
        <f>VLOOKUP(G862,Z$2:AA$1905,2,FALSE)</f>
        <v>8.2650000000000001E-2</v>
      </c>
      <c r="I862" s="20"/>
      <c r="J862" s="17">
        <f>VLOOKUP(G862,W$2:X$1905,2,FALSE)</f>
        <v>140</v>
      </c>
      <c r="K862" s="17">
        <f>I862/J862</f>
        <v>0</v>
      </c>
      <c r="L862" s="22">
        <v>10</v>
      </c>
      <c r="M862" s="22">
        <v>30</v>
      </c>
      <c r="N862" s="22">
        <v>111444</v>
      </c>
      <c r="O862" s="22" t="str">
        <f>VLOOKUP(N862,$AL$1285:$AM$1310,2,FALSE)</f>
        <v>001006</v>
      </c>
      <c r="P862" s="22">
        <f>VLOOKUP(N862,AC$2:AD$1905,2,FALSE)</f>
        <v>34</v>
      </c>
      <c r="Q862" s="22"/>
      <c r="R862" s="23" t="s">
        <v>153</v>
      </c>
      <c r="S862" s="22">
        <f>VLOOKUP(R862,AC$2:AD$1905,2,FALSE)</f>
        <v>0.56999999999999995</v>
      </c>
      <c r="T862" s="24">
        <f>(H862*I862)+P862*Q862+S862*K862</f>
        <v>0</v>
      </c>
      <c r="U862" s="25">
        <f>IF(TRIM(N862&amp;"")="111444",
    IF(ROUNDUP(MAX(0,K862-(MAX(1,Q862)-1)*10)/10,0)=1,3,2),
    IF(TRIM(N862&amp;"")="VWPAL",
        IF(TRIM(R862&amp;"")="004147",1,2),
        ""
    )
)</f>
        <v>2</v>
      </c>
      <c r="V862" s="26" t="str">
        <f>IF(OR(TRIM(N862&amp;"")="111444",TRIM(N862&amp;"")="VWPAL"),
    IF(K862&lt;=0,"",
        IF(
            MIN(3,ROUNDUP(MAX(0,K862-(MAX(1,Q862)-1)*IF(TRIM(N862&amp;"")="111444",10,20))/IF(TRIM(N862&amp;"")="111444",10,20),0))=1,
            300,
            IF(
                MIN(3,ROUNDUP(MAX(0,K862-(MAX(1,Q862)-1)*IF(TRIM(N862&amp;"")="111444",10,20))/IF(TRIM(N862&amp;"")="111444",10,20),0))=2,
                450,
                600
            )
        )
    ),
    ""
)</f>
        <v/>
      </c>
    </row>
    <row r="863" spans="1:22" ht="48" customHeight="1" x14ac:dyDescent="0.25">
      <c r="A863" s="17"/>
      <c r="B863" s="17"/>
      <c r="C863" s="18"/>
      <c r="D863" s="17"/>
      <c r="E863" s="19"/>
      <c r="F863" s="20"/>
      <c r="G863" s="21"/>
      <c r="H863" s="17"/>
      <c r="I863" s="20"/>
      <c r="J863" s="17"/>
      <c r="K863" s="17"/>
      <c r="L863" s="22"/>
      <c r="M863" s="22"/>
      <c r="N863" s="22"/>
      <c r="O863" s="22"/>
      <c r="P863" s="22"/>
      <c r="Q863" s="22"/>
      <c r="R863" s="23"/>
      <c r="S863" s="22"/>
      <c r="T863" s="24"/>
      <c r="U863" s="25"/>
    </row>
    <row r="864" spans="1:22" ht="48" customHeight="1" x14ac:dyDescent="0.25">
      <c r="A864" s="17">
        <f>VLOOKUP(C864,[1]Werke!$A$1:$C$168,3,0)</f>
        <v>21</v>
      </c>
      <c r="B864" s="17" t="str">
        <f>VLOOKUP(C864,[1]Werke!$A$1:$C$168,2,0)</f>
        <v>GZD</v>
      </c>
      <c r="C864" s="18" t="s">
        <v>223</v>
      </c>
      <c r="D864" s="17" t="str">
        <f>VLOOKUP(C864,[1]Maliteslimalan!$A$1:$B$210,2,0)</f>
        <v>8000012572</v>
      </c>
      <c r="E864" s="19" t="str">
        <f>VLOOKUP(C864,[1]Bestellnr.!$A$1:$B$174,2,0)</f>
        <v>000006</v>
      </c>
      <c r="F864" s="20" t="str">
        <f t="shared" ref="F864:F891" si="442">VLOOKUP(G864,$U$1:$V$1730,2,0)</f>
        <v>N   907 988 05</v>
      </c>
      <c r="G864" s="21">
        <v>970697000</v>
      </c>
      <c r="H864" s="17">
        <f t="shared" ref="H864:H891" si="443">VLOOKUP(G864,Z$2:AA$1905,2,FALSE)</f>
        <v>9.2599999999999991E-3</v>
      </c>
      <c r="I864" s="20"/>
      <c r="J864" s="17">
        <f t="shared" ref="J864:J891" si="444">VLOOKUP(G864,W$2:X$1905,2,FALSE)</f>
        <v>1550</v>
      </c>
      <c r="K864" s="17">
        <f t="shared" ref="K864:K891" si="445">I864/J864</f>
        <v>0</v>
      </c>
      <c r="L864" s="22">
        <v>20</v>
      </c>
      <c r="M864" s="22">
        <v>60</v>
      </c>
      <c r="N864" s="22" t="s">
        <v>155</v>
      </c>
      <c r="O864" s="22" t="str">
        <f t="shared" ref="O864:O891" si="446">VLOOKUP(N864,$AL$1285:$AM$1310,2,FALSE)</f>
        <v>001210</v>
      </c>
      <c r="P864" s="22">
        <f t="shared" ref="P864:P891" si="447">VLOOKUP(N864,AC$2:AD$1905,2,FALSE)</f>
        <v>55</v>
      </c>
      <c r="Q864" s="22"/>
      <c r="R864" s="23" t="s">
        <v>153</v>
      </c>
      <c r="S864" s="22">
        <f t="shared" ref="S864:S891" si="448">VLOOKUP(R864,AC$2:AD$1905,2,FALSE)</f>
        <v>0.56999999999999995</v>
      </c>
      <c r="T864" s="24">
        <f t="shared" ref="T864:T891" si="449">(H864*I864)+P864*Q864+S864*K864</f>
        <v>0</v>
      </c>
      <c r="U864" s="25">
        <f t="shared" ref="U864:U891" si="450">IF(TRIM(N864&amp;"")="111444",
    IF(ROUNDUP(MAX(0,K864-(MAX(1,Q864)-1)*10)/10,0)=1,3,2),
    IF(TRIM(N864&amp;"")="VWPAL",
        IF(TRIM(R864&amp;"")="004147",1,2),
        ""
    )
)</f>
        <v>2</v>
      </c>
      <c r="V864" s="26" t="str">
        <f t="shared" ref="V864:V891" si="451">IF(OR(TRIM(N864&amp;"")="111444",TRIM(N864&amp;"")="VWPAL"),
    IF(K864&lt;=0,"",
        IF(
            MIN(3,ROUNDUP(MAX(0,K864-(MAX(1,Q864)-1)*IF(TRIM(N864&amp;"")="111444",10,20))/IF(TRIM(N864&amp;"")="111444",10,20),0))=1,
            300,
            IF(
                MIN(3,ROUNDUP(MAX(0,K864-(MAX(1,Q864)-1)*IF(TRIM(N864&amp;"")="111444",10,20))/IF(TRIM(N864&amp;"")="111444",10,20),0))=2,
                450,
                600
            )
        )
    ),
    ""
)</f>
        <v/>
      </c>
    </row>
    <row r="865" spans="1:22" ht="48" customHeight="1" x14ac:dyDescent="0.25">
      <c r="A865" s="17">
        <f>VLOOKUP(C865,[1]Werke!$A$1:$C$168,3,0)</f>
        <v>35</v>
      </c>
      <c r="B865" s="17" t="str">
        <f>VLOOKUP(C865,[1]Werke!$A$1:$C$168,2,0)</f>
        <v>AKL</v>
      </c>
      <c r="C865" s="18" t="s">
        <v>231</v>
      </c>
      <c r="D865" s="17" t="str">
        <f>VLOOKUP(C865,[1]Maliteslimalan!$A$1:$B$210,2,0)</f>
        <v>8000013262</v>
      </c>
      <c r="E865" s="19" t="str">
        <f>VLOOKUP(C865,[1]Bestellnr.!$A$1:$B$174,2,0)</f>
        <v>000006</v>
      </c>
      <c r="F865" s="20" t="str">
        <f t="shared" si="442"/>
        <v>N   907 988 05</v>
      </c>
      <c r="G865" s="21">
        <v>970697000</v>
      </c>
      <c r="H865" s="17">
        <f t="shared" si="443"/>
        <v>9.2599999999999991E-3</v>
      </c>
      <c r="I865" s="20"/>
      <c r="J865" s="17">
        <f t="shared" si="444"/>
        <v>1550</v>
      </c>
      <c r="K865" s="17">
        <f t="shared" si="445"/>
        <v>0</v>
      </c>
      <c r="L865" s="22">
        <v>10</v>
      </c>
      <c r="M865" s="22">
        <v>10</v>
      </c>
      <c r="N865" s="22">
        <v>111444</v>
      </c>
      <c r="O865" s="22" t="str">
        <f t="shared" si="446"/>
        <v>001006</v>
      </c>
      <c r="P865" s="22">
        <f t="shared" si="447"/>
        <v>34</v>
      </c>
      <c r="Q865" s="22"/>
      <c r="R865" s="23" t="s">
        <v>153</v>
      </c>
      <c r="S865" s="22">
        <f t="shared" si="448"/>
        <v>0.56999999999999995</v>
      </c>
      <c r="T865" s="24">
        <f t="shared" si="449"/>
        <v>0</v>
      </c>
      <c r="U865" s="25">
        <f t="shared" si="450"/>
        <v>2</v>
      </c>
      <c r="V865" s="26" t="str">
        <f t="shared" si="451"/>
        <v/>
      </c>
    </row>
    <row r="866" spans="1:22" ht="48" customHeight="1" x14ac:dyDescent="0.25">
      <c r="A866" s="17">
        <f>VLOOKUP(C866,[1]Werke!$A$1:$C$168,3,0)</f>
        <v>69</v>
      </c>
      <c r="B866" s="17" t="str">
        <f>VLOOKUP(C866,[1]Werke!$A$1:$C$168,2,0)</f>
        <v>AKL</v>
      </c>
      <c r="C866" s="18" t="s">
        <v>238</v>
      </c>
      <c r="D866" s="17">
        <f>VLOOKUP(C866,[1]Maliteslimalan!$A$1:$B$210,2,0)</f>
        <v>8000017492</v>
      </c>
      <c r="E866" s="19">
        <v>6</v>
      </c>
      <c r="F866" s="20" t="str">
        <f t="shared" si="442"/>
        <v>N   907 988 05</v>
      </c>
      <c r="G866" s="21">
        <v>970697000</v>
      </c>
      <c r="H866" s="17">
        <f t="shared" si="443"/>
        <v>9.2599999999999991E-3</v>
      </c>
      <c r="I866" s="20"/>
      <c r="J866" s="17">
        <f t="shared" si="444"/>
        <v>1550</v>
      </c>
      <c r="K866" s="17">
        <f t="shared" si="445"/>
        <v>0</v>
      </c>
      <c r="L866" s="22">
        <v>10</v>
      </c>
      <c r="M866" s="22">
        <v>10</v>
      </c>
      <c r="N866" s="22">
        <v>111444</v>
      </c>
      <c r="O866" s="22" t="str">
        <f t="shared" si="446"/>
        <v>001006</v>
      </c>
      <c r="P866" s="22">
        <f t="shared" si="447"/>
        <v>34</v>
      </c>
      <c r="Q866" s="22"/>
      <c r="R866" s="23" t="s">
        <v>153</v>
      </c>
      <c r="S866" s="22">
        <f t="shared" si="448"/>
        <v>0.56999999999999995</v>
      </c>
      <c r="T866" s="24">
        <f t="shared" si="449"/>
        <v>0</v>
      </c>
      <c r="U866" s="25">
        <f t="shared" si="450"/>
        <v>2</v>
      </c>
      <c r="V866" s="26" t="str">
        <f t="shared" si="451"/>
        <v/>
      </c>
    </row>
    <row r="867" spans="1:22" ht="48" customHeight="1" x14ac:dyDescent="0.25">
      <c r="A867" s="17">
        <f>VLOOKUP(C867,[1]Werke!$A$1:$C$168,3,0)</f>
        <v>14</v>
      </c>
      <c r="B867" s="17" t="str">
        <f>VLOOKUP(C867,[1]Werke!$A$1:$C$168,2,0)</f>
        <v>D66</v>
      </c>
      <c r="C867" s="18" t="s">
        <v>248</v>
      </c>
      <c r="D867" s="17" t="str">
        <f>VLOOKUP(C867,[1]Maliteslimalan!$A$1:$B$210,2,0)</f>
        <v>8000012561</v>
      </c>
      <c r="E867" s="19">
        <f>VLOOKUP(C867,[1]Bestellnr.!$A$1:$B$174,2,0)</f>
        <v>0</v>
      </c>
      <c r="F867" s="20" t="str">
        <f t="shared" si="442"/>
        <v>N   907 988 05</v>
      </c>
      <c r="G867" s="21">
        <v>970697000</v>
      </c>
      <c r="H867" s="17">
        <f t="shared" si="443"/>
        <v>9.2599999999999991E-3</v>
      </c>
      <c r="I867" s="20"/>
      <c r="J867" s="17">
        <f t="shared" si="444"/>
        <v>1550</v>
      </c>
      <c r="K867" s="17">
        <f t="shared" si="445"/>
        <v>0</v>
      </c>
      <c r="L867" s="22">
        <v>10</v>
      </c>
      <c r="M867" s="22">
        <v>30</v>
      </c>
      <c r="N867" s="22">
        <v>111444</v>
      </c>
      <c r="O867" s="22" t="str">
        <f t="shared" si="446"/>
        <v>001006</v>
      </c>
      <c r="P867" s="22">
        <f t="shared" si="447"/>
        <v>34</v>
      </c>
      <c r="Q867" s="22"/>
      <c r="R867" s="23" t="s">
        <v>153</v>
      </c>
      <c r="S867" s="22">
        <f t="shared" si="448"/>
        <v>0.56999999999999995</v>
      </c>
      <c r="T867" s="24">
        <f t="shared" si="449"/>
        <v>0</v>
      </c>
      <c r="U867" s="25">
        <f t="shared" si="450"/>
        <v>2</v>
      </c>
      <c r="V867" s="26" t="str">
        <f t="shared" si="451"/>
        <v/>
      </c>
    </row>
    <row r="868" spans="1:22" ht="48" customHeight="1" x14ac:dyDescent="0.25">
      <c r="A868" s="17">
        <f>VLOOKUP(C868,[1]Werke!$A$1:$C$168,3,0)</f>
        <v>17</v>
      </c>
      <c r="B868" s="17" t="str">
        <f>VLOOKUP(C868,[1]Werke!$A$1:$C$168,2,0)</f>
        <v>H2B</v>
      </c>
      <c r="C868" s="20" t="s">
        <v>289</v>
      </c>
      <c r="D868" s="17" t="str">
        <f>VLOOKUP(C868,[1]Maliteslimalan!$A$1:$B$210,2,0)</f>
        <v>8000012624</v>
      </c>
      <c r="E868" s="19" t="str">
        <f>VLOOKUP(C868,[1]Bestellnr.!$A$1:$B$174,2,0)</f>
        <v>000006</v>
      </c>
      <c r="F868" s="20" t="str">
        <f t="shared" si="442"/>
        <v>N   907 988 05</v>
      </c>
      <c r="G868" s="21">
        <v>970697000</v>
      </c>
      <c r="H868" s="17">
        <f t="shared" si="443"/>
        <v>9.2599999999999991E-3</v>
      </c>
      <c r="I868" s="20"/>
      <c r="J868" s="17">
        <f t="shared" si="444"/>
        <v>1550</v>
      </c>
      <c r="K868" s="17">
        <f t="shared" si="445"/>
        <v>0</v>
      </c>
      <c r="L868" s="22">
        <v>10</v>
      </c>
      <c r="M868" s="22">
        <v>30</v>
      </c>
      <c r="N868" s="22">
        <v>111444</v>
      </c>
      <c r="O868" s="22" t="str">
        <f t="shared" si="446"/>
        <v>001006</v>
      </c>
      <c r="P868" s="22">
        <f t="shared" si="447"/>
        <v>34</v>
      </c>
      <c r="Q868" s="22"/>
      <c r="R868" s="23" t="s">
        <v>153</v>
      </c>
      <c r="S868" s="22">
        <f t="shared" si="448"/>
        <v>0.56999999999999995</v>
      </c>
      <c r="T868" s="24">
        <f t="shared" si="449"/>
        <v>0</v>
      </c>
      <c r="U868" s="25">
        <f t="shared" si="450"/>
        <v>2</v>
      </c>
      <c r="V868" s="26" t="str">
        <f t="shared" si="451"/>
        <v/>
      </c>
    </row>
    <row r="869" spans="1:22" ht="48" customHeight="1" x14ac:dyDescent="0.25">
      <c r="A869" s="17" t="str">
        <f>VLOOKUP(C869,[1]Werke!$A$1:$C$168,3,0)</f>
        <v>26D</v>
      </c>
      <c r="B869" s="17" t="str">
        <f>VLOOKUP(C869,[1]Werke!$A$1:$C$168,2,0)</f>
        <v>G18</v>
      </c>
      <c r="C869" s="18" t="s">
        <v>257</v>
      </c>
      <c r="D869" s="17" t="str">
        <f>VLOOKUP(C869,[1]Maliteslimalan!$A$1:$B$210,2,0)</f>
        <v>8000012600</v>
      </c>
      <c r="E869" s="19">
        <f>VLOOKUP(C869,[1]Bestellnr.!$A$1:$B$174,2,0)</f>
        <v>0</v>
      </c>
      <c r="F869" s="20" t="str">
        <f t="shared" si="442"/>
        <v>N   907 988 05</v>
      </c>
      <c r="G869" s="21">
        <v>970697000</v>
      </c>
      <c r="H869" s="17">
        <f t="shared" si="443"/>
        <v>9.2599999999999991E-3</v>
      </c>
      <c r="I869" s="20"/>
      <c r="J869" s="17">
        <f t="shared" si="444"/>
        <v>1550</v>
      </c>
      <c r="K869" s="17">
        <f t="shared" si="445"/>
        <v>0</v>
      </c>
      <c r="L869" s="22">
        <v>10</v>
      </c>
      <c r="M869" s="22">
        <v>10</v>
      </c>
      <c r="N869" s="22">
        <v>111444</v>
      </c>
      <c r="O869" s="22" t="str">
        <f t="shared" si="446"/>
        <v>001006</v>
      </c>
      <c r="P869" s="22">
        <f t="shared" si="447"/>
        <v>34</v>
      </c>
      <c r="Q869" s="22"/>
      <c r="R869" s="23" t="s">
        <v>153</v>
      </c>
      <c r="S869" s="22">
        <f t="shared" si="448"/>
        <v>0.56999999999999995</v>
      </c>
      <c r="T869" s="24">
        <f t="shared" si="449"/>
        <v>0</v>
      </c>
      <c r="U869" s="25">
        <f t="shared" si="450"/>
        <v>2</v>
      </c>
      <c r="V869" s="26" t="str">
        <f t="shared" si="451"/>
        <v/>
      </c>
    </row>
    <row r="870" spans="1:22" ht="48" customHeight="1" x14ac:dyDescent="0.25">
      <c r="A870" s="17">
        <f>VLOOKUP(C870,[1]Werke!$A$1:$C$168,3,0)</f>
        <v>27</v>
      </c>
      <c r="B870" s="17" t="str">
        <f>VLOOKUP(C870,[1]Werke!$A$1:$C$168,2,0)</f>
        <v>EFL</v>
      </c>
      <c r="C870" s="18" t="s">
        <v>290</v>
      </c>
      <c r="D870" s="17" t="str">
        <f>VLOOKUP(C870,[1]Maliteslimalan!$A$1:$B$210,2,0)</f>
        <v>8000012573</v>
      </c>
      <c r="E870" s="19" t="str">
        <f>VLOOKUP(C870,[1]Bestellnr.!$A$1:$B$174,2,0)</f>
        <v>000006</v>
      </c>
      <c r="F870" s="20" t="str">
        <f t="shared" si="442"/>
        <v>N   907 988 05</v>
      </c>
      <c r="G870" s="21">
        <v>970697000</v>
      </c>
      <c r="H870" s="17">
        <f t="shared" si="443"/>
        <v>9.2599999999999991E-3</v>
      </c>
      <c r="I870" s="20"/>
      <c r="J870" s="17">
        <f t="shared" si="444"/>
        <v>1550</v>
      </c>
      <c r="K870" s="17">
        <f t="shared" si="445"/>
        <v>0</v>
      </c>
      <c r="L870" s="22">
        <v>10</v>
      </c>
      <c r="M870" s="22">
        <v>30</v>
      </c>
      <c r="N870" s="22">
        <v>111444</v>
      </c>
      <c r="O870" s="22" t="str">
        <f t="shared" si="446"/>
        <v>001006</v>
      </c>
      <c r="P870" s="22">
        <f t="shared" si="447"/>
        <v>34</v>
      </c>
      <c r="Q870" s="22"/>
      <c r="R870" s="23" t="s">
        <v>153</v>
      </c>
      <c r="S870" s="22">
        <f t="shared" si="448"/>
        <v>0.56999999999999995</v>
      </c>
      <c r="T870" s="24">
        <f t="shared" si="449"/>
        <v>0</v>
      </c>
      <c r="U870" s="25">
        <f t="shared" si="450"/>
        <v>2</v>
      </c>
      <c r="V870" s="26" t="str">
        <f t="shared" si="451"/>
        <v/>
      </c>
    </row>
    <row r="871" spans="1:22" ht="48" customHeight="1" x14ac:dyDescent="0.25">
      <c r="A871" s="17">
        <f>VLOOKUP(C871,[1]Werke!$A$1:$C$168,3,0)</f>
        <v>24</v>
      </c>
      <c r="B871" s="17" t="str">
        <f>VLOOKUP(C871,[1]Werke!$A$1:$C$168,2,0)</f>
        <v>CKH</v>
      </c>
      <c r="C871" s="18" t="s">
        <v>224</v>
      </c>
      <c r="D871" s="17">
        <f>VLOOKUP(C871,[1]Maliteslimalan!$A$1:$B$210,2,0)</f>
        <v>8000013551</v>
      </c>
      <c r="E871" s="19">
        <v>6</v>
      </c>
      <c r="F871" s="20" t="str">
        <f t="shared" si="442"/>
        <v>N   907 988 05</v>
      </c>
      <c r="G871" s="21">
        <v>970697000</v>
      </c>
      <c r="H871" s="17">
        <f t="shared" si="443"/>
        <v>9.2599999999999991E-3</v>
      </c>
      <c r="I871" s="20"/>
      <c r="J871" s="17">
        <f t="shared" si="444"/>
        <v>1550</v>
      </c>
      <c r="K871" s="17">
        <f t="shared" si="445"/>
        <v>0</v>
      </c>
      <c r="L871" s="22">
        <v>10</v>
      </c>
      <c r="M871" s="22">
        <v>30</v>
      </c>
      <c r="N871" s="22">
        <v>111444</v>
      </c>
      <c r="O871" s="22" t="str">
        <f t="shared" si="446"/>
        <v>001006</v>
      </c>
      <c r="P871" s="22">
        <f t="shared" si="447"/>
        <v>34</v>
      </c>
      <c r="Q871" s="22"/>
      <c r="R871" s="23" t="s">
        <v>153</v>
      </c>
      <c r="S871" s="22">
        <f t="shared" si="448"/>
        <v>0.56999999999999995</v>
      </c>
      <c r="T871" s="24">
        <f t="shared" si="449"/>
        <v>0</v>
      </c>
      <c r="U871" s="25">
        <f t="shared" si="450"/>
        <v>2</v>
      </c>
      <c r="V871" s="26" t="str">
        <f t="shared" si="451"/>
        <v/>
      </c>
    </row>
    <row r="872" spans="1:22" ht="48" customHeight="1" x14ac:dyDescent="0.25">
      <c r="A872" s="17" t="str">
        <f>VLOOKUP(C872,[1]Werke!$A$1:$C$168,3,0)</f>
        <v>IM</v>
      </c>
      <c r="B872" s="17">
        <f>VLOOKUP(C872,[1]Werke!$A$1:$C$168,2,0)</f>
        <v>889</v>
      </c>
      <c r="C872" s="18" t="s">
        <v>225</v>
      </c>
      <c r="D872" s="17">
        <f>VLOOKUP(C872,[1]Maliteslimalan!$A$1:$B$210,2,0)</f>
        <v>8000017117</v>
      </c>
      <c r="E872" s="19">
        <v>6</v>
      </c>
      <c r="F872" s="20" t="str">
        <f t="shared" si="442"/>
        <v>N   907 988 05</v>
      </c>
      <c r="G872" s="21">
        <v>970697000</v>
      </c>
      <c r="H872" s="17">
        <f t="shared" si="443"/>
        <v>9.2599999999999991E-3</v>
      </c>
      <c r="I872" s="20"/>
      <c r="J872" s="17">
        <f t="shared" si="444"/>
        <v>1550</v>
      </c>
      <c r="K872" s="17">
        <f t="shared" si="445"/>
        <v>0</v>
      </c>
      <c r="L872" s="22">
        <v>20</v>
      </c>
      <c r="M872" s="22">
        <v>60</v>
      </c>
      <c r="N872" s="22" t="s">
        <v>155</v>
      </c>
      <c r="O872" s="22" t="str">
        <f t="shared" si="446"/>
        <v>001210</v>
      </c>
      <c r="P872" s="22">
        <f t="shared" si="447"/>
        <v>55</v>
      </c>
      <c r="Q872" s="22"/>
      <c r="R872" s="23" t="s">
        <v>153</v>
      </c>
      <c r="S872" s="22">
        <f t="shared" si="448"/>
        <v>0.56999999999999995</v>
      </c>
      <c r="T872" s="24">
        <f t="shared" si="449"/>
        <v>0</v>
      </c>
      <c r="U872" s="25">
        <f t="shared" si="450"/>
        <v>2</v>
      </c>
      <c r="V872" s="26" t="str">
        <f t="shared" si="451"/>
        <v/>
      </c>
    </row>
    <row r="873" spans="1:22" ht="48" customHeight="1" x14ac:dyDescent="0.25">
      <c r="A873" s="17" t="str">
        <f>VLOOKUP(C873,[1]Werke!$A$1:$C$168,3,0)</f>
        <v>LD</v>
      </c>
      <c r="B873" s="17" t="str">
        <f>VLOOKUP(C873,[1]Werke!$A$1:$C$168,2,0)</f>
        <v>SLD</v>
      </c>
      <c r="C873" s="18">
        <v>83630</v>
      </c>
      <c r="D873" s="17" t="str">
        <f>VLOOKUP(C873,[1]Maliteslimalan!$A$1:$B$210,2,0)</f>
        <v>8000012862</v>
      </c>
      <c r="E873" s="19" t="str">
        <f>VLOOKUP(C873,[1]Bestellnr.!$A$1:$B$174,2,0)</f>
        <v>000006</v>
      </c>
      <c r="F873" s="20" t="str">
        <f t="shared" si="442"/>
        <v>N   907 988 05</v>
      </c>
      <c r="G873" s="21">
        <v>970697000</v>
      </c>
      <c r="H873" s="17">
        <f t="shared" si="443"/>
        <v>9.2599999999999991E-3</v>
      </c>
      <c r="I873" s="20"/>
      <c r="J873" s="17">
        <f t="shared" si="444"/>
        <v>1550</v>
      </c>
      <c r="K873" s="17">
        <f t="shared" si="445"/>
        <v>0</v>
      </c>
      <c r="L873" s="22">
        <v>20</v>
      </c>
      <c r="M873" s="22">
        <v>60</v>
      </c>
      <c r="N873" s="22" t="s">
        <v>155</v>
      </c>
      <c r="O873" s="22" t="str">
        <f t="shared" si="446"/>
        <v>001210</v>
      </c>
      <c r="P873" s="22">
        <f t="shared" si="447"/>
        <v>55</v>
      </c>
      <c r="Q873" s="22"/>
      <c r="R873" s="23" t="s">
        <v>153</v>
      </c>
      <c r="S873" s="22">
        <f t="shared" si="448"/>
        <v>0.56999999999999995</v>
      </c>
      <c r="T873" s="24">
        <f t="shared" si="449"/>
        <v>0</v>
      </c>
      <c r="U873" s="25">
        <f t="shared" si="450"/>
        <v>2</v>
      </c>
      <c r="V873" s="26" t="str">
        <f t="shared" si="451"/>
        <v/>
      </c>
    </row>
    <row r="874" spans="1:22" ht="48" customHeight="1" x14ac:dyDescent="0.25">
      <c r="A874" s="17" t="str">
        <f>VLOOKUP(C874,[1]Werke!$A$1:$C$168,3,0)</f>
        <v>16D</v>
      </c>
      <c r="B874" s="17">
        <f>VLOOKUP(C874,[1]Werke!$A$1:$C$168,2,0)</f>
        <v>210</v>
      </c>
      <c r="C874" s="18" t="s">
        <v>226</v>
      </c>
      <c r="D874" s="17" t="str">
        <f>VLOOKUP(C874,[1]Maliteslimalan!$A$1:$B$210,2,0)</f>
        <v>8000012565</v>
      </c>
      <c r="E874" s="19">
        <f>VLOOKUP(C874,[1]Bestellnr.!$A$1:$B$174,2,0)</f>
        <v>0</v>
      </c>
      <c r="F874" s="20" t="str">
        <f t="shared" si="442"/>
        <v>N   907 988 05</v>
      </c>
      <c r="G874" s="21">
        <v>970697000</v>
      </c>
      <c r="H874" s="17">
        <f t="shared" si="443"/>
        <v>9.2599999999999991E-3</v>
      </c>
      <c r="I874" s="20"/>
      <c r="J874" s="17">
        <f t="shared" si="444"/>
        <v>1550</v>
      </c>
      <c r="K874" s="17">
        <f t="shared" si="445"/>
        <v>0</v>
      </c>
      <c r="L874" s="22">
        <v>10</v>
      </c>
      <c r="M874" s="22">
        <v>30</v>
      </c>
      <c r="N874" s="22">
        <v>111444</v>
      </c>
      <c r="O874" s="22" t="str">
        <f t="shared" si="446"/>
        <v>001006</v>
      </c>
      <c r="P874" s="22">
        <f t="shared" si="447"/>
        <v>34</v>
      </c>
      <c r="Q874" s="22"/>
      <c r="R874" s="23" t="s">
        <v>153</v>
      </c>
      <c r="S874" s="22">
        <f t="shared" si="448"/>
        <v>0.56999999999999995</v>
      </c>
      <c r="T874" s="24">
        <f t="shared" si="449"/>
        <v>0</v>
      </c>
      <c r="U874" s="25">
        <f t="shared" si="450"/>
        <v>2</v>
      </c>
      <c r="V874" s="26" t="str">
        <f t="shared" si="451"/>
        <v/>
      </c>
    </row>
    <row r="875" spans="1:22" ht="48" customHeight="1" x14ac:dyDescent="0.25">
      <c r="A875" s="17">
        <f>VLOOKUP(C875,[1]Werke!$A$1:$C$168,3,0)</f>
        <v>11</v>
      </c>
      <c r="B875" s="17" t="str">
        <f>VLOOKUP(C875,[1]Werke!$A$1:$C$168,2,0)</f>
        <v>03A</v>
      </c>
      <c r="C875" s="18" t="s">
        <v>263</v>
      </c>
      <c r="D875" s="17" t="str">
        <f>VLOOKUP(C875,[1]Maliteslimalan!$A$1:$B$210,2,0)</f>
        <v>8000012567</v>
      </c>
      <c r="E875" s="19" t="str">
        <f>VLOOKUP(C875,[1]Bestellnr.!$A$1:$B$174,2,0)</f>
        <v>000006</v>
      </c>
      <c r="F875" s="20" t="str">
        <f t="shared" si="442"/>
        <v>N   907 988 05</v>
      </c>
      <c r="G875" s="21">
        <v>970697000</v>
      </c>
      <c r="H875" s="17">
        <f t="shared" si="443"/>
        <v>9.2599999999999991E-3</v>
      </c>
      <c r="I875" s="20"/>
      <c r="J875" s="17">
        <f t="shared" si="444"/>
        <v>1550</v>
      </c>
      <c r="K875" s="17">
        <f t="shared" si="445"/>
        <v>0</v>
      </c>
      <c r="L875" s="22">
        <v>20</v>
      </c>
      <c r="M875" s="22">
        <v>60</v>
      </c>
      <c r="N875" s="22" t="s">
        <v>155</v>
      </c>
      <c r="O875" s="22" t="str">
        <f t="shared" si="446"/>
        <v>001210</v>
      </c>
      <c r="P875" s="22">
        <f t="shared" si="447"/>
        <v>55</v>
      </c>
      <c r="Q875" s="22"/>
      <c r="R875" s="23" t="s">
        <v>153</v>
      </c>
      <c r="S875" s="22">
        <f t="shared" si="448"/>
        <v>0.56999999999999995</v>
      </c>
      <c r="T875" s="24">
        <f t="shared" si="449"/>
        <v>0</v>
      </c>
      <c r="U875" s="25">
        <f t="shared" si="450"/>
        <v>2</v>
      </c>
      <c r="V875" s="26" t="str">
        <f t="shared" si="451"/>
        <v/>
      </c>
    </row>
    <row r="876" spans="1:22" ht="48" customHeight="1" x14ac:dyDescent="0.25">
      <c r="A876" s="17">
        <f>VLOOKUP(C876,[1]Werke!$A$1:$C$168,3,0)</f>
        <v>12</v>
      </c>
      <c r="B876" s="17" t="str">
        <f>VLOOKUP(C876,[1]Werke!$A$1:$C$168,2,0)</f>
        <v>AKL</v>
      </c>
      <c r="C876" s="18" t="s">
        <v>312</v>
      </c>
      <c r="D876" s="17" t="str">
        <f>VLOOKUP(C876,[1]Maliteslimalan!$A$1:$B$210,2,0)</f>
        <v>8000012897</v>
      </c>
      <c r="E876" s="19" t="str">
        <f>VLOOKUP(C876,[1]Bestellnr.!$A$1:$B$174,2,0)</f>
        <v>000006</v>
      </c>
      <c r="F876" s="20" t="str">
        <f t="shared" si="442"/>
        <v>N   907 988 05</v>
      </c>
      <c r="G876" s="21">
        <v>970697000</v>
      </c>
      <c r="H876" s="17">
        <f t="shared" si="443"/>
        <v>9.2599999999999991E-3</v>
      </c>
      <c r="I876" s="20"/>
      <c r="J876" s="17">
        <f t="shared" si="444"/>
        <v>1550</v>
      </c>
      <c r="K876" s="17">
        <f t="shared" si="445"/>
        <v>0</v>
      </c>
      <c r="L876" s="22">
        <v>10</v>
      </c>
      <c r="M876" s="22">
        <v>30</v>
      </c>
      <c r="N876" s="22">
        <v>111444</v>
      </c>
      <c r="O876" s="22" t="str">
        <f t="shared" si="446"/>
        <v>001006</v>
      </c>
      <c r="P876" s="22">
        <f t="shared" si="447"/>
        <v>34</v>
      </c>
      <c r="Q876" s="22"/>
      <c r="R876" s="23" t="s">
        <v>153</v>
      </c>
      <c r="S876" s="22">
        <f t="shared" si="448"/>
        <v>0.56999999999999995</v>
      </c>
      <c r="T876" s="24">
        <f t="shared" si="449"/>
        <v>0</v>
      </c>
      <c r="U876" s="25">
        <f t="shared" si="450"/>
        <v>2</v>
      </c>
      <c r="V876" s="26" t="str">
        <f t="shared" si="451"/>
        <v/>
      </c>
    </row>
    <row r="877" spans="1:22" ht="48" customHeight="1" x14ac:dyDescent="0.25">
      <c r="A877" s="17">
        <f>VLOOKUP(C877,[1]Werke!$A$1:$C$168,3,0)</f>
        <v>28</v>
      </c>
      <c r="B877" s="17" t="str">
        <f>VLOOKUP(C877,[1]Werke!$A$1:$C$168,2,0)</f>
        <v>S1</v>
      </c>
      <c r="C877" s="18" t="s">
        <v>318</v>
      </c>
      <c r="D877" s="17" t="str">
        <f>VLOOKUP(C877,[1]Maliteslimalan!$A$1:$B$210,2,0)</f>
        <v>8000012653</v>
      </c>
      <c r="E877" s="19" t="str">
        <f>VLOOKUP(C877,[1]Bestellnr.!$A$1:$B$174,2,0)</f>
        <v>000006</v>
      </c>
      <c r="F877" s="20" t="str">
        <f t="shared" si="442"/>
        <v>N   907 988 05</v>
      </c>
      <c r="G877" s="21">
        <v>970697000</v>
      </c>
      <c r="H877" s="17">
        <f t="shared" si="443"/>
        <v>9.2599999999999991E-3</v>
      </c>
      <c r="I877" s="20"/>
      <c r="J877" s="17">
        <f t="shared" si="444"/>
        <v>1550</v>
      </c>
      <c r="K877" s="17">
        <f t="shared" si="445"/>
        <v>0</v>
      </c>
      <c r="L877" s="22">
        <v>20</v>
      </c>
      <c r="M877" s="22">
        <v>60</v>
      </c>
      <c r="N877" s="22" t="s">
        <v>155</v>
      </c>
      <c r="O877" s="22" t="str">
        <f t="shared" si="446"/>
        <v>001210</v>
      </c>
      <c r="P877" s="22">
        <f t="shared" si="447"/>
        <v>55</v>
      </c>
      <c r="Q877" s="22"/>
      <c r="R877" s="23" t="s">
        <v>153</v>
      </c>
      <c r="S877" s="22">
        <f t="shared" si="448"/>
        <v>0.56999999999999995</v>
      </c>
      <c r="T877" s="24">
        <f t="shared" si="449"/>
        <v>0</v>
      </c>
      <c r="U877" s="25">
        <f t="shared" si="450"/>
        <v>2</v>
      </c>
      <c r="V877" s="26" t="str">
        <f t="shared" si="451"/>
        <v/>
      </c>
    </row>
    <row r="878" spans="1:22" ht="48" customHeight="1" x14ac:dyDescent="0.25">
      <c r="A878" s="17">
        <f>VLOOKUP(C878,[1]Werke!$A$1:$C$168,3,0)</f>
        <v>22</v>
      </c>
      <c r="B878" s="17" t="str">
        <f>VLOOKUP(C878,[1]Werke!$A$1:$C$168,2,0)</f>
        <v>13P</v>
      </c>
      <c r="C878" s="18" t="s">
        <v>230</v>
      </c>
      <c r="D878" s="17" t="str">
        <f>VLOOKUP(C878,[1]Maliteslimalan!$A$1:$B$210,2,0)</f>
        <v>8000013344</v>
      </c>
      <c r="E878" s="19" t="str">
        <f>VLOOKUP(C878,[1]Bestellnr.!$A$1:$B$174,2,0)</f>
        <v>000006</v>
      </c>
      <c r="F878" s="20" t="str">
        <f t="shared" si="442"/>
        <v>N   907 988 05</v>
      </c>
      <c r="G878" s="21">
        <v>970697000</v>
      </c>
      <c r="H878" s="17">
        <f t="shared" si="443"/>
        <v>9.2599999999999991E-3</v>
      </c>
      <c r="I878" s="20"/>
      <c r="J878" s="17">
        <f t="shared" si="444"/>
        <v>1550</v>
      </c>
      <c r="K878" s="17">
        <f t="shared" si="445"/>
        <v>0</v>
      </c>
      <c r="L878" s="22">
        <v>10</v>
      </c>
      <c r="M878" s="22">
        <v>20</v>
      </c>
      <c r="N878" s="22">
        <v>111444</v>
      </c>
      <c r="O878" s="22" t="str">
        <f t="shared" si="446"/>
        <v>001006</v>
      </c>
      <c r="P878" s="22">
        <f t="shared" si="447"/>
        <v>34</v>
      </c>
      <c r="Q878" s="22"/>
      <c r="R878" s="23" t="s">
        <v>153</v>
      </c>
      <c r="S878" s="22">
        <f t="shared" si="448"/>
        <v>0.56999999999999995</v>
      </c>
      <c r="T878" s="24">
        <f t="shared" si="449"/>
        <v>0</v>
      </c>
      <c r="U878" s="25">
        <f t="shared" si="450"/>
        <v>2</v>
      </c>
      <c r="V878" s="26" t="str">
        <f t="shared" si="451"/>
        <v/>
      </c>
    </row>
    <row r="879" spans="1:22" ht="48" customHeight="1" x14ac:dyDescent="0.25">
      <c r="A879" s="17">
        <f>VLOOKUP(C879,[1]Werke!$A$1:$C$168,3,0)</f>
        <v>37</v>
      </c>
      <c r="B879" s="17" t="str">
        <f>VLOOKUP(C879,[1]Werke!$A$1:$C$168,2,0)</f>
        <v>AKL</v>
      </c>
      <c r="C879" s="18" t="s">
        <v>232</v>
      </c>
      <c r="D879" s="17" t="str">
        <f>VLOOKUP(C879,[1]Maliteslimalan!$A$1:$B$210,2,0)</f>
        <v>8000012562</v>
      </c>
      <c r="E879" s="19" t="str">
        <f>VLOOKUP(C879,[1]Bestellnr.!$A$1:$B$174,2,0)</f>
        <v>000006</v>
      </c>
      <c r="F879" s="20" t="str">
        <f t="shared" si="442"/>
        <v>N   907 988 05</v>
      </c>
      <c r="G879" s="21">
        <v>970697000</v>
      </c>
      <c r="H879" s="17">
        <f t="shared" si="443"/>
        <v>9.2599999999999991E-3</v>
      </c>
      <c r="I879" s="20"/>
      <c r="J879" s="17">
        <f t="shared" si="444"/>
        <v>1550</v>
      </c>
      <c r="K879" s="17">
        <f t="shared" si="445"/>
        <v>0</v>
      </c>
      <c r="L879" s="22">
        <v>10</v>
      </c>
      <c r="M879" s="22">
        <v>10</v>
      </c>
      <c r="N879" s="22">
        <v>111444</v>
      </c>
      <c r="O879" s="22" t="str">
        <f t="shared" si="446"/>
        <v>001006</v>
      </c>
      <c r="P879" s="22">
        <f t="shared" si="447"/>
        <v>34</v>
      </c>
      <c r="Q879" s="22"/>
      <c r="R879" s="23" t="s">
        <v>153</v>
      </c>
      <c r="S879" s="22">
        <f t="shared" si="448"/>
        <v>0.56999999999999995</v>
      </c>
      <c r="T879" s="24">
        <f t="shared" si="449"/>
        <v>0</v>
      </c>
      <c r="U879" s="25">
        <f t="shared" si="450"/>
        <v>2</v>
      </c>
      <c r="V879" s="26" t="str">
        <f t="shared" si="451"/>
        <v/>
      </c>
    </row>
    <row r="880" spans="1:22" ht="48" customHeight="1" x14ac:dyDescent="0.25">
      <c r="A880" s="17">
        <f>VLOOKUP(C880,[1]Werke!$A$1:$C$168,3,0)</f>
        <v>31</v>
      </c>
      <c r="B880" s="17" t="str">
        <f>VLOOKUP(C880,[1]Werke!$A$1:$C$168,2,0)</f>
        <v>B62</v>
      </c>
      <c r="C880" s="18">
        <v>10362</v>
      </c>
      <c r="D880" s="17" t="str">
        <f>VLOOKUP(C880,[1]Maliteslimalan!$A$1:$B$210,2,0)</f>
        <v>8000012742</v>
      </c>
      <c r="E880" s="19">
        <v>6</v>
      </c>
      <c r="F880" s="20" t="str">
        <f t="shared" si="442"/>
        <v>N   907 988 05</v>
      </c>
      <c r="G880" s="21">
        <v>970697000</v>
      </c>
      <c r="H880" s="17">
        <f t="shared" si="443"/>
        <v>9.2599999999999991E-3</v>
      </c>
      <c r="I880" s="20"/>
      <c r="J880" s="17">
        <f t="shared" si="444"/>
        <v>1550</v>
      </c>
      <c r="K880" s="17">
        <f t="shared" si="445"/>
        <v>0</v>
      </c>
      <c r="L880" s="22">
        <v>10</v>
      </c>
      <c r="M880" s="22">
        <v>10</v>
      </c>
      <c r="N880" s="22">
        <v>111444</v>
      </c>
      <c r="O880" s="22" t="str">
        <f t="shared" si="446"/>
        <v>001006</v>
      </c>
      <c r="P880" s="22">
        <f t="shared" si="447"/>
        <v>34</v>
      </c>
      <c r="Q880" s="22"/>
      <c r="R880" s="23" t="s">
        <v>153</v>
      </c>
      <c r="S880" s="22">
        <f t="shared" si="448"/>
        <v>0.56999999999999995</v>
      </c>
      <c r="T880" s="24">
        <f t="shared" si="449"/>
        <v>0</v>
      </c>
      <c r="U880" s="25">
        <f t="shared" si="450"/>
        <v>2</v>
      </c>
      <c r="V880" s="26" t="str">
        <f t="shared" si="451"/>
        <v/>
      </c>
    </row>
    <row r="881" spans="1:22" ht="48" customHeight="1" x14ac:dyDescent="0.25">
      <c r="A881" s="17">
        <f>VLOOKUP(C881,[1]Werke!$A$1:$C$168,3,0)</f>
        <v>33</v>
      </c>
      <c r="B881" s="17" t="str">
        <f>VLOOKUP(C881,[1]Werke!$A$1:$C$168,2,0)</f>
        <v>KK3</v>
      </c>
      <c r="C881" s="18" t="s">
        <v>291</v>
      </c>
      <c r="D881" s="17" t="str">
        <f>VLOOKUP(C881,[1]Maliteslimalan!$A$1:$B$210,2,0)</f>
        <v>8000012794</v>
      </c>
      <c r="E881" s="19" t="str">
        <f>VLOOKUP(C881,[1]Bestellnr.!$A$1:$B$174,2,0)</f>
        <v>000055</v>
      </c>
      <c r="F881" s="20" t="str">
        <f t="shared" si="442"/>
        <v>N   907 988 05</v>
      </c>
      <c r="G881" s="21">
        <v>970697000</v>
      </c>
      <c r="H881" s="17">
        <f t="shared" si="443"/>
        <v>9.2599999999999991E-3</v>
      </c>
      <c r="I881" s="20"/>
      <c r="J881" s="17">
        <f t="shared" si="444"/>
        <v>1550</v>
      </c>
      <c r="K881" s="17">
        <f t="shared" si="445"/>
        <v>0</v>
      </c>
      <c r="L881" s="22">
        <v>10</v>
      </c>
      <c r="M881" s="22">
        <v>10</v>
      </c>
      <c r="N881" s="22">
        <v>111444</v>
      </c>
      <c r="O881" s="22" t="str">
        <f t="shared" si="446"/>
        <v>001006</v>
      </c>
      <c r="P881" s="22">
        <f t="shared" si="447"/>
        <v>34</v>
      </c>
      <c r="Q881" s="22"/>
      <c r="R881" s="23" t="s">
        <v>153</v>
      </c>
      <c r="S881" s="22">
        <f t="shared" si="448"/>
        <v>0.56999999999999995</v>
      </c>
      <c r="T881" s="24">
        <f t="shared" si="449"/>
        <v>0</v>
      </c>
      <c r="U881" s="25">
        <f t="shared" si="450"/>
        <v>2</v>
      </c>
      <c r="V881" s="26" t="str">
        <f t="shared" si="451"/>
        <v/>
      </c>
    </row>
    <row r="882" spans="1:22" ht="48" customHeight="1" x14ac:dyDescent="0.25">
      <c r="A882" s="17">
        <f>VLOOKUP(C882,[1]Werke!$A$1:$C$168,3,0)</f>
        <v>40</v>
      </c>
      <c r="B882" s="17">
        <f>VLOOKUP(C882,[1]Werke!$A$1:$C$168,2,0)</f>
        <v>404</v>
      </c>
      <c r="C882" s="18" t="s">
        <v>323</v>
      </c>
      <c r="D882" s="17" t="str">
        <f>VLOOKUP(C882,[1]Maliteslimalan!$A$1:$B$210,2,0)</f>
        <v>8000012743</v>
      </c>
      <c r="E882" s="19" t="str">
        <f>VLOOKUP(C882,[1]Bestellnr.!$A$1:$B$174,2,0)</f>
        <v>000001</v>
      </c>
      <c r="F882" s="20" t="str">
        <f t="shared" si="442"/>
        <v>N   907 988 05</v>
      </c>
      <c r="G882" s="21">
        <v>970697000</v>
      </c>
      <c r="H882" s="17">
        <f t="shared" si="443"/>
        <v>9.2599999999999991E-3</v>
      </c>
      <c r="I882" s="20"/>
      <c r="J882" s="17">
        <f t="shared" si="444"/>
        <v>1550</v>
      </c>
      <c r="K882" s="17">
        <f t="shared" si="445"/>
        <v>0</v>
      </c>
      <c r="L882" s="22">
        <v>10</v>
      </c>
      <c r="M882" s="22">
        <v>30</v>
      </c>
      <c r="N882" s="22">
        <v>111444</v>
      </c>
      <c r="O882" s="22" t="str">
        <f t="shared" si="446"/>
        <v>001006</v>
      </c>
      <c r="P882" s="22">
        <f t="shared" si="447"/>
        <v>34</v>
      </c>
      <c r="Q882" s="22"/>
      <c r="R882" s="23" t="s">
        <v>153</v>
      </c>
      <c r="S882" s="22">
        <f t="shared" si="448"/>
        <v>0.56999999999999995</v>
      </c>
      <c r="T882" s="24">
        <f t="shared" si="449"/>
        <v>0</v>
      </c>
      <c r="U882" s="25">
        <f t="shared" si="450"/>
        <v>2</v>
      </c>
      <c r="V882" s="26" t="str">
        <f t="shared" si="451"/>
        <v/>
      </c>
    </row>
    <row r="883" spans="1:22" ht="48" customHeight="1" x14ac:dyDescent="0.25">
      <c r="A883" s="17">
        <f>VLOOKUP(C883,[1]Werke!$A$1:$C$168,3,0)</f>
        <v>43</v>
      </c>
      <c r="B883" s="17" t="str">
        <f>VLOOKUP(C883,[1]Werke!$A$1:$C$168,2,0)</f>
        <v>FGK</v>
      </c>
      <c r="C883" s="18" t="s">
        <v>292</v>
      </c>
      <c r="D883" s="17" t="str">
        <f>VLOOKUP(C883,[1]Maliteslimalan!$A$1:$B$210,2,0)</f>
        <v>8000012785</v>
      </c>
      <c r="E883" s="19" t="str">
        <f>VLOOKUP(C883,[1]Bestellnr.!$A$1:$B$174,2,0)</f>
        <v>000006</v>
      </c>
      <c r="F883" s="20" t="str">
        <f t="shared" si="442"/>
        <v>N   907 988 05</v>
      </c>
      <c r="G883" s="21">
        <v>970697000</v>
      </c>
      <c r="H883" s="17">
        <f t="shared" si="443"/>
        <v>9.2599999999999991E-3</v>
      </c>
      <c r="I883" s="20"/>
      <c r="J883" s="17">
        <f t="shared" si="444"/>
        <v>1550</v>
      </c>
      <c r="K883" s="17">
        <f t="shared" si="445"/>
        <v>0</v>
      </c>
      <c r="L883" s="22">
        <v>20</v>
      </c>
      <c r="M883" s="22">
        <v>60</v>
      </c>
      <c r="N883" s="22" t="s">
        <v>155</v>
      </c>
      <c r="O883" s="22" t="str">
        <f t="shared" si="446"/>
        <v>001210</v>
      </c>
      <c r="P883" s="22">
        <f t="shared" si="447"/>
        <v>55</v>
      </c>
      <c r="Q883" s="22"/>
      <c r="R883" s="23" t="s">
        <v>153</v>
      </c>
      <c r="S883" s="22">
        <f t="shared" si="448"/>
        <v>0.56999999999999995</v>
      </c>
      <c r="T883" s="24">
        <f t="shared" si="449"/>
        <v>0</v>
      </c>
      <c r="U883" s="25">
        <f t="shared" si="450"/>
        <v>2</v>
      </c>
      <c r="V883" s="26" t="str">
        <f t="shared" si="451"/>
        <v/>
      </c>
    </row>
    <row r="884" spans="1:22" ht="48" customHeight="1" x14ac:dyDescent="0.25">
      <c r="A884" s="17" t="str">
        <f>VLOOKUP(C884,[1]Werke!$A$1:$C$168,3,0)</f>
        <v>26W</v>
      </c>
      <c r="B884" s="17" t="str">
        <f>VLOOKUP(C884,[1]Werke!$A$1:$C$168,2,0)</f>
        <v>G40</v>
      </c>
      <c r="C884" s="18" t="s">
        <v>324</v>
      </c>
      <c r="D884" s="17">
        <f>VLOOKUP(C884,[1]Maliteslimalan!$A$1:$B$210,2,0)</f>
        <v>8000012815</v>
      </c>
      <c r="E884" s="19">
        <v>6</v>
      </c>
      <c r="F884" s="20" t="str">
        <f t="shared" si="442"/>
        <v>N   907 988 05</v>
      </c>
      <c r="G884" s="21">
        <v>970697000</v>
      </c>
      <c r="H884" s="17">
        <f t="shared" si="443"/>
        <v>9.2599999999999991E-3</v>
      </c>
      <c r="I884" s="20"/>
      <c r="J884" s="17">
        <f t="shared" si="444"/>
        <v>1550</v>
      </c>
      <c r="K884" s="17">
        <f t="shared" si="445"/>
        <v>0</v>
      </c>
      <c r="L884" s="22">
        <v>10</v>
      </c>
      <c r="M884" s="22">
        <v>10</v>
      </c>
      <c r="N884" s="22">
        <v>111444</v>
      </c>
      <c r="O884" s="22" t="str">
        <f t="shared" si="446"/>
        <v>001006</v>
      </c>
      <c r="P884" s="22">
        <f t="shared" si="447"/>
        <v>34</v>
      </c>
      <c r="Q884" s="22"/>
      <c r="R884" s="23" t="s">
        <v>153</v>
      </c>
      <c r="S884" s="22">
        <f t="shared" si="448"/>
        <v>0.56999999999999995</v>
      </c>
      <c r="T884" s="24">
        <f t="shared" si="449"/>
        <v>0</v>
      </c>
      <c r="U884" s="25">
        <f t="shared" si="450"/>
        <v>2</v>
      </c>
      <c r="V884" s="26" t="str">
        <f t="shared" si="451"/>
        <v/>
      </c>
    </row>
    <row r="885" spans="1:22" ht="48" customHeight="1" x14ac:dyDescent="0.25">
      <c r="A885" s="17">
        <f>VLOOKUP(C885,[1]Werke!$A$1:$C$168,3,0)</f>
        <v>15</v>
      </c>
      <c r="B885" s="17" t="str">
        <f>VLOOKUP(C885,[1]Werke!$A$1:$C$168,2,0)</f>
        <v>H1A</v>
      </c>
      <c r="C885" s="18" t="s">
        <v>283</v>
      </c>
      <c r="D885" s="17" t="str">
        <f>VLOOKUP(C885,[1]Maliteslimalan!$A$1:$B$210,2,0)</f>
        <v>8000012621</v>
      </c>
      <c r="E885" s="19" t="str">
        <f>VLOOKUP(C885,[1]Bestellnr.!$A$1:$B$174,2,0)</f>
        <v>000006</v>
      </c>
      <c r="F885" s="20" t="str">
        <f t="shared" si="442"/>
        <v>N   907 988 05</v>
      </c>
      <c r="G885" s="21">
        <v>970697000</v>
      </c>
      <c r="H885" s="17">
        <f t="shared" si="443"/>
        <v>9.2599999999999991E-3</v>
      </c>
      <c r="I885" s="20"/>
      <c r="J885" s="17">
        <f t="shared" si="444"/>
        <v>1550</v>
      </c>
      <c r="K885" s="17">
        <f t="shared" si="445"/>
        <v>0</v>
      </c>
      <c r="L885" s="22">
        <v>10</v>
      </c>
      <c r="M885" s="22">
        <v>20</v>
      </c>
      <c r="N885" s="22">
        <v>111444</v>
      </c>
      <c r="O885" s="22" t="str">
        <f t="shared" si="446"/>
        <v>001006</v>
      </c>
      <c r="P885" s="22">
        <f t="shared" si="447"/>
        <v>34</v>
      </c>
      <c r="Q885" s="22"/>
      <c r="R885" s="23" t="s">
        <v>153</v>
      </c>
      <c r="S885" s="22">
        <f t="shared" si="448"/>
        <v>0.56999999999999995</v>
      </c>
      <c r="T885" s="24">
        <f t="shared" si="449"/>
        <v>0</v>
      </c>
      <c r="U885" s="25">
        <f t="shared" si="450"/>
        <v>2</v>
      </c>
      <c r="V885" s="26" t="str">
        <f t="shared" si="451"/>
        <v/>
      </c>
    </row>
    <row r="886" spans="1:22" ht="48" customHeight="1" x14ac:dyDescent="0.25">
      <c r="A886" s="17">
        <f>VLOOKUP(C886,[1]Werke!$A$1:$C$168,3,0)</f>
        <v>42</v>
      </c>
      <c r="B886" s="17" t="str">
        <f>VLOOKUP(C886,[1]Werke!$A$1:$C$168,2,0)</f>
        <v>CC1</v>
      </c>
      <c r="C886" s="18" t="s">
        <v>241</v>
      </c>
      <c r="D886" s="17" t="str">
        <f>VLOOKUP(C886,[1]Maliteslimalan!$A$1:$B$210,2,0)</f>
        <v>8000012577</v>
      </c>
      <c r="E886" s="19" t="str">
        <f>VLOOKUP(C886,[1]Bestellnr.!$A$1:$B$174,2,0)</f>
        <v>000001</v>
      </c>
      <c r="F886" s="20" t="str">
        <f t="shared" si="442"/>
        <v>N   907 988 05</v>
      </c>
      <c r="G886" s="21">
        <v>970697000</v>
      </c>
      <c r="H886" s="17">
        <f t="shared" si="443"/>
        <v>9.2599999999999991E-3</v>
      </c>
      <c r="I886" s="20"/>
      <c r="J886" s="17">
        <f t="shared" si="444"/>
        <v>1550</v>
      </c>
      <c r="K886" s="17">
        <f t="shared" si="445"/>
        <v>0</v>
      </c>
      <c r="L886" s="22">
        <v>20</v>
      </c>
      <c r="M886" s="22">
        <v>60</v>
      </c>
      <c r="N886" s="22" t="s">
        <v>155</v>
      </c>
      <c r="O886" s="22" t="str">
        <f t="shared" si="446"/>
        <v>001210</v>
      </c>
      <c r="P886" s="22">
        <f t="shared" si="447"/>
        <v>55</v>
      </c>
      <c r="Q886" s="22"/>
      <c r="R886" s="23" t="s">
        <v>153</v>
      </c>
      <c r="S886" s="22">
        <f t="shared" si="448"/>
        <v>0.56999999999999995</v>
      </c>
      <c r="T886" s="24">
        <f t="shared" si="449"/>
        <v>0</v>
      </c>
      <c r="U886" s="25">
        <f t="shared" si="450"/>
        <v>2</v>
      </c>
      <c r="V886" s="26" t="str">
        <f t="shared" si="451"/>
        <v/>
      </c>
    </row>
    <row r="887" spans="1:22" ht="48" customHeight="1" x14ac:dyDescent="0.25">
      <c r="A887" s="17">
        <f>VLOOKUP(C887,[1]Werke!$A$1:$C$168,3,0)</f>
        <v>24</v>
      </c>
      <c r="B887" s="17" t="str">
        <f>VLOOKUP(C887,[1]Werke!$A$1:$C$168,2,0)</f>
        <v>CKV</v>
      </c>
      <c r="C887" s="18" t="s">
        <v>243</v>
      </c>
      <c r="D887" s="17" t="str">
        <f>VLOOKUP(C887,[1]Maliteslimalan!$A$1:$B$210,2,0)</f>
        <v>8000013217</v>
      </c>
      <c r="E887" s="19" t="str">
        <f>VLOOKUP(C887,[1]Bestellnr.!$A$1:$B$174,2,0)</f>
        <v>000006</v>
      </c>
      <c r="F887" s="20" t="str">
        <f t="shared" si="442"/>
        <v>N   907 988 05</v>
      </c>
      <c r="G887" s="21">
        <v>970697000</v>
      </c>
      <c r="H887" s="17">
        <f t="shared" si="443"/>
        <v>9.2599999999999991E-3</v>
      </c>
      <c r="I887" s="20"/>
      <c r="J887" s="17">
        <f t="shared" si="444"/>
        <v>1550</v>
      </c>
      <c r="K887" s="17">
        <f t="shared" si="445"/>
        <v>0</v>
      </c>
      <c r="L887" s="22">
        <v>10</v>
      </c>
      <c r="M887" s="22">
        <v>30</v>
      </c>
      <c r="N887" s="22">
        <v>111444</v>
      </c>
      <c r="O887" s="22" t="str">
        <f t="shared" si="446"/>
        <v>001006</v>
      </c>
      <c r="P887" s="22">
        <f t="shared" si="447"/>
        <v>34</v>
      </c>
      <c r="Q887" s="22"/>
      <c r="R887" s="23" t="s">
        <v>153</v>
      </c>
      <c r="S887" s="22">
        <f t="shared" si="448"/>
        <v>0.56999999999999995</v>
      </c>
      <c r="T887" s="24">
        <f t="shared" si="449"/>
        <v>0</v>
      </c>
      <c r="U887" s="25">
        <f t="shared" si="450"/>
        <v>2</v>
      </c>
      <c r="V887" s="26" t="str">
        <f t="shared" si="451"/>
        <v/>
      </c>
    </row>
    <row r="888" spans="1:22" ht="48" customHeight="1" x14ac:dyDescent="0.25">
      <c r="A888" s="17" t="str">
        <f>VLOOKUP(C888,[1]Werke!$A$1:$C$168,3,0)</f>
        <v>HT</v>
      </c>
      <c r="B888" s="17">
        <f>VLOOKUP(C888,[1]Werke!$A$1:$C$168,2,0)</f>
        <v>34</v>
      </c>
      <c r="C888" s="18">
        <v>80245</v>
      </c>
      <c r="D888" s="17">
        <f>VLOOKUP(C888,[1]Maliteslimalan!$A$1:$B$210,2,0)</f>
        <v>8000012604</v>
      </c>
      <c r="E888" s="19">
        <v>6</v>
      </c>
      <c r="F888" s="20" t="str">
        <f t="shared" si="442"/>
        <v>N   907 988 05</v>
      </c>
      <c r="G888" s="21">
        <v>970697000</v>
      </c>
      <c r="H888" s="17">
        <f t="shared" si="443"/>
        <v>9.2599999999999991E-3</v>
      </c>
      <c r="I888" s="20"/>
      <c r="J888" s="17">
        <f t="shared" si="444"/>
        <v>1550</v>
      </c>
      <c r="K888" s="17">
        <f t="shared" si="445"/>
        <v>0</v>
      </c>
      <c r="L888" s="22">
        <v>10</v>
      </c>
      <c r="M888" s="22">
        <v>30</v>
      </c>
      <c r="N888" s="22">
        <v>111444</v>
      </c>
      <c r="O888" s="22" t="str">
        <f t="shared" si="446"/>
        <v>001006</v>
      </c>
      <c r="P888" s="22">
        <f t="shared" si="447"/>
        <v>34</v>
      </c>
      <c r="Q888" s="22"/>
      <c r="R888" s="23" t="s">
        <v>153</v>
      </c>
      <c r="S888" s="22">
        <f t="shared" si="448"/>
        <v>0.56999999999999995</v>
      </c>
      <c r="T888" s="24">
        <f t="shared" si="449"/>
        <v>0</v>
      </c>
      <c r="U888" s="25">
        <f t="shared" si="450"/>
        <v>2</v>
      </c>
      <c r="V888" s="26" t="str">
        <f t="shared" si="451"/>
        <v/>
      </c>
    </row>
    <row r="889" spans="1:22" ht="48" customHeight="1" x14ac:dyDescent="0.25">
      <c r="A889" s="17">
        <f>VLOOKUP(C889,[1]Werke!$A$1:$C$168,3,0)</f>
        <v>24</v>
      </c>
      <c r="B889" s="17" t="str">
        <f>VLOOKUP(C889,[1]Werke!$A$1:$C$168,2,0)</f>
        <v>CKS</v>
      </c>
      <c r="C889" s="18" t="s">
        <v>245</v>
      </c>
      <c r="D889" s="17" t="str">
        <f>VLOOKUP(C889,[1]Maliteslimalan!$A$1:$B$210,2,0)</f>
        <v>8000012647</v>
      </c>
      <c r="E889" s="19" t="str">
        <f>VLOOKUP(C889,[1]Bestellnr.!$A$1:$B$174,2,0)</f>
        <v>000006</v>
      </c>
      <c r="F889" s="20" t="str">
        <f t="shared" si="442"/>
        <v>N   907 988 05</v>
      </c>
      <c r="G889" s="21">
        <v>970697000</v>
      </c>
      <c r="H889" s="17">
        <f t="shared" si="443"/>
        <v>9.2599999999999991E-3</v>
      </c>
      <c r="I889" s="20"/>
      <c r="J889" s="17">
        <f t="shared" si="444"/>
        <v>1550</v>
      </c>
      <c r="K889" s="17">
        <f t="shared" si="445"/>
        <v>0</v>
      </c>
      <c r="L889" s="22">
        <v>10</v>
      </c>
      <c r="M889" s="22">
        <v>30</v>
      </c>
      <c r="N889" s="22">
        <v>111444</v>
      </c>
      <c r="O889" s="22" t="str">
        <f t="shared" si="446"/>
        <v>001006</v>
      </c>
      <c r="P889" s="22">
        <f t="shared" si="447"/>
        <v>34</v>
      </c>
      <c r="Q889" s="22"/>
      <c r="R889" s="23" t="s">
        <v>153</v>
      </c>
      <c r="S889" s="22">
        <f t="shared" si="448"/>
        <v>0.56999999999999995</v>
      </c>
      <c r="T889" s="24">
        <f t="shared" si="449"/>
        <v>0</v>
      </c>
      <c r="U889" s="25">
        <f t="shared" si="450"/>
        <v>2</v>
      </c>
      <c r="V889" s="26" t="str">
        <f t="shared" si="451"/>
        <v/>
      </c>
    </row>
    <row r="890" spans="1:22" ht="48" customHeight="1" x14ac:dyDescent="0.25">
      <c r="A890" s="17">
        <f>VLOOKUP(C890,[1]Werke!$A$1:$C$168,3,0)</f>
        <v>15</v>
      </c>
      <c r="B890" s="17" t="str">
        <f>VLOOKUP(C890,[1]Werke!$A$1:$C$168,2,0)</f>
        <v>H16</v>
      </c>
      <c r="C890" s="18">
        <v>50157</v>
      </c>
      <c r="D890" s="17">
        <f>VLOOKUP(C890,[1]Maliteslimalan!$A$1:$B$210,2,0)</f>
        <v>8000012681</v>
      </c>
      <c r="E890" s="19">
        <v>6</v>
      </c>
      <c r="F890" s="20" t="str">
        <f t="shared" si="442"/>
        <v>N   907 988 05</v>
      </c>
      <c r="G890" s="21">
        <v>970697000</v>
      </c>
      <c r="H890" s="17">
        <f t="shared" si="443"/>
        <v>9.2599999999999991E-3</v>
      </c>
      <c r="I890" s="20"/>
      <c r="J890" s="17">
        <f t="shared" si="444"/>
        <v>1550</v>
      </c>
      <c r="K890" s="17">
        <f t="shared" si="445"/>
        <v>0</v>
      </c>
      <c r="L890" s="22">
        <v>10</v>
      </c>
      <c r="M890" s="22">
        <v>20</v>
      </c>
      <c r="N890" s="22">
        <v>111444</v>
      </c>
      <c r="O890" s="22" t="str">
        <f t="shared" si="446"/>
        <v>001006</v>
      </c>
      <c r="P890" s="22">
        <f t="shared" si="447"/>
        <v>34</v>
      </c>
      <c r="Q890" s="22"/>
      <c r="R890" s="23" t="s">
        <v>153</v>
      </c>
      <c r="S890" s="22">
        <f t="shared" si="448"/>
        <v>0.56999999999999995</v>
      </c>
      <c r="T890" s="24">
        <f t="shared" si="449"/>
        <v>0</v>
      </c>
      <c r="U890" s="25">
        <f t="shared" si="450"/>
        <v>2</v>
      </c>
      <c r="V890" s="26" t="str">
        <f t="shared" si="451"/>
        <v/>
      </c>
    </row>
    <row r="891" spans="1:22" ht="48" customHeight="1" x14ac:dyDescent="0.25">
      <c r="A891" s="17">
        <f>VLOOKUP(C891,[1]Werke!$A$1:$C$168,3,0)</f>
        <v>15</v>
      </c>
      <c r="B891" s="17" t="str">
        <f>VLOOKUP(C891,[1]Werke!$A$1:$C$168,2,0)</f>
        <v>H9A</v>
      </c>
      <c r="C891" s="18" t="s">
        <v>296</v>
      </c>
      <c r="D891" s="17">
        <f>VLOOKUP(C891,[1]Maliteslimalan!$A$1:$B$210,2,0)</f>
        <v>8000015366</v>
      </c>
      <c r="E891" s="19">
        <v>6</v>
      </c>
      <c r="F891" s="20" t="str">
        <f t="shared" si="442"/>
        <v>N   907 988 05</v>
      </c>
      <c r="G891" s="21">
        <v>970697000</v>
      </c>
      <c r="H891" s="17">
        <f t="shared" si="443"/>
        <v>9.2599999999999991E-3</v>
      </c>
      <c r="I891" s="20"/>
      <c r="J891" s="17">
        <f t="shared" si="444"/>
        <v>1550</v>
      </c>
      <c r="K891" s="17">
        <f t="shared" si="445"/>
        <v>0</v>
      </c>
      <c r="L891" s="22">
        <v>10</v>
      </c>
      <c r="M891" s="22">
        <v>20</v>
      </c>
      <c r="N891" s="22">
        <v>111444</v>
      </c>
      <c r="O891" s="22" t="str">
        <f t="shared" si="446"/>
        <v>001006</v>
      </c>
      <c r="P891" s="22">
        <f t="shared" si="447"/>
        <v>34</v>
      </c>
      <c r="Q891" s="22"/>
      <c r="R891" s="23" t="s">
        <v>153</v>
      </c>
      <c r="S891" s="22">
        <f t="shared" si="448"/>
        <v>0.56999999999999995</v>
      </c>
      <c r="T891" s="24">
        <f t="shared" si="449"/>
        <v>0</v>
      </c>
      <c r="U891" s="25">
        <f t="shared" si="450"/>
        <v>2</v>
      </c>
      <c r="V891" s="26" t="str">
        <f t="shared" si="451"/>
        <v/>
      </c>
    </row>
    <row r="892" spans="1:22" ht="48" customHeight="1" x14ac:dyDescent="0.25">
      <c r="A892" s="17"/>
      <c r="B892" s="17"/>
      <c r="C892" s="18"/>
      <c r="D892" s="17"/>
      <c r="E892" s="19"/>
      <c r="F892" s="20"/>
      <c r="G892" s="21"/>
      <c r="H892" s="17"/>
      <c r="I892" s="20"/>
      <c r="J892" s="17"/>
      <c r="K892" s="17"/>
      <c r="L892" s="22"/>
      <c r="M892" s="22"/>
      <c r="N892" s="22"/>
      <c r="O892" s="22"/>
      <c r="P892" s="22"/>
      <c r="Q892" s="22"/>
      <c r="R892" s="23"/>
      <c r="S892" s="22"/>
      <c r="T892" s="24"/>
      <c r="U892" s="25"/>
    </row>
    <row r="893" spans="1:22" ht="48" customHeight="1" x14ac:dyDescent="0.25">
      <c r="A893" s="17">
        <f>VLOOKUP(C893,[1]Werke!$A$1:$C$168,3,0)</f>
        <v>21</v>
      </c>
      <c r="B893" s="17" t="str">
        <f>VLOOKUP(C893,[1]Werke!$A$1:$C$168,2,0)</f>
        <v>GZD</v>
      </c>
      <c r="C893" s="18" t="s">
        <v>223</v>
      </c>
      <c r="D893" s="17" t="str">
        <f>VLOOKUP(C893,[1]Maliteslimalan!$A$1:$B$210,2,0)</f>
        <v>8000012572</v>
      </c>
      <c r="E893" s="19" t="str">
        <f>VLOOKUP(C893,[1]Bestellnr.!$A$1:$B$174,2,0)</f>
        <v>000006</v>
      </c>
      <c r="F893" s="20" t="str">
        <f t="shared" ref="F893:F901" si="452">VLOOKUP(G893,$U$1:$V$1730,2,0)</f>
        <v>N   912 613 02</v>
      </c>
      <c r="G893" s="21">
        <v>939495000</v>
      </c>
      <c r="H893" s="17">
        <f t="shared" ref="H893:H901" si="453">VLOOKUP(G893,Z$2:AA$1905,2,FALSE)</f>
        <v>8.0999999999999996E-3</v>
      </c>
      <c r="I893" s="20"/>
      <c r="J893" s="17" t="str">
        <f t="shared" ref="J893:J901" si="454">VLOOKUP(G893,W$2:X$1905,2,FALSE)</f>
        <v>1800</v>
      </c>
      <c r="K893" s="17">
        <f t="shared" ref="K893:K901" si="455">I893/J893</f>
        <v>0</v>
      </c>
      <c r="L893" s="22">
        <v>20</v>
      </c>
      <c r="M893" s="22">
        <v>20</v>
      </c>
      <c r="N893" s="22" t="s">
        <v>155</v>
      </c>
      <c r="O893" s="22" t="str">
        <f t="shared" ref="O893:O901" si="456">VLOOKUP(N893,$AL$1285:$AM$1310,2,FALSE)</f>
        <v>001210</v>
      </c>
      <c r="P893" s="22">
        <f t="shared" ref="P893:P901" si="457">VLOOKUP(N893,AC$2:AD$1905,2,FALSE)</f>
        <v>55</v>
      </c>
      <c r="Q893" s="22"/>
      <c r="R893" s="23" t="s">
        <v>153</v>
      </c>
      <c r="S893" s="22">
        <f t="shared" ref="S893:S901" si="458">VLOOKUP(R893,AC$2:AD$1905,2,FALSE)</f>
        <v>0.56999999999999995</v>
      </c>
      <c r="T893" s="24">
        <f t="shared" ref="T893:T901" si="459">(H893*I893)+P893*Q893+S893*K893</f>
        <v>0</v>
      </c>
      <c r="U893" s="25">
        <f t="shared" ref="U893:U901" si="460">IF(TRIM(N893&amp;"")="111444",
    IF(ROUNDUP(MAX(0,K893-(MAX(1,Q893)-1)*10)/10,0)=1,3,2),
    IF(TRIM(N893&amp;"")="VWPAL",
        IF(TRIM(R893&amp;"")="004147",1,2),
        ""
    )
)</f>
        <v>2</v>
      </c>
      <c r="V893" s="26" t="str">
        <f t="shared" ref="V893:V901" si="461">IF(OR(TRIM(N893&amp;"")="111444",TRIM(N893&amp;"")="VWPAL"),
    IF(K893&lt;=0,"",
        IF(
            MIN(3,ROUNDUP(MAX(0,K893-(MAX(1,Q893)-1)*IF(TRIM(N893&amp;"")="111444",10,20))/IF(TRIM(N893&amp;"")="111444",10,20),0))=1,
            300,
            IF(
                MIN(3,ROUNDUP(MAX(0,K893-(MAX(1,Q893)-1)*IF(TRIM(N893&amp;"")="111444",10,20))/IF(TRIM(N893&amp;"")="111444",10,20),0))=2,
                450,
                600
            )
        )
    ),
    ""
)</f>
        <v/>
      </c>
    </row>
    <row r="894" spans="1:22" ht="48" customHeight="1" x14ac:dyDescent="0.25">
      <c r="A894" s="17" t="str">
        <f>VLOOKUP(C894,[1]Werke!$A$1:$C$168,3,0)</f>
        <v>14S</v>
      </c>
      <c r="B894" s="17" t="str">
        <f>VLOOKUP(C894,[1]Werke!$A$1:$C$168,2,0)</f>
        <v>LZG</v>
      </c>
      <c r="C894" s="18" t="s">
        <v>311</v>
      </c>
      <c r="D894" s="17" t="str">
        <f>VLOOKUP(C894,[1]Maliteslimalan!$A$1:$B$210,2,0)</f>
        <v>8000014767</v>
      </c>
      <c r="E894" s="19" t="str">
        <f>VLOOKUP(C894,[1]Bestellnr.!$A$1:$B$174,2,0)</f>
        <v>000006</v>
      </c>
      <c r="F894" s="20" t="str">
        <f t="shared" si="452"/>
        <v>N   912 613 02</v>
      </c>
      <c r="G894" s="21">
        <v>939495000</v>
      </c>
      <c r="H894" s="17">
        <f t="shared" si="453"/>
        <v>8.0999999999999996E-3</v>
      </c>
      <c r="I894" s="20"/>
      <c r="J894" s="17" t="str">
        <f t="shared" si="454"/>
        <v>1800</v>
      </c>
      <c r="K894" s="17">
        <f t="shared" si="455"/>
        <v>0</v>
      </c>
      <c r="L894" s="22">
        <v>10</v>
      </c>
      <c r="M894" s="22">
        <v>10</v>
      </c>
      <c r="N894" s="22">
        <v>111444</v>
      </c>
      <c r="O894" s="22" t="str">
        <f t="shared" si="456"/>
        <v>001006</v>
      </c>
      <c r="P894" s="22">
        <f t="shared" si="457"/>
        <v>34</v>
      </c>
      <c r="Q894" s="22"/>
      <c r="R894" s="23" t="s">
        <v>153</v>
      </c>
      <c r="S894" s="22">
        <f t="shared" si="458"/>
        <v>0.56999999999999995</v>
      </c>
      <c r="T894" s="24">
        <f t="shared" si="459"/>
        <v>0</v>
      </c>
      <c r="U894" s="25">
        <f t="shared" si="460"/>
        <v>2</v>
      </c>
      <c r="V894" s="26" t="str">
        <f t="shared" si="461"/>
        <v/>
      </c>
    </row>
    <row r="895" spans="1:22" ht="48" customHeight="1" x14ac:dyDescent="0.25">
      <c r="A895" s="17">
        <f>VLOOKUP(C895,[1]Werke!$A$1:$C$168,3,0)</f>
        <v>24</v>
      </c>
      <c r="B895" s="17" t="str">
        <f>VLOOKUP(C895,[1]Werke!$A$1:$C$168,2,0)</f>
        <v>CKH</v>
      </c>
      <c r="C895" s="18" t="s">
        <v>224</v>
      </c>
      <c r="D895" s="17">
        <f>VLOOKUP(C895,[1]Maliteslimalan!$A$1:$B$210,2,0)</f>
        <v>8000013551</v>
      </c>
      <c r="E895" s="19">
        <v>6</v>
      </c>
      <c r="F895" s="20" t="str">
        <f t="shared" si="452"/>
        <v>N   912 613 02</v>
      </c>
      <c r="G895" s="21">
        <v>939495000</v>
      </c>
      <c r="H895" s="17">
        <f t="shared" si="453"/>
        <v>8.0999999999999996E-3</v>
      </c>
      <c r="I895" s="20"/>
      <c r="J895" s="17" t="str">
        <f t="shared" si="454"/>
        <v>1800</v>
      </c>
      <c r="K895" s="17">
        <f t="shared" si="455"/>
        <v>0</v>
      </c>
      <c r="L895" s="22">
        <v>10</v>
      </c>
      <c r="M895" s="22">
        <v>10</v>
      </c>
      <c r="N895" s="22">
        <v>111444</v>
      </c>
      <c r="O895" s="22" t="str">
        <f t="shared" si="456"/>
        <v>001006</v>
      </c>
      <c r="P895" s="22">
        <f t="shared" si="457"/>
        <v>34</v>
      </c>
      <c r="Q895" s="22"/>
      <c r="R895" s="23" t="s">
        <v>153</v>
      </c>
      <c r="S895" s="22">
        <f t="shared" si="458"/>
        <v>0.56999999999999995</v>
      </c>
      <c r="T895" s="24">
        <f t="shared" si="459"/>
        <v>0</v>
      </c>
      <c r="U895" s="25">
        <f t="shared" si="460"/>
        <v>2</v>
      </c>
      <c r="V895" s="26" t="str">
        <f t="shared" si="461"/>
        <v/>
      </c>
    </row>
    <row r="896" spans="1:22" ht="48" customHeight="1" x14ac:dyDescent="0.25">
      <c r="A896" s="17">
        <f>VLOOKUP(C896,[1]Werke!$A$1:$C$168,3,0)</f>
        <v>22</v>
      </c>
      <c r="B896" s="17" t="str">
        <f>VLOOKUP(C896,[1]Werke!$A$1:$C$168,2,0)</f>
        <v>13P</v>
      </c>
      <c r="C896" s="18" t="s">
        <v>230</v>
      </c>
      <c r="D896" s="17" t="str">
        <f>VLOOKUP(C896,[1]Maliteslimalan!$A$1:$B$210,2,0)</f>
        <v>8000013344</v>
      </c>
      <c r="E896" s="19" t="str">
        <f>VLOOKUP(C896,[1]Bestellnr.!$A$1:$B$174,2,0)</f>
        <v>000006</v>
      </c>
      <c r="F896" s="20" t="str">
        <f t="shared" si="452"/>
        <v>N   912 613 02</v>
      </c>
      <c r="G896" s="21">
        <v>939495000</v>
      </c>
      <c r="H896" s="17">
        <f t="shared" si="453"/>
        <v>8.0999999999999996E-3</v>
      </c>
      <c r="I896" s="20"/>
      <c r="J896" s="17" t="str">
        <f t="shared" si="454"/>
        <v>1800</v>
      </c>
      <c r="K896" s="17">
        <f t="shared" si="455"/>
        <v>0</v>
      </c>
      <c r="L896" s="22">
        <v>10</v>
      </c>
      <c r="M896" s="22">
        <v>30</v>
      </c>
      <c r="N896" s="22">
        <v>111444</v>
      </c>
      <c r="O896" s="22" t="str">
        <f t="shared" si="456"/>
        <v>001006</v>
      </c>
      <c r="P896" s="22">
        <f t="shared" si="457"/>
        <v>34</v>
      </c>
      <c r="Q896" s="22"/>
      <c r="R896" s="23" t="s">
        <v>153</v>
      </c>
      <c r="S896" s="22">
        <f t="shared" si="458"/>
        <v>0.56999999999999995</v>
      </c>
      <c r="T896" s="24">
        <f t="shared" si="459"/>
        <v>0</v>
      </c>
      <c r="U896" s="25">
        <f t="shared" si="460"/>
        <v>2</v>
      </c>
      <c r="V896" s="26" t="str">
        <f t="shared" si="461"/>
        <v/>
      </c>
    </row>
    <row r="897" spans="1:22" ht="48" customHeight="1" x14ac:dyDescent="0.25">
      <c r="A897" s="17">
        <f>VLOOKUP(C897,[1]Werke!$A$1:$C$168,3,0)</f>
        <v>37</v>
      </c>
      <c r="B897" s="17" t="str">
        <f>VLOOKUP(C897,[1]Werke!$A$1:$C$168,2,0)</f>
        <v>AKL</v>
      </c>
      <c r="C897" s="18" t="s">
        <v>232</v>
      </c>
      <c r="D897" s="17" t="str">
        <f>VLOOKUP(C897,[1]Maliteslimalan!$A$1:$B$210,2,0)</f>
        <v>8000012562</v>
      </c>
      <c r="E897" s="19" t="str">
        <f>VLOOKUP(C897,[1]Bestellnr.!$A$1:$B$174,2,0)</f>
        <v>000006</v>
      </c>
      <c r="F897" s="20" t="str">
        <f t="shared" si="452"/>
        <v>N   912 613 02</v>
      </c>
      <c r="G897" s="21">
        <v>939495000</v>
      </c>
      <c r="H897" s="17">
        <f t="shared" si="453"/>
        <v>8.0999999999999996E-3</v>
      </c>
      <c r="I897" s="20"/>
      <c r="J897" s="17" t="str">
        <f t="shared" si="454"/>
        <v>1800</v>
      </c>
      <c r="K897" s="17">
        <f t="shared" si="455"/>
        <v>0</v>
      </c>
      <c r="L897" s="22">
        <v>10</v>
      </c>
      <c r="M897" s="22">
        <v>10</v>
      </c>
      <c r="N897" s="22">
        <v>111444</v>
      </c>
      <c r="O897" s="22" t="str">
        <f t="shared" si="456"/>
        <v>001006</v>
      </c>
      <c r="P897" s="22">
        <f t="shared" si="457"/>
        <v>34</v>
      </c>
      <c r="Q897" s="22"/>
      <c r="R897" s="23" t="s">
        <v>153</v>
      </c>
      <c r="S897" s="22">
        <f t="shared" si="458"/>
        <v>0.56999999999999995</v>
      </c>
      <c r="T897" s="24">
        <f t="shared" si="459"/>
        <v>0</v>
      </c>
      <c r="U897" s="25">
        <f t="shared" si="460"/>
        <v>2</v>
      </c>
      <c r="V897" s="26" t="str">
        <f t="shared" si="461"/>
        <v/>
      </c>
    </row>
    <row r="898" spans="1:22" ht="48" customHeight="1" x14ac:dyDescent="0.25">
      <c r="A898" s="17">
        <f>VLOOKUP(C898,[1]Werke!$A$1:$C$168,3,0)</f>
        <v>15</v>
      </c>
      <c r="B898" s="17" t="str">
        <f>VLOOKUP(C898,[1]Werke!$A$1:$C$168,2,0)</f>
        <v>H9A</v>
      </c>
      <c r="C898" s="18" t="s">
        <v>240</v>
      </c>
      <c r="D898" s="17">
        <f>VLOOKUP(C898,[1]Maliteslimalan!$A$1:$B$210,2,0)</f>
        <v>8000017580</v>
      </c>
      <c r="E898" s="19">
        <v>6</v>
      </c>
      <c r="F898" s="20" t="str">
        <f t="shared" si="452"/>
        <v>N   912 613 02</v>
      </c>
      <c r="G898" s="21">
        <v>939495000</v>
      </c>
      <c r="H898" s="17">
        <f t="shared" si="453"/>
        <v>8.0999999999999996E-3</v>
      </c>
      <c r="I898" s="20"/>
      <c r="J898" s="17" t="str">
        <f t="shared" si="454"/>
        <v>1800</v>
      </c>
      <c r="K898" s="17">
        <f t="shared" si="455"/>
        <v>0</v>
      </c>
      <c r="L898" s="22">
        <v>10</v>
      </c>
      <c r="M898" s="22">
        <v>10</v>
      </c>
      <c r="N898" s="22">
        <v>111444</v>
      </c>
      <c r="O898" s="22" t="str">
        <f t="shared" si="456"/>
        <v>001006</v>
      </c>
      <c r="P898" s="22">
        <f t="shared" si="457"/>
        <v>34</v>
      </c>
      <c r="Q898" s="22"/>
      <c r="R898" s="23" t="s">
        <v>153</v>
      </c>
      <c r="S898" s="22">
        <f t="shared" si="458"/>
        <v>0.56999999999999995</v>
      </c>
      <c r="T898" s="24">
        <f t="shared" si="459"/>
        <v>0</v>
      </c>
      <c r="U898" s="25">
        <f t="shared" si="460"/>
        <v>2</v>
      </c>
      <c r="V898" s="26" t="str">
        <f t="shared" si="461"/>
        <v/>
      </c>
    </row>
    <row r="899" spans="1:22" ht="48" customHeight="1" x14ac:dyDescent="0.25">
      <c r="A899" s="17">
        <f>VLOOKUP(C899,[1]Werke!$A$1:$C$168,3,0)</f>
        <v>14</v>
      </c>
      <c r="B899" s="17" t="str">
        <f>VLOOKUP(C899,[1]Werke!$A$1:$C$168,2,0)</f>
        <v>D85</v>
      </c>
      <c r="C899" s="18" t="s">
        <v>239</v>
      </c>
      <c r="D899" s="17" t="str">
        <f>VLOOKUP(C899,[1]Maliteslimalan!$A$1:$B$210,2,0)</f>
        <v>8000012682</v>
      </c>
      <c r="E899" s="19">
        <f>VLOOKUP(C899,[1]Bestellnr.!$A$1:$B$174,2,0)</f>
        <v>0</v>
      </c>
      <c r="F899" s="20" t="str">
        <f t="shared" si="452"/>
        <v>N   912 613 02</v>
      </c>
      <c r="G899" s="21">
        <v>939495000</v>
      </c>
      <c r="H899" s="17">
        <f t="shared" si="453"/>
        <v>8.0999999999999996E-3</v>
      </c>
      <c r="I899" s="20"/>
      <c r="J899" s="17" t="str">
        <f t="shared" si="454"/>
        <v>1800</v>
      </c>
      <c r="K899" s="17">
        <f t="shared" si="455"/>
        <v>0</v>
      </c>
      <c r="L899" s="22">
        <v>10</v>
      </c>
      <c r="M899" s="22">
        <v>10</v>
      </c>
      <c r="N899" s="22">
        <v>111444</v>
      </c>
      <c r="O899" s="22" t="str">
        <f t="shared" si="456"/>
        <v>001006</v>
      </c>
      <c r="P899" s="22">
        <f t="shared" si="457"/>
        <v>34</v>
      </c>
      <c r="Q899" s="22"/>
      <c r="R899" s="23" t="s">
        <v>153</v>
      </c>
      <c r="S899" s="22">
        <f t="shared" si="458"/>
        <v>0.56999999999999995</v>
      </c>
      <c r="T899" s="24">
        <f t="shared" si="459"/>
        <v>0</v>
      </c>
      <c r="U899" s="25">
        <f t="shared" si="460"/>
        <v>2</v>
      </c>
      <c r="V899" s="26" t="str">
        <f t="shared" si="461"/>
        <v/>
      </c>
    </row>
    <row r="900" spans="1:22" ht="48" customHeight="1" x14ac:dyDescent="0.25">
      <c r="A900" s="17" t="str">
        <f>VLOOKUP(C900,[1]Werke!$A$1:$C$168,3,0)</f>
        <v>RC</v>
      </c>
      <c r="B900" s="17" t="str">
        <f>VLOOKUP(C900,[1]Werke!$A$1:$C$168,2,0)</f>
        <v>CKD</v>
      </c>
      <c r="C900" s="18" t="s">
        <v>256</v>
      </c>
      <c r="D900" s="17" t="str">
        <f>VLOOKUP(C900,[1]Maliteslimalan!$A$1:$B$210,2,0)</f>
        <v>8000012593</v>
      </c>
      <c r="E900" s="19" t="str">
        <f>VLOOKUP(C900,[1]Bestellnr.!$A$1:$B$174,2,0)</f>
        <v>000006</v>
      </c>
      <c r="F900" s="20" t="str">
        <f t="shared" si="452"/>
        <v>N   912 613 02</v>
      </c>
      <c r="G900" s="21">
        <v>939495000</v>
      </c>
      <c r="H900" s="17">
        <f t="shared" si="453"/>
        <v>8.0999999999999996E-3</v>
      </c>
      <c r="I900" s="20"/>
      <c r="J900" s="17" t="str">
        <f t="shared" si="454"/>
        <v>1800</v>
      </c>
      <c r="K900" s="17">
        <f t="shared" si="455"/>
        <v>0</v>
      </c>
      <c r="L900" s="22">
        <v>10</v>
      </c>
      <c r="M900" s="22">
        <v>30</v>
      </c>
      <c r="N900" s="22">
        <v>111444</v>
      </c>
      <c r="O900" s="22" t="str">
        <f t="shared" si="456"/>
        <v>001006</v>
      </c>
      <c r="P900" s="22">
        <f t="shared" si="457"/>
        <v>34</v>
      </c>
      <c r="Q900" s="22"/>
      <c r="R900" s="23" t="s">
        <v>153</v>
      </c>
      <c r="S900" s="22">
        <f t="shared" si="458"/>
        <v>0.56999999999999995</v>
      </c>
      <c r="T900" s="24">
        <f t="shared" si="459"/>
        <v>0</v>
      </c>
      <c r="U900" s="25">
        <f t="shared" si="460"/>
        <v>2</v>
      </c>
      <c r="V900" s="26" t="str">
        <f t="shared" si="461"/>
        <v/>
      </c>
    </row>
    <row r="901" spans="1:22" ht="48" customHeight="1" x14ac:dyDescent="0.25">
      <c r="A901" s="17">
        <f>VLOOKUP(C901,[1]Werke!$A$1:$C$168,3,0)</f>
        <v>15</v>
      </c>
      <c r="B901" s="17" t="str">
        <f>VLOOKUP(C901,[1]Werke!$A$1:$C$168,2,0)</f>
        <v>H9A</v>
      </c>
      <c r="C901" s="18" t="s">
        <v>240</v>
      </c>
      <c r="D901" s="17">
        <f>VLOOKUP(C901,[1]Maliteslimalan!$A$1:$B$210,2,0)</f>
        <v>8000017580</v>
      </c>
      <c r="E901" s="19">
        <v>6</v>
      </c>
      <c r="F901" s="20" t="str">
        <f t="shared" si="452"/>
        <v>N   912 613 02</v>
      </c>
      <c r="G901" s="21">
        <v>939495000</v>
      </c>
      <c r="H901" s="17">
        <f t="shared" si="453"/>
        <v>8.0999999999999996E-3</v>
      </c>
      <c r="I901" s="20"/>
      <c r="J901" s="17" t="str">
        <f t="shared" si="454"/>
        <v>1800</v>
      </c>
      <c r="K901" s="17">
        <f t="shared" si="455"/>
        <v>0</v>
      </c>
      <c r="L901" s="22">
        <v>10</v>
      </c>
      <c r="M901" s="22">
        <v>10</v>
      </c>
      <c r="N901" s="22">
        <v>111444</v>
      </c>
      <c r="O901" s="22" t="str">
        <f t="shared" si="456"/>
        <v>001006</v>
      </c>
      <c r="P901" s="22">
        <f t="shared" si="457"/>
        <v>34</v>
      </c>
      <c r="Q901" s="22"/>
      <c r="R901" s="23" t="s">
        <v>153</v>
      </c>
      <c r="S901" s="22">
        <f t="shared" si="458"/>
        <v>0.56999999999999995</v>
      </c>
      <c r="T901" s="24">
        <f t="shared" si="459"/>
        <v>0</v>
      </c>
      <c r="U901" s="25">
        <f t="shared" si="460"/>
        <v>2</v>
      </c>
      <c r="V901" s="26" t="str">
        <f t="shared" si="461"/>
        <v/>
      </c>
    </row>
    <row r="902" spans="1:22" ht="48" customHeight="1" x14ac:dyDescent="0.25">
      <c r="A902" s="17"/>
      <c r="B902" s="17"/>
      <c r="C902" s="18"/>
      <c r="D902" s="17"/>
      <c r="E902" s="19"/>
      <c r="F902" s="20"/>
      <c r="G902" s="21"/>
      <c r="H902" s="17"/>
      <c r="I902" s="20"/>
      <c r="J902" s="17"/>
      <c r="K902" s="17"/>
      <c r="L902" s="22"/>
      <c r="M902" s="22"/>
      <c r="N902" s="22"/>
      <c r="O902" s="22"/>
      <c r="P902" s="22"/>
      <c r="Q902" s="22"/>
      <c r="R902" s="23"/>
      <c r="S902" s="22"/>
      <c r="T902" s="24"/>
      <c r="U902" s="25"/>
    </row>
    <row r="903" spans="1:22" ht="48" customHeight="1" x14ac:dyDescent="0.25">
      <c r="A903" s="17">
        <f>VLOOKUP(C903,[1]Werke!$A$1:$C$168,3,0)</f>
        <v>37</v>
      </c>
      <c r="B903" s="17" t="str">
        <f>VLOOKUP(C903,[1]Werke!$A$1:$C$168,2,0)</f>
        <v>AKL</v>
      </c>
      <c r="C903" s="18" t="s">
        <v>232</v>
      </c>
      <c r="D903" s="17" t="str">
        <f>VLOOKUP(C903,[1]Maliteslimalan!$A$1:$B$210,2,0)</f>
        <v>8000012562</v>
      </c>
      <c r="E903" s="19" t="str">
        <f>VLOOKUP(C903,[1]Bestellnr.!$A$1:$B$174,2,0)</f>
        <v>000006</v>
      </c>
      <c r="F903" s="20" t="str">
        <f>VLOOKUP(G903,$U$1:$V$1730,2,0)</f>
        <v>N   910 166 02</v>
      </c>
      <c r="G903" s="21">
        <v>933880000</v>
      </c>
      <c r="H903" s="17">
        <f>VLOOKUP(G903,Z$2:AA$1905,2,FALSE)</f>
        <v>9.1740000000000002E-2</v>
      </c>
      <c r="I903" s="20"/>
      <c r="J903" s="17">
        <f>VLOOKUP(G903,W$2:X$1905,2,FALSE)</f>
        <v>150</v>
      </c>
      <c r="K903" s="17">
        <f>I903/J903</f>
        <v>0</v>
      </c>
      <c r="L903" s="22">
        <v>10</v>
      </c>
      <c r="M903" s="22">
        <v>30</v>
      </c>
      <c r="N903" s="22" t="s">
        <v>155</v>
      </c>
      <c r="O903" s="22" t="str">
        <f>VLOOKUP(N903,$AL$1285:$AM$1310,2,FALSE)</f>
        <v>001210</v>
      </c>
      <c r="P903" s="22">
        <f>VLOOKUP(N903,AC$2:AD$1905,2,FALSE)</f>
        <v>55</v>
      </c>
      <c r="Q903" s="22"/>
      <c r="R903" s="23" t="s">
        <v>175</v>
      </c>
      <c r="S903" s="22">
        <f>VLOOKUP(R903,AC$2:AD$1905,2,FALSE)</f>
        <v>1.08</v>
      </c>
      <c r="T903" s="24">
        <f>(H903*I903)+P903*Q903+S903*K903</f>
        <v>0</v>
      </c>
      <c r="U903" s="25">
        <f>IF(TRIM(N903&amp;"")="111444",
    IF(ROUNDUP(MAX(0,K903-(MAX(1,Q903)-1)*10)/10,0)=1,3,2),
    IF(TRIM(N903&amp;"")="VWPAL",
        IF(TRIM(R903&amp;"")="004147",1,2),
        ""
    )
)</f>
        <v>1</v>
      </c>
      <c r="V903" s="26" t="str">
        <f>IF(OR(TRIM(N903&amp;"")="111444",TRIM(N903&amp;"")="VWPAL"),
    IF(K903&lt;=0,"",
        IF(
            MIN(3,ROUNDUP(MAX(0,K903-(MAX(1,Q903)-1)*IF(TRIM(N903&amp;"")="111444",10,20))/IF(TRIM(N903&amp;"")="111444",10,20),0))=1,
            300,
            IF(
                MIN(3,ROUNDUP(MAX(0,K903-(MAX(1,Q903)-1)*IF(TRIM(N903&amp;"")="111444",10,20))/IF(TRIM(N903&amp;"")="111444",10,20),0))=2,
                450,
                600
            )
        )
    ),
    ""
)</f>
        <v/>
      </c>
    </row>
    <row r="904" spans="1:22" ht="48" customHeight="1" x14ac:dyDescent="0.25">
      <c r="A904" s="17">
        <f>VLOOKUP(C904,[1]Werke!$A$1:$C$168,3,0)</f>
        <v>14</v>
      </c>
      <c r="B904" s="17" t="str">
        <f>VLOOKUP(C904,[1]Werke!$A$1:$C$168,2,0)</f>
        <v>D47</v>
      </c>
      <c r="C904" s="18" t="s">
        <v>246</v>
      </c>
      <c r="D904" s="17" t="str">
        <f>VLOOKUP(C904,[1]Maliteslimalan!$A$1:$B$210,2,0)</f>
        <v>8000012583</v>
      </c>
      <c r="E904" s="19">
        <f>VLOOKUP(C904,[1]Bestellnr.!$A$1:$B$174,2,0)</f>
        <v>0</v>
      </c>
      <c r="F904" s="20" t="str">
        <f>VLOOKUP(G904,$U$1:$V$1730,2,0)</f>
        <v>N   910 166 02</v>
      </c>
      <c r="G904" s="21">
        <v>933880000</v>
      </c>
      <c r="H904" s="17">
        <f>VLOOKUP(G904,Z$2:AA$1905,2,FALSE)</f>
        <v>9.1740000000000002E-2</v>
      </c>
      <c r="I904" s="20"/>
      <c r="J904" s="17">
        <f>VLOOKUP(G904,W$2:X$1905,2,FALSE)</f>
        <v>150</v>
      </c>
      <c r="K904" s="17">
        <f>I904/J904</f>
        <v>0</v>
      </c>
      <c r="L904" s="22">
        <v>10</v>
      </c>
      <c r="M904" s="22">
        <v>30</v>
      </c>
      <c r="N904" s="22" t="s">
        <v>155</v>
      </c>
      <c r="O904" s="22" t="str">
        <f>VLOOKUP(N904,$AL$1285:$AM$1310,2,FALSE)</f>
        <v>001210</v>
      </c>
      <c r="P904" s="22">
        <f>VLOOKUP(N904,AC$2:AD$1905,2,FALSE)</f>
        <v>55</v>
      </c>
      <c r="Q904" s="22"/>
      <c r="R904" s="23" t="s">
        <v>175</v>
      </c>
      <c r="S904" s="22">
        <f>VLOOKUP(R904,AC$2:AD$1905,2,FALSE)</f>
        <v>1.08</v>
      </c>
      <c r="T904" s="24">
        <f>(H904*I904)+P904*Q904+S904*K904</f>
        <v>0</v>
      </c>
      <c r="U904" s="25">
        <f>IF(TRIM(N904&amp;"")="111444",
    IF(ROUNDUP(MAX(0,K904-(MAX(1,Q904)-1)*10)/10,0)=1,3,2),
    IF(TRIM(N904&amp;"")="VWPAL",
        IF(TRIM(R904&amp;"")="004147",1,2),
        ""
    )
)</f>
        <v>1</v>
      </c>
      <c r="V904" s="26" t="str">
        <f>IF(OR(TRIM(N904&amp;"")="111444",TRIM(N904&amp;"")="VWPAL"),
    IF(K904&lt;=0,"",
        IF(
            MIN(3,ROUNDUP(MAX(0,K904-(MAX(1,Q904)-1)*IF(TRIM(N904&amp;"")="111444",10,20))/IF(TRIM(N904&amp;"")="111444",10,20),0))=1,
            300,
            IF(
                MIN(3,ROUNDUP(MAX(0,K904-(MAX(1,Q904)-1)*IF(TRIM(N904&amp;"")="111444",10,20))/IF(TRIM(N904&amp;"")="111444",10,20),0))=2,
                450,
                600
            )
        )
    ),
    ""
)</f>
        <v/>
      </c>
    </row>
    <row r="905" spans="1:22" ht="48" customHeight="1" x14ac:dyDescent="0.25">
      <c r="A905" s="17">
        <f>VLOOKUP(C905,[1]Werke!$A$1:$C$168,3,0)</f>
        <v>24</v>
      </c>
      <c r="B905" s="17" t="str">
        <f>VLOOKUP(C905,[1]Werke!$A$1:$C$168,2,0)</f>
        <v>CKH</v>
      </c>
      <c r="C905" s="18" t="s">
        <v>224</v>
      </c>
      <c r="D905" s="17">
        <f>VLOOKUP(C905,[1]Maliteslimalan!$A$1:$B$210,2,0)</f>
        <v>8000013551</v>
      </c>
      <c r="E905" s="19">
        <v>6</v>
      </c>
      <c r="F905" s="20" t="str">
        <f>VLOOKUP(G905,$U$1:$V$1730,2,0)</f>
        <v>N   910 166 02</v>
      </c>
      <c r="G905" s="21">
        <v>933880000</v>
      </c>
      <c r="H905" s="17">
        <f>VLOOKUP(G905,Z$2:AA$1905,2,FALSE)</f>
        <v>9.1740000000000002E-2</v>
      </c>
      <c r="I905" s="20"/>
      <c r="J905" s="17">
        <f>VLOOKUP(G905,W$2:X$1905,2,FALSE)</f>
        <v>150</v>
      </c>
      <c r="K905" s="17">
        <f>I905/J905</f>
        <v>0</v>
      </c>
      <c r="L905" s="22">
        <v>10</v>
      </c>
      <c r="M905" s="22">
        <v>30</v>
      </c>
      <c r="N905" s="22" t="s">
        <v>155</v>
      </c>
      <c r="O905" s="22" t="str">
        <f>VLOOKUP(N905,$AL$1285:$AM$1310,2,FALSE)</f>
        <v>001210</v>
      </c>
      <c r="P905" s="22">
        <f>VLOOKUP(N905,AC$2:AD$1905,2,FALSE)</f>
        <v>55</v>
      </c>
      <c r="Q905" s="22"/>
      <c r="R905" s="23" t="s">
        <v>175</v>
      </c>
      <c r="S905" s="22">
        <f>VLOOKUP(R905,AC$2:AD$1905,2,FALSE)</f>
        <v>1.08</v>
      </c>
      <c r="T905" s="24">
        <f>(H905*I905)+P905*Q905+S905*K905</f>
        <v>0</v>
      </c>
      <c r="U905" s="25">
        <f>IF(TRIM(N905&amp;"")="111444",
    IF(ROUNDUP(MAX(0,K905-(MAX(1,Q905)-1)*10)/10,0)=1,3,2),
    IF(TRIM(N905&amp;"")="VWPAL",
        IF(TRIM(R905&amp;"")="004147",1,2),
        ""
    )
)</f>
        <v>1</v>
      </c>
      <c r="V905" s="26" t="str">
        <f>IF(OR(TRIM(N905&amp;"")="111444",TRIM(N905&amp;"")="VWPAL"),
    IF(K905&lt;=0,"",
        IF(
            MIN(3,ROUNDUP(MAX(0,K905-(MAX(1,Q905)-1)*IF(TRIM(N905&amp;"")="111444",10,20))/IF(TRIM(N905&amp;"")="111444",10,20),0))=1,
            300,
            IF(
                MIN(3,ROUNDUP(MAX(0,K905-(MAX(1,Q905)-1)*IF(TRIM(N905&amp;"")="111444",10,20))/IF(TRIM(N905&amp;"")="111444",10,20),0))=2,
                450,
                600
            )
        )
    ),
    ""
)</f>
        <v/>
      </c>
    </row>
    <row r="906" spans="1:22" ht="48" customHeight="1" x14ac:dyDescent="0.25">
      <c r="A906" s="17">
        <f>VLOOKUP(C906,[1]Werke!$A$1:$C$168,3,0)</f>
        <v>24</v>
      </c>
      <c r="B906" s="17" t="str">
        <f>VLOOKUP(C906,[1]Werke!$A$1:$C$168,2,0)</f>
        <v>CKS</v>
      </c>
      <c r="C906" s="18" t="s">
        <v>245</v>
      </c>
      <c r="D906" s="17" t="str">
        <f>VLOOKUP(C906,[1]Maliteslimalan!$A$1:$B$210,2,0)</f>
        <v>8000012647</v>
      </c>
      <c r="E906" s="19" t="str">
        <f>VLOOKUP(C906,[1]Bestellnr.!$A$1:$B$174,2,0)</f>
        <v>000006</v>
      </c>
      <c r="F906" s="20" t="str">
        <f>VLOOKUP(G906,$U$1:$V$1730,2,0)</f>
        <v>N   910 166 02</v>
      </c>
      <c r="G906" s="21">
        <v>933880000</v>
      </c>
      <c r="H906" s="17">
        <f>VLOOKUP(G906,Z$2:AA$1905,2,FALSE)</f>
        <v>9.1740000000000002E-2</v>
      </c>
      <c r="I906" s="20"/>
      <c r="J906" s="17">
        <f>VLOOKUP(G906,W$2:X$1905,2,FALSE)</f>
        <v>150</v>
      </c>
      <c r="K906" s="17">
        <f>I906/J906</f>
        <v>0</v>
      </c>
      <c r="L906" s="22">
        <v>10</v>
      </c>
      <c r="M906" s="22">
        <v>30</v>
      </c>
      <c r="N906" s="22" t="s">
        <v>155</v>
      </c>
      <c r="O906" s="22" t="str">
        <f>VLOOKUP(N906,$AL$1285:$AM$1310,2,FALSE)</f>
        <v>001210</v>
      </c>
      <c r="P906" s="22">
        <f>VLOOKUP(N906,AC$2:AD$1905,2,FALSE)</f>
        <v>55</v>
      </c>
      <c r="Q906" s="22"/>
      <c r="R906" s="23" t="s">
        <v>175</v>
      </c>
      <c r="S906" s="22">
        <f>VLOOKUP(R906,AC$2:AD$1905,2,FALSE)</f>
        <v>1.08</v>
      </c>
      <c r="T906" s="24">
        <f>(H906*I906)+P906*Q906+S906*K906</f>
        <v>0</v>
      </c>
      <c r="U906" s="25">
        <f>IF(TRIM(N906&amp;"")="111444",
    IF(ROUNDUP(MAX(0,K906-(MAX(1,Q906)-1)*10)/10,0)=1,3,2),
    IF(TRIM(N906&amp;"")="VWPAL",
        IF(TRIM(R906&amp;"")="004147",1,2),
        ""
    )
)</f>
        <v>1</v>
      </c>
      <c r="V906" s="26" t="str">
        <f>IF(OR(TRIM(N906&amp;"")="111444",TRIM(N906&amp;"")="VWPAL"),
    IF(K906&lt;=0,"",
        IF(
            MIN(3,ROUNDUP(MAX(0,K906-(MAX(1,Q906)-1)*IF(TRIM(N906&amp;"")="111444",10,20))/IF(TRIM(N906&amp;"")="111444",10,20),0))=1,
            300,
            IF(
                MIN(3,ROUNDUP(MAX(0,K906-(MAX(1,Q906)-1)*IF(TRIM(N906&amp;"")="111444",10,20))/IF(TRIM(N906&amp;"")="111444",10,20),0))=2,
                450,
                600
            )
        )
    ),
    ""
)</f>
        <v/>
      </c>
    </row>
    <row r="907" spans="1:22" ht="48" customHeight="1" x14ac:dyDescent="0.25">
      <c r="A907" s="17"/>
      <c r="B907" s="17"/>
      <c r="C907" s="18"/>
      <c r="D907" s="17"/>
      <c r="E907" s="19"/>
      <c r="F907" s="20"/>
      <c r="G907" s="21"/>
      <c r="H907" s="17"/>
      <c r="I907" s="20"/>
      <c r="J907" s="17"/>
      <c r="K907" s="17"/>
      <c r="L907" s="22"/>
      <c r="M907" s="22"/>
      <c r="N907" s="22"/>
      <c r="O907" s="22"/>
      <c r="P907" s="22"/>
      <c r="Q907" s="22"/>
      <c r="R907" s="23"/>
      <c r="S907" s="22"/>
      <c r="T907" s="24"/>
      <c r="U907" s="25"/>
    </row>
    <row r="908" spans="1:22" ht="48" customHeight="1" x14ac:dyDescent="0.25">
      <c r="A908" s="17">
        <f>VLOOKUP(C908,[1]Werke!$A$1:$C$168,3,0)</f>
        <v>69</v>
      </c>
      <c r="B908" s="17" t="str">
        <f>VLOOKUP(C908,[1]Werke!$A$1:$C$168,2,0)</f>
        <v>AKL</v>
      </c>
      <c r="C908" s="18" t="s">
        <v>305</v>
      </c>
      <c r="D908" s="17">
        <f>VLOOKUP(C908,[1]Maliteslimalan!$A$1:$B$210,2,0)</f>
        <v>8000017492</v>
      </c>
      <c r="E908" s="19">
        <v>6</v>
      </c>
      <c r="F908" s="20" t="str">
        <f t="shared" ref="F908:F929" si="462">VLOOKUP(G908,$U$1:$V$1730,2,0)</f>
        <v>N   106 648 01</v>
      </c>
      <c r="G908" s="21">
        <v>100326700</v>
      </c>
      <c r="H908" s="17">
        <f t="shared" ref="H908:H929" si="463">VLOOKUP(G908,Z$2:AA$1905,2,FALSE)</f>
        <v>1.4670000000000001E-2</v>
      </c>
      <c r="I908" s="20"/>
      <c r="J908" s="17">
        <f t="shared" ref="J908:J929" si="464">VLOOKUP(G908,W$2:X$1905,2,FALSE)</f>
        <v>900</v>
      </c>
      <c r="K908" s="17">
        <f t="shared" ref="K908:K929" si="465">I908/J908</f>
        <v>0</v>
      </c>
      <c r="L908" s="22">
        <v>20</v>
      </c>
      <c r="M908" s="22">
        <v>60</v>
      </c>
      <c r="N908" s="22" t="s">
        <v>155</v>
      </c>
      <c r="O908" s="22" t="str">
        <f t="shared" ref="O908:O929" si="466">VLOOKUP(N908,$AL$1285:$AM$1310,2,FALSE)</f>
        <v>001210</v>
      </c>
      <c r="P908" s="22">
        <f t="shared" ref="P908:P929" si="467">VLOOKUP(N908,AC$2:AD$1905,2,FALSE)</f>
        <v>55</v>
      </c>
      <c r="Q908" s="22"/>
      <c r="R908" s="23" t="s">
        <v>153</v>
      </c>
      <c r="S908" s="22">
        <f t="shared" ref="S908:S929" si="468">VLOOKUP(R908,AC$2:AD$1905,2,FALSE)</f>
        <v>0.56999999999999995</v>
      </c>
      <c r="T908" s="24">
        <f t="shared" ref="T908:T929" si="469">(H908*I908)+P908*Q908+S908*K908</f>
        <v>0</v>
      </c>
      <c r="U908" s="25">
        <f t="shared" ref="U908:U929" si="470">IF(TRIM(N908&amp;"")="111444",
    IF(ROUNDUP(MAX(0,K908-(MAX(1,Q908)-1)*10)/10,0)=1,3,2),
    IF(TRIM(N908&amp;"")="VWPAL",
        IF(TRIM(R908&amp;"")="004147",1,2),
        ""
    )
)</f>
        <v>2</v>
      </c>
      <c r="V908" s="26" t="str">
        <f t="shared" ref="V908:V929" si="471">IF(OR(TRIM(N908&amp;"")="111444",TRIM(N908&amp;"")="VWPAL"),
    IF(K908&lt;=0,"",
        IF(
            MIN(3,ROUNDUP(MAX(0,K908-(MAX(1,Q908)-1)*IF(TRIM(N908&amp;"")="111444",10,20))/IF(TRIM(N908&amp;"")="111444",10,20),0))=1,
            300,
            IF(
                MIN(3,ROUNDUP(MAX(0,K908-(MAX(1,Q908)-1)*IF(TRIM(N908&amp;"")="111444",10,20))/IF(TRIM(N908&amp;"")="111444",10,20),0))=2,
                450,
                600
            )
        )
    ),
    ""
)</f>
        <v/>
      </c>
    </row>
    <row r="909" spans="1:22" ht="48" customHeight="1" x14ac:dyDescent="0.25">
      <c r="A909" s="17">
        <f>VLOOKUP(C909,[1]Werke!$A$1:$C$168,3,0)</f>
        <v>14</v>
      </c>
      <c r="B909" s="17" t="str">
        <f>VLOOKUP(C909,[1]Werke!$A$1:$C$168,2,0)</f>
        <v>D72</v>
      </c>
      <c r="C909" s="18" t="s">
        <v>220</v>
      </c>
      <c r="D909" s="17" t="str">
        <f>VLOOKUP(C909,[1]Maliteslimalan!$A$1:$B$210,2,0)</f>
        <v>8000013493</v>
      </c>
      <c r="E909" s="19">
        <f>VLOOKUP(C909,[1]Bestellnr.!$A$1:$B$174,2,0)</f>
        <v>0</v>
      </c>
      <c r="F909" s="20" t="str">
        <f t="shared" si="462"/>
        <v>N   106 648 01</v>
      </c>
      <c r="G909" s="21">
        <v>100326700</v>
      </c>
      <c r="H909" s="17">
        <f t="shared" si="463"/>
        <v>1.4670000000000001E-2</v>
      </c>
      <c r="I909" s="20"/>
      <c r="J909" s="17">
        <f t="shared" si="464"/>
        <v>900</v>
      </c>
      <c r="K909" s="17">
        <f t="shared" si="465"/>
        <v>0</v>
      </c>
      <c r="L909" s="22">
        <v>10</v>
      </c>
      <c r="M909" s="22">
        <v>30</v>
      </c>
      <c r="N909" s="22">
        <v>111444</v>
      </c>
      <c r="O909" s="22" t="str">
        <f t="shared" si="466"/>
        <v>001006</v>
      </c>
      <c r="P909" s="22">
        <f t="shared" si="467"/>
        <v>34</v>
      </c>
      <c r="Q909" s="22"/>
      <c r="R909" s="23" t="s">
        <v>153</v>
      </c>
      <c r="S909" s="22">
        <f t="shared" si="468"/>
        <v>0.56999999999999995</v>
      </c>
      <c r="T909" s="24">
        <f t="shared" si="469"/>
        <v>0</v>
      </c>
      <c r="U909" s="25">
        <f t="shared" si="470"/>
        <v>2</v>
      </c>
      <c r="V909" s="26" t="str">
        <f t="shared" si="471"/>
        <v/>
      </c>
    </row>
    <row r="910" spans="1:22" ht="48" customHeight="1" x14ac:dyDescent="0.25">
      <c r="A910" s="17" t="str">
        <f>VLOOKUP(C910,[1]Werke!$A$1:$C$168,3,0)</f>
        <v>26C</v>
      </c>
      <c r="B910" s="17" t="str">
        <f>VLOOKUP(C910,[1]Werke!$A$1:$C$168,2,0)</f>
        <v>CKD</v>
      </c>
      <c r="C910" s="18" t="s">
        <v>258</v>
      </c>
      <c r="D910" s="17" t="str">
        <f>VLOOKUP(C910,[1]Maliteslimalan!$A$1:$B$210,2,0)</f>
        <v>8000012767</v>
      </c>
      <c r="E910" s="19">
        <f>VLOOKUP(C910,[1]Bestellnr.!$A$1:$B$174,2,0)</f>
        <v>0</v>
      </c>
      <c r="F910" s="20" t="str">
        <f t="shared" si="462"/>
        <v>N   106 648 01</v>
      </c>
      <c r="G910" s="21">
        <v>100326700</v>
      </c>
      <c r="H910" s="17">
        <f t="shared" si="463"/>
        <v>1.4670000000000001E-2</v>
      </c>
      <c r="I910" s="20"/>
      <c r="J910" s="17">
        <f t="shared" si="464"/>
        <v>900</v>
      </c>
      <c r="K910" s="17">
        <f t="shared" si="465"/>
        <v>0</v>
      </c>
      <c r="L910" s="22">
        <v>10</v>
      </c>
      <c r="M910" s="22">
        <v>30</v>
      </c>
      <c r="N910" s="22">
        <v>111444</v>
      </c>
      <c r="O910" s="22" t="str">
        <f t="shared" si="466"/>
        <v>001006</v>
      </c>
      <c r="P910" s="22">
        <f t="shared" si="467"/>
        <v>34</v>
      </c>
      <c r="Q910" s="22"/>
      <c r="R910" s="23" t="s">
        <v>153</v>
      </c>
      <c r="S910" s="22">
        <f t="shared" si="468"/>
        <v>0.56999999999999995</v>
      </c>
      <c r="T910" s="24">
        <f t="shared" si="469"/>
        <v>0</v>
      </c>
      <c r="U910" s="25">
        <f t="shared" si="470"/>
        <v>2</v>
      </c>
      <c r="V910" s="26" t="str">
        <f t="shared" si="471"/>
        <v/>
      </c>
    </row>
    <row r="911" spans="1:22" ht="48" customHeight="1" x14ac:dyDescent="0.25">
      <c r="A911" s="17" t="str">
        <f>VLOOKUP(C911,[1]Werke!$A$1:$C$168,3,0)</f>
        <v>26D</v>
      </c>
      <c r="B911" s="17" t="str">
        <f>VLOOKUP(C911,[1]Werke!$A$1:$C$168,2,0)</f>
        <v>G18</v>
      </c>
      <c r="C911" s="18" t="s">
        <v>257</v>
      </c>
      <c r="D911" s="17" t="str">
        <f>VLOOKUP(C911,[1]Maliteslimalan!$A$1:$B$210,2,0)</f>
        <v>8000012600</v>
      </c>
      <c r="E911" s="19">
        <f>VLOOKUP(C911,[1]Bestellnr.!$A$1:$B$174,2,0)</f>
        <v>0</v>
      </c>
      <c r="F911" s="20" t="str">
        <f t="shared" si="462"/>
        <v>N   106 648 01</v>
      </c>
      <c r="G911" s="21">
        <v>100326700</v>
      </c>
      <c r="H911" s="17">
        <f t="shared" si="463"/>
        <v>1.4670000000000001E-2</v>
      </c>
      <c r="I911" s="20"/>
      <c r="J911" s="17">
        <f t="shared" si="464"/>
        <v>900</v>
      </c>
      <c r="K911" s="17">
        <f t="shared" si="465"/>
        <v>0</v>
      </c>
      <c r="L911" s="22">
        <v>10</v>
      </c>
      <c r="M911" s="22">
        <v>30</v>
      </c>
      <c r="N911" s="22">
        <v>111444</v>
      </c>
      <c r="O911" s="22" t="str">
        <f t="shared" si="466"/>
        <v>001006</v>
      </c>
      <c r="P911" s="22">
        <f t="shared" si="467"/>
        <v>34</v>
      </c>
      <c r="Q911" s="22"/>
      <c r="R911" s="23" t="s">
        <v>153</v>
      </c>
      <c r="S911" s="22">
        <f t="shared" si="468"/>
        <v>0.56999999999999995</v>
      </c>
      <c r="T911" s="24">
        <f t="shared" si="469"/>
        <v>0</v>
      </c>
      <c r="U911" s="25">
        <f t="shared" si="470"/>
        <v>2</v>
      </c>
      <c r="V911" s="26" t="str">
        <f t="shared" si="471"/>
        <v/>
      </c>
    </row>
    <row r="912" spans="1:22" ht="48" customHeight="1" x14ac:dyDescent="0.25">
      <c r="A912" s="17">
        <f>VLOOKUP(C912,[1]Werke!$A$1:$C$168,3,0)</f>
        <v>34</v>
      </c>
      <c r="B912" s="17" t="str">
        <f>VLOOKUP(C912,[1]Werke!$A$1:$C$168,2,0)</f>
        <v>01</v>
      </c>
      <c r="C912" s="18" t="s">
        <v>280</v>
      </c>
      <c r="D912" s="17" t="str">
        <f>VLOOKUP(C912,[1]Maliteslimalan!$A$1:$B$210,2,0)</f>
        <v>8000012622</v>
      </c>
      <c r="E912" s="19">
        <f>VLOOKUP(C912,[1]Bestellnr.!$A$1:$B$174,2,0)</f>
        <v>0</v>
      </c>
      <c r="F912" s="20" t="str">
        <f t="shared" si="462"/>
        <v>N   106 648 01</v>
      </c>
      <c r="G912" s="21">
        <v>100326700</v>
      </c>
      <c r="H912" s="17">
        <f t="shared" si="463"/>
        <v>1.4670000000000001E-2</v>
      </c>
      <c r="I912" s="20"/>
      <c r="J912" s="17">
        <f t="shared" si="464"/>
        <v>900</v>
      </c>
      <c r="K912" s="17">
        <f t="shared" si="465"/>
        <v>0</v>
      </c>
      <c r="L912" s="22">
        <v>10</v>
      </c>
      <c r="M912" s="22">
        <v>30</v>
      </c>
      <c r="N912" s="22">
        <v>111444</v>
      </c>
      <c r="O912" s="22" t="str">
        <f t="shared" si="466"/>
        <v>001006</v>
      </c>
      <c r="P912" s="22">
        <f t="shared" si="467"/>
        <v>34</v>
      </c>
      <c r="Q912" s="22"/>
      <c r="R912" s="23" t="s">
        <v>153</v>
      </c>
      <c r="S912" s="22">
        <f t="shared" si="468"/>
        <v>0.56999999999999995</v>
      </c>
      <c r="T912" s="24">
        <f t="shared" si="469"/>
        <v>0</v>
      </c>
      <c r="U912" s="25">
        <f t="shared" si="470"/>
        <v>2</v>
      </c>
      <c r="V912" s="26" t="str">
        <f t="shared" si="471"/>
        <v/>
      </c>
    </row>
    <row r="913" spans="1:22" ht="48" customHeight="1" x14ac:dyDescent="0.25">
      <c r="A913" s="17" t="str">
        <f>VLOOKUP(C913,[1]Werke!$A$1:$C$168,3,0)</f>
        <v>LD</v>
      </c>
      <c r="B913" s="17" t="str">
        <f>VLOOKUP(C913,[1]Werke!$A$1:$C$168,2,0)</f>
        <v>SLD</v>
      </c>
      <c r="C913" s="18">
        <v>83630</v>
      </c>
      <c r="D913" s="17" t="str">
        <f>VLOOKUP(C913,[1]Maliteslimalan!$A$1:$B$210,2,0)</f>
        <v>8000012862</v>
      </c>
      <c r="E913" s="19" t="str">
        <f>VLOOKUP(C913,[1]Bestellnr.!$A$1:$B$174,2,0)</f>
        <v>000006</v>
      </c>
      <c r="F913" s="20" t="str">
        <f t="shared" si="462"/>
        <v>N   106 648 01</v>
      </c>
      <c r="G913" s="21">
        <v>100326700</v>
      </c>
      <c r="H913" s="17">
        <f t="shared" si="463"/>
        <v>1.4670000000000001E-2</v>
      </c>
      <c r="I913" s="20"/>
      <c r="J913" s="17">
        <f t="shared" si="464"/>
        <v>900</v>
      </c>
      <c r="K913" s="17">
        <f t="shared" si="465"/>
        <v>0</v>
      </c>
      <c r="L913" s="22">
        <v>10</v>
      </c>
      <c r="M913" s="22">
        <v>30</v>
      </c>
      <c r="N913" s="22">
        <v>111444</v>
      </c>
      <c r="O913" s="22" t="str">
        <f t="shared" si="466"/>
        <v>001006</v>
      </c>
      <c r="P913" s="22">
        <f t="shared" si="467"/>
        <v>34</v>
      </c>
      <c r="Q913" s="22"/>
      <c r="R913" s="23" t="s">
        <v>153</v>
      </c>
      <c r="S913" s="22">
        <f t="shared" si="468"/>
        <v>0.56999999999999995</v>
      </c>
      <c r="T913" s="24">
        <f t="shared" si="469"/>
        <v>0</v>
      </c>
      <c r="U913" s="25">
        <f t="shared" si="470"/>
        <v>2</v>
      </c>
      <c r="V913" s="26" t="str">
        <f t="shared" si="471"/>
        <v/>
      </c>
    </row>
    <row r="914" spans="1:22" ht="48" customHeight="1" x14ac:dyDescent="0.25">
      <c r="A914" s="17">
        <f>VLOOKUP(C914,[1]Werke!$A$1:$C$168,3,0)</f>
        <v>7</v>
      </c>
      <c r="B914" s="17" t="str">
        <f>VLOOKUP(C914,[1]Werke!$A$1:$C$168,2,0)</f>
        <v>HL3</v>
      </c>
      <c r="C914" s="18" t="s">
        <v>325</v>
      </c>
      <c r="D914" s="17">
        <f>VLOOKUP(C914,[1]Maliteslimalan!$A$1:$B$210,2,0)</f>
        <v>8000017643</v>
      </c>
      <c r="E914" s="19">
        <v>6</v>
      </c>
      <c r="F914" s="20" t="str">
        <f t="shared" si="462"/>
        <v>N   106 648 01</v>
      </c>
      <c r="G914" s="21">
        <v>100326700</v>
      </c>
      <c r="H914" s="17">
        <f t="shared" si="463"/>
        <v>1.4670000000000001E-2</v>
      </c>
      <c r="I914" s="20"/>
      <c r="J914" s="17">
        <f t="shared" si="464"/>
        <v>900</v>
      </c>
      <c r="K914" s="17">
        <f t="shared" si="465"/>
        <v>0</v>
      </c>
      <c r="L914" s="22">
        <v>20</v>
      </c>
      <c r="M914" s="22">
        <v>60</v>
      </c>
      <c r="N914" s="22" t="s">
        <v>155</v>
      </c>
      <c r="O914" s="22" t="str">
        <f t="shared" si="466"/>
        <v>001210</v>
      </c>
      <c r="P914" s="22">
        <f t="shared" si="467"/>
        <v>55</v>
      </c>
      <c r="Q914" s="22"/>
      <c r="R914" s="23" t="s">
        <v>153</v>
      </c>
      <c r="S914" s="22">
        <f t="shared" si="468"/>
        <v>0.56999999999999995</v>
      </c>
      <c r="T914" s="24">
        <f t="shared" si="469"/>
        <v>0</v>
      </c>
      <c r="U914" s="25">
        <f t="shared" si="470"/>
        <v>2</v>
      </c>
      <c r="V914" s="26" t="str">
        <f t="shared" si="471"/>
        <v/>
      </c>
    </row>
    <row r="915" spans="1:22" ht="48" customHeight="1" x14ac:dyDescent="0.25">
      <c r="A915" s="17" t="str">
        <f>VLOOKUP(C915,[1]Werke!$A$1:$C$168,3,0)</f>
        <v>14S</v>
      </c>
      <c r="B915" s="17" t="str">
        <f>VLOOKUP(C915,[1]Werke!$A$1:$C$168,2,0)</f>
        <v>H26</v>
      </c>
      <c r="C915" s="18" t="s">
        <v>288</v>
      </c>
      <c r="D915" s="17">
        <f>VLOOKUP(C915,[1]Maliteslimalan!$A$1:$B$210,2,0)</f>
        <v>8000012915</v>
      </c>
      <c r="E915" s="19">
        <v>6</v>
      </c>
      <c r="F915" s="20" t="str">
        <f t="shared" si="462"/>
        <v>N   106 648 01</v>
      </c>
      <c r="G915" s="21">
        <v>100326700</v>
      </c>
      <c r="H915" s="17">
        <f t="shared" si="463"/>
        <v>1.4670000000000001E-2</v>
      </c>
      <c r="I915" s="20"/>
      <c r="J915" s="17">
        <f t="shared" si="464"/>
        <v>900</v>
      </c>
      <c r="K915" s="17">
        <f t="shared" si="465"/>
        <v>0</v>
      </c>
      <c r="L915" s="22">
        <v>10</v>
      </c>
      <c r="M915" s="22">
        <v>30</v>
      </c>
      <c r="N915" s="22">
        <v>111444</v>
      </c>
      <c r="O915" s="22" t="str">
        <f t="shared" si="466"/>
        <v>001006</v>
      </c>
      <c r="P915" s="22">
        <f t="shared" si="467"/>
        <v>34</v>
      </c>
      <c r="Q915" s="22"/>
      <c r="R915" s="23" t="s">
        <v>153</v>
      </c>
      <c r="S915" s="22">
        <f t="shared" si="468"/>
        <v>0.56999999999999995</v>
      </c>
      <c r="T915" s="24">
        <f t="shared" si="469"/>
        <v>0</v>
      </c>
      <c r="U915" s="25">
        <f t="shared" si="470"/>
        <v>2</v>
      </c>
      <c r="V915" s="26" t="str">
        <f t="shared" si="471"/>
        <v/>
      </c>
    </row>
    <row r="916" spans="1:22" ht="48" customHeight="1" x14ac:dyDescent="0.25">
      <c r="A916" s="17">
        <f>VLOOKUP(C916,[1]Werke!$A$1:$C$168,3,0)</f>
        <v>17</v>
      </c>
      <c r="B916" s="17" t="str">
        <f>VLOOKUP(C916,[1]Werke!$A$1:$C$168,2,0)</f>
        <v>H2B</v>
      </c>
      <c r="C916" s="20" t="s">
        <v>289</v>
      </c>
      <c r="D916" s="17" t="str">
        <f>VLOOKUP(C916,[1]Maliteslimalan!$A$1:$B$210,2,0)</f>
        <v>8000012624</v>
      </c>
      <c r="E916" s="19" t="str">
        <f>VLOOKUP(C916,[1]Bestellnr.!$A$1:$B$174,2,0)</f>
        <v>000006</v>
      </c>
      <c r="F916" s="20" t="str">
        <f t="shared" si="462"/>
        <v>N   106 648 01</v>
      </c>
      <c r="G916" s="21">
        <v>100326700</v>
      </c>
      <c r="H916" s="17">
        <f t="shared" si="463"/>
        <v>1.4670000000000001E-2</v>
      </c>
      <c r="I916" s="20"/>
      <c r="J916" s="17">
        <f t="shared" si="464"/>
        <v>900</v>
      </c>
      <c r="K916" s="17">
        <f t="shared" si="465"/>
        <v>0</v>
      </c>
      <c r="L916" s="22">
        <v>10</v>
      </c>
      <c r="M916" s="22">
        <v>30</v>
      </c>
      <c r="N916" s="22">
        <v>111444</v>
      </c>
      <c r="O916" s="22" t="str">
        <f t="shared" si="466"/>
        <v>001006</v>
      </c>
      <c r="P916" s="22">
        <f t="shared" si="467"/>
        <v>34</v>
      </c>
      <c r="Q916" s="22"/>
      <c r="R916" s="23" t="s">
        <v>153</v>
      </c>
      <c r="S916" s="22">
        <f t="shared" si="468"/>
        <v>0.56999999999999995</v>
      </c>
      <c r="T916" s="24">
        <f t="shared" si="469"/>
        <v>0</v>
      </c>
      <c r="U916" s="25">
        <f t="shared" si="470"/>
        <v>2</v>
      </c>
      <c r="V916" s="26" t="str">
        <f t="shared" si="471"/>
        <v/>
      </c>
    </row>
    <row r="917" spans="1:22" ht="48" customHeight="1" x14ac:dyDescent="0.25">
      <c r="A917" s="17">
        <f>VLOOKUP(C917,[1]Werke!$A$1:$C$168,3,0)</f>
        <v>27</v>
      </c>
      <c r="B917" s="17" t="str">
        <f>VLOOKUP(C917,[1]Werke!$A$1:$C$168,2,0)</f>
        <v>EFL</v>
      </c>
      <c r="C917" s="18" t="s">
        <v>290</v>
      </c>
      <c r="D917" s="17" t="str">
        <f>VLOOKUP(C917,[1]Maliteslimalan!$A$1:$B$210,2,0)</f>
        <v>8000012573</v>
      </c>
      <c r="E917" s="19" t="str">
        <f>VLOOKUP(C917,[1]Bestellnr.!$A$1:$B$174,2,0)</f>
        <v>000006</v>
      </c>
      <c r="F917" s="20" t="str">
        <f t="shared" si="462"/>
        <v>N   106 648 01</v>
      </c>
      <c r="G917" s="21">
        <v>100326700</v>
      </c>
      <c r="H917" s="17">
        <f t="shared" si="463"/>
        <v>1.4670000000000001E-2</v>
      </c>
      <c r="I917" s="20"/>
      <c r="J917" s="17">
        <f t="shared" si="464"/>
        <v>900</v>
      </c>
      <c r="K917" s="17">
        <f t="shared" si="465"/>
        <v>0</v>
      </c>
      <c r="L917" s="22">
        <v>10</v>
      </c>
      <c r="M917" s="22">
        <v>30</v>
      </c>
      <c r="N917" s="22">
        <v>111444</v>
      </c>
      <c r="O917" s="22" t="str">
        <f t="shared" si="466"/>
        <v>001006</v>
      </c>
      <c r="P917" s="22">
        <f t="shared" si="467"/>
        <v>34</v>
      </c>
      <c r="Q917" s="22"/>
      <c r="R917" s="23" t="s">
        <v>153</v>
      </c>
      <c r="S917" s="22">
        <f t="shared" si="468"/>
        <v>0.56999999999999995</v>
      </c>
      <c r="T917" s="24">
        <f t="shared" si="469"/>
        <v>0</v>
      </c>
      <c r="U917" s="25">
        <f t="shared" si="470"/>
        <v>2</v>
      </c>
      <c r="V917" s="26" t="str">
        <f t="shared" si="471"/>
        <v/>
      </c>
    </row>
    <row r="918" spans="1:22" ht="48" customHeight="1" x14ac:dyDescent="0.25">
      <c r="A918" s="17" t="str">
        <f>VLOOKUP(C918,[1]Werke!$A$1:$C$168,3,0)</f>
        <v>3P</v>
      </c>
      <c r="B918" s="17" t="str">
        <f>VLOOKUP(C918,[1]Werke!$A$1:$C$168,2,0)</f>
        <v>BP4</v>
      </c>
      <c r="C918" s="18" t="s">
        <v>234</v>
      </c>
      <c r="D918" s="17" t="str">
        <f>VLOOKUP(C918,[1]Maliteslimalan!$A$1:$B$210,2,0)</f>
        <v>8000012617</v>
      </c>
      <c r="E918" s="19" t="str">
        <f>VLOOKUP(C918,[1]Bestellnr.!$A$1:$B$174,2,0)</f>
        <v>000055</v>
      </c>
      <c r="F918" s="20" t="str">
        <f t="shared" si="462"/>
        <v>N   106 648 01</v>
      </c>
      <c r="G918" s="21">
        <v>100326700</v>
      </c>
      <c r="H918" s="17">
        <f t="shared" si="463"/>
        <v>1.4670000000000001E-2</v>
      </c>
      <c r="I918" s="20"/>
      <c r="J918" s="17">
        <f t="shared" si="464"/>
        <v>900</v>
      </c>
      <c r="K918" s="17">
        <f t="shared" si="465"/>
        <v>0</v>
      </c>
      <c r="L918" s="22">
        <v>10</v>
      </c>
      <c r="M918" s="22">
        <v>30</v>
      </c>
      <c r="N918" s="22">
        <v>111444</v>
      </c>
      <c r="O918" s="22" t="str">
        <f t="shared" si="466"/>
        <v>001006</v>
      </c>
      <c r="P918" s="22">
        <f t="shared" si="467"/>
        <v>34</v>
      </c>
      <c r="Q918" s="22"/>
      <c r="R918" s="23" t="s">
        <v>153</v>
      </c>
      <c r="S918" s="22">
        <f t="shared" si="468"/>
        <v>0.56999999999999995</v>
      </c>
      <c r="T918" s="24">
        <f t="shared" si="469"/>
        <v>0</v>
      </c>
      <c r="U918" s="25">
        <f t="shared" si="470"/>
        <v>2</v>
      </c>
      <c r="V918" s="26" t="str">
        <f t="shared" si="471"/>
        <v/>
      </c>
    </row>
    <row r="919" spans="1:22" ht="48" customHeight="1" x14ac:dyDescent="0.25">
      <c r="A919" s="17" t="str">
        <f>VLOOKUP(C919,[1]Werke!$A$1:$C$168,3,0)</f>
        <v>3U</v>
      </c>
      <c r="B919" s="17" t="str">
        <f>VLOOKUP(C919,[1]Werke!$A$1:$C$168,2,0)</f>
        <v>BZ2</v>
      </c>
      <c r="C919" s="18" t="s">
        <v>235</v>
      </c>
      <c r="D919" s="17" t="str">
        <f>VLOOKUP(C919,[1]Maliteslimalan!$A$1:$B$210,2,0)</f>
        <v>8000012860</v>
      </c>
      <c r="E919" s="19" t="str">
        <f>VLOOKUP(C919,[1]Bestellnr.!$A$1:$B$174,2,0)</f>
        <v>000055</v>
      </c>
      <c r="F919" s="20" t="str">
        <f t="shared" si="462"/>
        <v>N   106 648 01</v>
      </c>
      <c r="G919" s="21">
        <v>100326700</v>
      </c>
      <c r="H919" s="17">
        <f t="shared" si="463"/>
        <v>1.4670000000000001E-2</v>
      </c>
      <c r="I919" s="20"/>
      <c r="J919" s="17">
        <f t="shared" si="464"/>
        <v>900</v>
      </c>
      <c r="K919" s="17">
        <f t="shared" si="465"/>
        <v>0</v>
      </c>
      <c r="L919" s="22">
        <v>10</v>
      </c>
      <c r="M919" s="22">
        <v>30</v>
      </c>
      <c r="N919" s="22">
        <v>111444</v>
      </c>
      <c r="O919" s="22" t="str">
        <f t="shared" si="466"/>
        <v>001006</v>
      </c>
      <c r="P919" s="22">
        <f t="shared" si="467"/>
        <v>34</v>
      </c>
      <c r="Q919" s="22"/>
      <c r="R919" s="23" t="s">
        <v>153</v>
      </c>
      <c r="S919" s="22">
        <f t="shared" si="468"/>
        <v>0.56999999999999995</v>
      </c>
      <c r="T919" s="24">
        <f t="shared" si="469"/>
        <v>0</v>
      </c>
      <c r="U919" s="25">
        <f t="shared" si="470"/>
        <v>2</v>
      </c>
      <c r="V919" s="26" t="str">
        <f t="shared" si="471"/>
        <v/>
      </c>
    </row>
    <row r="920" spans="1:22" ht="48" customHeight="1" x14ac:dyDescent="0.25">
      <c r="A920" s="17">
        <f>VLOOKUP(C920,[1]Werke!$A$1:$C$168,3,0)</f>
        <v>24</v>
      </c>
      <c r="B920" s="17" t="str">
        <f>VLOOKUP(C920,[1]Werke!$A$1:$C$168,2,0)</f>
        <v>CKH</v>
      </c>
      <c r="C920" s="18" t="s">
        <v>224</v>
      </c>
      <c r="D920" s="17">
        <f>VLOOKUP(C920,[1]Maliteslimalan!$A$1:$B$210,2,0)</f>
        <v>8000013551</v>
      </c>
      <c r="E920" s="19">
        <v>6</v>
      </c>
      <c r="F920" s="20" t="str">
        <f t="shared" si="462"/>
        <v>N   106 648 01</v>
      </c>
      <c r="G920" s="21">
        <v>100326700</v>
      </c>
      <c r="H920" s="17">
        <f t="shared" si="463"/>
        <v>1.4670000000000001E-2</v>
      </c>
      <c r="I920" s="20"/>
      <c r="J920" s="17">
        <f t="shared" si="464"/>
        <v>900</v>
      </c>
      <c r="K920" s="17">
        <f t="shared" si="465"/>
        <v>0</v>
      </c>
      <c r="L920" s="22">
        <v>10</v>
      </c>
      <c r="M920" s="22">
        <v>30</v>
      </c>
      <c r="N920" s="22">
        <v>111444</v>
      </c>
      <c r="O920" s="22" t="str">
        <f t="shared" si="466"/>
        <v>001006</v>
      </c>
      <c r="P920" s="22">
        <f t="shared" si="467"/>
        <v>34</v>
      </c>
      <c r="Q920" s="22"/>
      <c r="R920" s="23" t="s">
        <v>153</v>
      </c>
      <c r="S920" s="22">
        <f t="shared" si="468"/>
        <v>0.56999999999999995</v>
      </c>
      <c r="T920" s="24">
        <f t="shared" si="469"/>
        <v>0</v>
      </c>
      <c r="U920" s="25">
        <f t="shared" si="470"/>
        <v>2</v>
      </c>
      <c r="V920" s="26" t="str">
        <f t="shared" si="471"/>
        <v/>
      </c>
    </row>
    <row r="921" spans="1:22" ht="48" customHeight="1" x14ac:dyDescent="0.25">
      <c r="A921" s="17" t="str">
        <f>VLOOKUP(C921,[1]Werke!$A$1:$C$168,3,0)</f>
        <v>IM</v>
      </c>
      <c r="B921" s="17">
        <f>VLOOKUP(C921,[1]Werke!$A$1:$C$168,2,0)</f>
        <v>889</v>
      </c>
      <c r="C921" s="18" t="s">
        <v>225</v>
      </c>
      <c r="D921" s="17">
        <f>VLOOKUP(C921,[1]Maliteslimalan!$A$1:$B$210,2,0)</f>
        <v>8000017117</v>
      </c>
      <c r="E921" s="19">
        <v>6</v>
      </c>
      <c r="F921" s="20" t="str">
        <f t="shared" si="462"/>
        <v>N   106 648 01</v>
      </c>
      <c r="G921" s="21">
        <v>100326700</v>
      </c>
      <c r="H921" s="17">
        <f t="shared" si="463"/>
        <v>1.4670000000000001E-2</v>
      </c>
      <c r="I921" s="20"/>
      <c r="J921" s="17">
        <f t="shared" si="464"/>
        <v>900</v>
      </c>
      <c r="K921" s="17">
        <f t="shared" si="465"/>
        <v>0</v>
      </c>
      <c r="L921" s="22">
        <v>20</v>
      </c>
      <c r="M921" s="22">
        <v>20</v>
      </c>
      <c r="N921" s="22" t="s">
        <v>155</v>
      </c>
      <c r="O921" s="22" t="str">
        <f t="shared" si="466"/>
        <v>001210</v>
      </c>
      <c r="P921" s="22">
        <f t="shared" si="467"/>
        <v>55</v>
      </c>
      <c r="Q921" s="22"/>
      <c r="R921" s="23" t="s">
        <v>153</v>
      </c>
      <c r="S921" s="22">
        <f t="shared" si="468"/>
        <v>0.56999999999999995</v>
      </c>
      <c r="T921" s="24">
        <f t="shared" si="469"/>
        <v>0</v>
      </c>
      <c r="U921" s="25">
        <f t="shared" si="470"/>
        <v>2</v>
      </c>
      <c r="V921" s="26" t="str">
        <f t="shared" si="471"/>
        <v/>
      </c>
    </row>
    <row r="922" spans="1:22" ht="48" customHeight="1" x14ac:dyDescent="0.25">
      <c r="A922" s="17">
        <f>VLOOKUP(C922,[1]Werke!$A$1:$C$168,3,0)</f>
        <v>11</v>
      </c>
      <c r="B922" s="17" t="str">
        <f>VLOOKUP(C922,[1]Werke!$A$1:$C$168,2,0)</f>
        <v>AKL</v>
      </c>
      <c r="C922" s="18" t="s">
        <v>227</v>
      </c>
      <c r="D922" s="17" t="str">
        <f>VLOOKUP(C922,[1]Maliteslimalan!$A$1:$B$210,2,0)</f>
        <v>8000012570</v>
      </c>
      <c r="E922" s="19" t="str">
        <f>VLOOKUP(C922,[1]Bestellnr.!$A$1:$B$174,2,0)</f>
        <v>000006</v>
      </c>
      <c r="F922" s="20" t="str">
        <f t="shared" si="462"/>
        <v>N   106 648 01</v>
      </c>
      <c r="G922" s="21">
        <v>100326700</v>
      </c>
      <c r="H922" s="17">
        <f t="shared" si="463"/>
        <v>1.4670000000000001E-2</v>
      </c>
      <c r="I922" s="20"/>
      <c r="J922" s="17">
        <f t="shared" si="464"/>
        <v>900</v>
      </c>
      <c r="K922" s="17">
        <f t="shared" si="465"/>
        <v>0</v>
      </c>
      <c r="L922" s="22">
        <v>20</v>
      </c>
      <c r="M922" s="22">
        <v>20</v>
      </c>
      <c r="N922" s="22" t="s">
        <v>155</v>
      </c>
      <c r="O922" s="22" t="str">
        <f t="shared" si="466"/>
        <v>001210</v>
      </c>
      <c r="P922" s="22">
        <f t="shared" si="467"/>
        <v>55</v>
      </c>
      <c r="Q922" s="22"/>
      <c r="R922" s="23" t="s">
        <v>153</v>
      </c>
      <c r="S922" s="22">
        <f t="shared" si="468"/>
        <v>0.56999999999999995</v>
      </c>
      <c r="T922" s="24">
        <f t="shared" si="469"/>
        <v>0</v>
      </c>
      <c r="U922" s="25">
        <f t="shared" si="470"/>
        <v>2</v>
      </c>
      <c r="V922" s="26" t="str">
        <f t="shared" si="471"/>
        <v/>
      </c>
    </row>
    <row r="923" spans="1:22" ht="48" customHeight="1" x14ac:dyDescent="0.25">
      <c r="A923" s="17">
        <f>VLOOKUP(C923,[1]Werke!$A$1:$C$168,3,0)</f>
        <v>22</v>
      </c>
      <c r="B923" s="17" t="str">
        <f>VLOOKUP(C923,[1]Werke!$A$1:$C$168,2,0)</f>
        <v>13P</v>
      </c>
      <c r="C923" s="18" t="s">
        <v>230</v>
      </c>
      <c r="D923" s="17" t="str">
        <f>VLOOKUP(C923,[1]Maliteslimalan!$A$1:$B$210,2,0)</f>
        <v>8000013344</v>
      </c>
      <c r="E923" s="19" t="str">
        <f>VLOOKUP(C923,[1]Bestellnr.!$A$1:$B$174,2,0)</f>
        <v>000006</v>
      </c>
      <c r="F923" s="20" t="str">
        <f t="shared" si="462"/>
        <v>N   106 648 01</v>
      </c>
      <c r="G923" s="21">
        <v>100326700</v>
      </c>
      <c r="H923" s="17">
        <f t="shared" si="463"/>
        <v>1.4670000000000001E-2</v>
      </c>
      <c r="I923" s="20"/>
      <c r="J923" s="17">
        <f t="shared" si="464"/>
        <v>900</v>
      </c>
      <c r="K923" s="17">
        <f t="shared" si="465"/>
        <v>0</v>
      </c>
      <c r="L923" s="22">
        <v>10</v>
      </c>
      <c r="M923" s="22">
        <v>30</v>
      </c>
      <c r="N923" s="22">
        <v>111444</v>
      </c>
      <c r="O923" s="22" t="str">
        <f t="shared" si="466"/>
        <v>001006</v>
      </c>
      <c r="P923" s="22">
        <f t="shared" si="467"/>
        <v>34</v>
      </c>
      <c r="Q923" s="22"/>
      <c r="R923" s="23" t="s">
        <v>153</v>
      </c>
      <c r="S923" s="22">
        <f t="shared" si="468"/>
        <v>0.56999999999999995</v>
      </c>
      <c r="T923" s="24">
        <f t="shared" si="469"/>
        <v>0</v>
      </c>
      <c r="U923" s="25">
        <f t="shared" si="470"/>
        <v>2</v>
      </c>
      <c r="V923" s="26" t="str">
        <f t="shared" si="471"/>
        <v/>
      </c>
    </row>
    <row r="924" spans="1:22" ht="48" customHeight="1" x14ac:dyDescent="0.25">
      <c r="A924" s="17">
        <f>VLOOKUP(C924,[1]Werke!$A$1:$C$168,3,0)</f>
        <v>37</v>
      </c>
      <c r="B924" s="17" t="str">
        <f>VLOOKUP(C924,[1]Werke!$A$1:$C$168,2,0)</f>
        <v>AKL</v>
      </c>
      <c r="C924" s="18" t="s">
        <v>232</v>
      </c>
      <c r="D924" s="17" t="str">
        <f>VLOOKUP(C924,[1]Maliteslimalan!$A$1:$B$210,2,0)</f>
        <v>8000012562</v>
      </c>
      <c r="E924" s="19" t="str">
        <f>VLOOKUP(C924,[1]Bestellnr.!$A$1:$B$174,2,0)</f>
        <v>000006</v>
      </c>
      <c r="F924" s="20" t="str">
        <f t="shared" si="462"/>
        <v>N   106 648 01</v>
      </c>
      <c r="G924" s="21">
        <v>100326700</v>
      </c>
      <c r="H924" s="17">
        <f t="shared" si="463"/>
        <v>1.4670000000000001E-2</v>
      </c>
      <c r="I924" s="20"/>
      <c r="J924" s="17">
        <f t="shared" si="464"/>
        <v>900</v>
      </c>
      <c r="K924" s="17">
        <f t="shared" si="465"/>
        <v>0</v>
      </c>
      <c r="L924" s="22">
        <v>10</v>
      </c>
      <c r="M924" s="22">
        <v>10</v>
      </c>
      <c r="N924" s="22">
        <v>111444</v>
      </c>
      <c r="O924" s="22" t="str">
        <f t="shared" si="466"/>
        <v>001006</v>
      </c>
      <c r="P924" s="22">
        <f t="shared" si="467"/>
        <v>34</v>
      </c>
      <c r="Q924" s="22"/>
      <c r="R924" s="23" t="s">
        <v>153</v>
      </c>
      <c r="S924" s="22">
        <f t="shared" si="468"/>
        <v>0.56999999999999995</v>
      </c>
      <c r="T924" s="24">
        <f t="shared" si="469"/>
        <v>0</v>
      </c>
      <c r="U924" s="25">
        <f t="shared" si="470"/>
        <v>2</v>
      </c>
      <c r="V924" s="26" t="str">
        <f t="shared" si="471"/>
        <v/>
      </c>
    </row>
    <row r="925" spans="1:22" ht="48" customHeight="1" x14ac:dyDescent="0.25">
      <c r="A925" s="17">
        <f>VLOOKUP(C925,[1]Werke!$A$1:$C$168,3,0)</f>
        <v>33</v>
      </c>
      <c r="B925" s="17" t="str">
        <f>VLOOKUP(C925,[1]Werke!$A$1:$C$168,2,0)</f>
        <v>KK2</v>
      </c>
      <c r="C925" s="18" t="s">
        <v>233</v>
      </c>
      <c r="D925" s="17" t="str">
        <f>VLOOKUP(C925,[1]Maliteslimalan!$A$1:$B$210,2,0)</f>
        <v>8000012709</v>
      </c>
      <c r="E925" s="19" t="str">
        <f>VLOOKUP(C925,[1]Bestellnr.!$A$1:$B$174,2,0)</f>
        <v>000055</v>
      </c>
      <c r="F925" s="20" t="str">
        <f t="shared" si="462"/>
        <v>N   106 648 01</v>
      </c>
      <c r="G925" s="21">
        <v>100326700</v>
      </c>
      <c r="H925" s="17">
        <f t="shared" si="463"/>
        <v>1.4670000000000001E-2</v>
      </c>
      <c r="I925" s="20"/>
      <c r="J925" s="17">
        <f t="shared" si="464"/>
        <v>900</v>
      </c>
      <c r="K925" s="17">
        <f t="shared" si="465"/>
        <v>0</v>
      </c>
      <c r="L925" s="22">
        <v>20</v>
      </c>
      <c r="M925" s="22">
        <v>20</v>
      </c>
      <c r="N925" s="22" t="s">
        <v>155</v>
      </c>
      <c r="O925" s="22" t="str">
        <f t="shared" si="466"/>
        <v>001210</v>
      </c>
      <c r="P925" s="22">
        <f t="shared" si="467"/>
        <v>55</v>
      </c>
      <c r="Q925" s="22"/>
      <c r="R925" s="23" t="s">
        <v>153</v>
      </c>
      <c r="S925" s="22">
        <f t="shared" si="468"/>
        <v>0.56999999999999995</v>
      </c>
      <c r="T925" s="24">
        <f t="shared" si="469"/>
        <v>0</v>
      </c>
      <c r="U925" s="25">
        <f t="shared" si="470"/>
        <v>2</v>
      </c>
      <c r="V925" s="26" t="str">
        <f t="shared" si="471"/>
        <v/>
      </c>
    </row>
    <row r="926" spans="1:22" ht="48" customHeight="1" x14ac:dyDescent="0.25">
      <c r="A926" s="17">
        <f>VLOOKUP(C926,[1]Werke!$A$1:$C$168,3,0)</f>
        <v>40</v>
      </c>
      <c r="B926" s="17">
        <f>VLOOKUP(C926,[1]Werke!$A$1:$C$168,2,0)</f>
        <v>908</v>
      </c>
      <c r="C926" s="18" t="s">
        <v>236</v>
      </c>
      <c r="D926" s="17" t="str">
        <f>VLOOKUP(C926,[1]Maliteslimalan!$A$1:$B$210,2,0)</f>
        <v>8000012582</v>
      </c>
      <c r="E926" s="19" t="str">
        <f>VLOOKUP(C926,[1]Bestellnr.!$A$1:$B$174,2,0)</f>
        <v>000001</v>
      </c>
      <c r="F926" s="20" t="str">
        <f t="shared" si="462"/>
        <v>N   106 648 01</v>
      </c>
      <c r="G926" s="21">
        <v>100326700</v>
      </c>
      <c r="H926" s="17">
        <f t="shared" si="463"/>
        <v>1.4670000000000001E-2</v>
      </c>
      <c r="I926" s="20"/>
      <c r="J926" s="17">
        <f t="shared" si="464"/>
        <v>900</v>
      </c>
      <c r="K926" s="17">
        <f t="shared" si="465"/>
        <v>0</v>
      </c>
      <c r="L926" s="22">
        <v>10</v>
      </c>
      <c r="M926" s="22">
        <v>30</v>
      </c>
      <c r="N926" s="22">
        <v>111444</v>
      </c>
      <c r="O926" s="22" t="str">
        <f t="shared" si="466"/>
        <v>001006</v>
      </c>
      <c r="P926" s="22">
        <f t="shared" si="467"/>
        <v>34</v>
      </c>
      <c r="Q926" s="22"/>
      <c r="R926" s="23" t="s">
        <v>153</v>
      </c>
      <c r="S926" s="22">
        <f t="shared" si="468"/>
        <v>0.56999999999999995</v>
      </c>
      <c r="T926" s="24">
        <f t="shared" si="469"/>
        <v>0</v>
      </c>
      <c r="U926" s="25">
        <f t="shared" si="470"/>
        <v>2</v>
      </c>
      <c r="V926" s="26" t="str">
        <f t="shared" si="471"/>
        <v/>
      </c>
    </row>
    <row r="927" spans="1:22" ht="48" customHeight="1" x14ac:dyDescent="0.25">
      <c r="A927" s="17">
        <f>VLOOKUP(C927,[1]Werke!$A$1:$C$168,3,0)</f>
        <v>31</v>
      </c>
      <c r="B927" s="17" t="str">
        <f>VLOOKUP(C927,[1]Werke!$A$1:$C$168,2,0)</f>
        <v>BH7</v>
      </c>
      <c r="C927" s="18" t="s">
        <v>250</v>
      </c>
      <c r="D927" s="17">
        <f>VLOOKUP(C927,[1]Maliteslimalan!$A$1:$B$210,2,0)</f>
        <v>8000015577</v>
      </c>
      <c r="E927" s="19">
        <v>6</v>
      </c>
      <c r="F927" s="20" t="str">
        <f t="shared" si="462"/>
        <v>N   106 648 01</v>
      </c>
      <c r="G927" s="21">
        <v>100326700</v>
      </c>
      <c r="H927" s="17">
        <f t="shared" si="463"/>
        <v>1.4670000000000001E-2</v>
      </c>
      <c r="I927" s="20"/>
      <c r="J927" s="17">
        <f t="shared" si="464"/>
        <v>900</v>
      </c>
      <c r="K927" s="17">
        <f t="shared" si="465"/>
        <v>0</v>
      </c>
      <c r="L927" s="22">
        <v>20</v>
      </c>
      <c r="M927" s="22">
        <v>20</v>
      </c>
      <c r="N927" s="22" t="s">
        <v>155</v>
      </c>
      <c r="O927" s="22" t="str">
        <f t="shared" si="466"/>
        <v>001210</v>
      </c>
      <c r="P927" s="22">
        <f t="shared" si="467"/>
        <v>55</v>
      </c>
      <c r="Q927" s="22"/>
      <c r="R927" s="23" t="s">
        <v>153</v>
      </c>
      <c r="S927" s="22">
        <f t="shared" si="468"/>
        <v>0.56999999999999995</v>
      </c>
      <c r="T927" s="24">
        <f t="shared" si="469"/>
        <v>0</v>
      </c>
      <c r="U927" s="25">
        <f t="shared" si="470"/>
        <v>2</v>
      </c>
      <c r="V927" s="26" t="str">
        <f t="shared" si="471"/>
        <v/>
      </c>
    </row>
    <row r="928" spans="1:22" ht="48" customHeight="1" x14ac:dyDescent="0.25">
      <c r="A928" s="17" t="str">
        <f>VLOOKUP(C928,[1]Werke!$A$1:$C$168,3,0)</f>
        <v>3R</v>
      </c>
      <c r="B928" s="17" t="str">
        <f>VLOOKUP(C928,[1]Werke!$A$1:$C$168,2,0)</f>
        <v>BC9</v>
      </c>
      <c r="C928" s="32" t="s">
        <v>203</v>
      </c>
      <c r="D928" s="17">
        <f>VLOOKUP(C928,[1]Maliteslimalan!$A$1:$B$210,2,0)</f>
        <v>8000017021</v>
      </c>
      <c r="E928" s="19">
        <v>6</v>
      </c>
      <c r="F928" s="20" t="str">
        <f t="shared" si="462"/>
        <v>N   106 648 01</v>
      </c>
      <c r="G928" s="21">
        <v>100326700</v>
      </c>
      <c r="H928" s="17">
        <f t="shared" si="463"/>
        <v>1.4670000000000001E-2</v>
      </c>
      <c r="I928" s="20"/>
      <c r="J928" s="17">
        <f t="shared" si="464"/>
        <v>900</v>
      </c>
      <c r="K928" s="17">
        <f t="shared" si="465"/>
        <v>0</v>
      </c>
      <c r="L928" s="22">
        <v>10</v>
      </c>
      <c r="M928" s="22">
        <v>30</v>
      </c>
      <c r="N928" s="22">
        <v>111444</v>
      </c>
      <c r="O928" s="22" t="str">
        <f t="shared" si="466"/>
        <v>001006</v>
      </c>
      <c r="P928" s="22">
        <f t="shared" si="467"/>
        <v>34</v>
      </c>
      <c r="Q928" s="22"/>
      <c r="R928" s="23" t="s">
        <v>153</v>
      </c>
      <c r="S928" s="22">
        <f t="shared" si="468"/>
        <v>0.56999999999999995</v>
      </c>
      <c r="T928" s="24">
        <f t="shared" si="469"/>
        <v>0</v>
      </c>
      <c r="U928" s="25">
        <f t="shared" si="470"/>
        <v>2</v>
      </c>
      <c r="V928" s="26" t="str">
        <f t="shared" si="471"/>
        <v/>
      </c>
    </row>
    <row r="929" spans="1:22" ht="48" customHeight="1" x14ac:dyDescent="0.25">
      <c r="A929" s="17">
        <f>VLOOKUP(C929,[1]Werke!$A$1:$C$168,3,0)</f>
        <v>24</v>
      </c>
      <c r="B929" s="17" t="str">
        <f>VLOOKUP(C929,[1]Werke!$A$1:$C$168,2,0)</f>
        <v>CKS</v>
      </c>
      <c r="C929" s="18" t="s">
        <v>245</v>
      </c>
      <c r="D929" s="17" t="str">
        <f>VLOOKUP(C929,[1]Maliteslimalan!$A$1:$B$210,2,0)</f>
        <v>8000012647</v>
      </c>
      <c r="E929" s="19" t="str">
        <f>VLOOKUP(C929,[1]Bestellnr.!$A$1:$B$174,2,0)</f>
        <v>000006</v>
      </c>
      <c r="F929" s="20" t="str">
        <f t="shared" si="462"/>
        <v>N   106 648 01</v>
      </c>
      <c r="G929" s="21">
        <v>100326700</v>
      </c>
      <c r="H929" s="17">
        <f t="shared" si="463"/>
        <v>1.4670000000000001E-2</v>
      </c>
      <c r="I929" s="20"/>
      <c r="J929" s="17">
        <f t="shared" si="464"/>
        <v>900</v>
      </c>
      <c r="K929" s="17">
        <f t="shared" si="465"/>
        <v>0</v>
      </c>
      <c r="L929" s="22">
        <v>10</v>
      </c>
      <c r="M929" s="22">
        <v>30</v>
      </c>
      <c r="N929" s="22">
        <v>111444</v>
      </c>
      <c r="O929" s="22" t="str">
        <f t="shared" si="466"/>
        <v>001006</v>
      </c>
      <c r="P929" s="22">
        <f t="shared" si="467"/>
        <v>34</v>
      </c>
      <c r="Q929" s="22"/>
      <c r="R929" s="23" t="s">
        <v>153</v>
      </c>
      <c r="S929" s="22">
        <f t="shared" si="468"/>
        <v>0.56999999999999995</v>
      </c>
      <c r="T929" s="24">
        <f t="shared" si="469"/>
        <v>0</v>
      </c>
      <c r="U929" s="25">
        <f t="shared" si="470"/>
        <v>2</v>
      </c>
      <c r="V929" s="26" t="str">
        <f t="shared" si="471"/>
        <v/>
      </c>
    </row>
    <row r="930" spans="1:22" ht="48" customHeight="1" x14ac:dyDescent="0.25">
      <c r="A930" s="17"/>
      <c r="B930" s="17"/>
      <c r="C930" s="18"/>
      <c r="D930" s="17"/>
      <c r="E930" s="19"/>
      <c r="F930" s="20"/>
      <c r="G930" s="21"/>
      <c r="H930" s="17"/>
      <c r="I930" s="20"/>
      <c r="J930" s="17"/>
      <c r="K930" s="17"/>
      <c r="L930" s="22"/>
      <c r="M930" s="22"/>
      <c r="N930" s="22"/>
      <c r="O930" s="22"/>
      <c r="P930" s="22"/>
      <c r="Q930" s="22"/>
      <c r="R930" s="23"/>
      <c r="S930" s="22"/>
      <c r="T930" s="24"/>
      <c r="U930" s="25"/>
    </row>
    <row r="931" spans="1:22" ht="48" customHeight="1" x14ac:dyDescent="0.25">
      <c r="A931" s="17">
        <f>VLOOKUP(C931,[1]Werke!$A$1:$C$168,3,0)</f>
        <v>21</v>
      </c>
      <c r="B931" s="17" t="str">
        <f>VLOOKUP(C931,[1]Werke!$A$1:$C$168,2,0)</f>
        <v>GZD</v>
      </c>
      <c r="C931" s="18" t="s">
        <v>154</v>
      </c>
      <c r="D931" s="17" t="str">
        <f>VLOOKUP(C931,[1]Maliteslimalan!$A$1:$B$210,2,0)</f>
        <v>8000012572</v>
      </c>
      <c r="E931" s="19" t="str">
        <f>VLOOKUP(C931,[1]Bestellnr.!$A$1:$B$174,2,0)</f>
        <v>000006</v>
      </c>
      <c r="F931" s="20" t="str">
        <f t="shared" ref="F931:F948" si="472">VLOOKUP(G931,$U$1:$V$1730,2,0)</f>
        <v>N   106 421 01</v>
      </c>
      <c r="G931" s="21">
        <v>100326400</v>
      </c>
      <c r="H931" s="17">
        <f t="shared" ref="H931:H948" si="473">VLOOKUP(G931,Z$2:AA$1905,2,FALSE)</f>
        <v>1.779E-2</v>
      </c>
      <c r="I931" s="20"/>
      <c r="J931" s="17">
        <f t="shared" ref="J931:J948" si="474">VLOOKUP(G931,W$2:X$1905,2,FALSE)</f>
        <v>800</v>
      </c>
      <c r="K931" s="17">
        <f t="shared" ref="K931:K948" si="475">I931/J931</f>
        <v>0</v>
      </c>
      <c r="L931" s="22">
        <v>20</v>
      </c>
      <c r="M931" s="22">
        <v>20</v>
      </c>
      <c r="N931" s="22" t="s">
        <v>155</v>
      </c>
      <c r="O931" s="22" t="str">
        <f t="shared" ref="O931:O948" si="476">VLOOKUP(N931,$AL$1285:$AM$1310,2,FALSE)</f>
        <v>001210</v>
      </c>
      <c r="P931" s="22">
        <f t="shared" ref="P931:P948" si="477">VLOOKUP(N931,AC$2:AD$1905,2,FALSE)</f>
        <v>55</v>
      </c>
      <c r="Q931" s="22"/>
      <c r="R931" s="23" t="s">
        <v>153</v>
      </c>
      <c r="S931" s="22">
        <f t="shared" ref="S931:S948" si="478">VLOOKUP(R931,AC$2:AD$1905,2,FALSE)</f>
        <v>0.56999999999999995</v>
      </c>
      <c r="T931" s="24">
        <f t="shared" ref="T931:T948" si="479">(H931*I931)+P931*Q931+S931*K931</f>
        <v>0</v>
      </c>
      <c r="U931" s="25">
        <f t="shared" ref="U931:U948" si="480">IF(TRIM(N931&amp;"")="111444",
    IF(ROUNDUP(MAX(0,K931-(MAX(1,Q931)-1)*10)/10,0)=1,3,2),
    IF(TRIM(N931&amp;"")="VWPAL",
        IF(TRIM(R931&amp;"")="004147",1,2),
        ""
    )
)</f>
        <v>2</v>
      </c>
      <c r="V931" s="26" t="str">
        <f t="shared" ref="V931:V948" si="481">IF(OR(TRIM(N931&amp;"")="111444",TRIM(N931&amp;"")="VWPAL"),
    IF(K931&lt;=0,"",
        IF(
            MIN(3,ROUNDUP(MAX(0,K931-(MAX(1,Q931)-1)*IF(TRIM(N931&amp;"")="111444",10,20))/IF(TRIM(N931&amp;"")="111444",10,20),0))=1,
            300,
            IF(
                MIN(3,ROUNDUP(MAX(0,K931-(MAX(1,Q931)-1)*IF(TRIM(N931&amp;"")="111444",10,20))/IF(TRIM(N931&amp;"")="111444",10,20),0))=2,
                450,
                600
            )
        )
    ),
    ""
)</f>
        <v/>
      </c>
    </row>
    <row r="932" spans="1:22" ht="48" customHeight="1" x14ac:dyDescent="0.25">
      <c r="A932" s="17">
        <f>VLOOKUP(C932,[1]Werke!$A$1:$C$168,3,0)</f>
        <v>69</v>
      </c>
      <c r="B932" s="17" t="str">
        <f>VLOOKUP(C932,[1]Werke!$A$1:$C$168,2,0)</f>
        <v>C01</v>
      </c>
      <c r="C932" s="18" t="s">
        <v>326</v>
      </c>
      <c r="D932" s="17" t="str">
        <f>VLOOKUP(C932,[1]Maliteslimalan!$A$1:$B$210,2,0)</f>
        <v>8000012640</v>
      </c>
      <c r="E932" s="19" t="str">
        <f>VLOOKUP(C932,[1]Bestellnr.!$A$1:$B$174,2,0)</f>
        <v>000006</v>
      </c>
      <c r="F932" s="20" t="str">
        <f t="shared" si="472"/>
        <v>N   106 421 01</v>
      </c>
      <c r="G932" s="21">
        <v>100326400</v>
      </c>
      <c r="H932" s="17">
        <f t="shared" si="473"/>
        <v>1.779E-2</v>
      </c>
      <c r="I932" s="20"/>
      <c r="J932" s="17">
        <f t="shared" si="474"/>
        <v>800</v>
      </c>
      <c r="K932" s="17">
        <f t="shared" si="475"/>
        <v>0</v>
      </c>
      <c r="L932" s="22">
        <v>10</v>
      </c>
      <c r="M932" s="22">
        <v>10</v>
      </c>
      <c r="N932" s="22">
        <v>111444</v>
      </c>
      <c r="O932" s="22" t="str">
        <f t="shared" si="476"/>
        <v>001006</v>
      </c>
      <c r="P932" s="22">
        <f t="shared" si="477"/>
        <v>34</v>
      </c>
      <c r="Q932" s="22"/>
      <c r="R932" s="23" t="s">
        <v>153</v>
      </c>
      <c r="S932" s="22">
        <f t="shared" si="478"/>
        <v>0.56999999999999995</v>
      </c>
      <c r="T932" s="24">
        <f t="shared" si="479"/>
        <v>0</v>
      </c>
      <c r="U932" s="25">
        <f t="shared" si="480"/>
        <v>2</v>
      </c>
      <c r="V932" s="26" t="str">
        <f t="shared" si="481"/>
        <v/>
      </c>
    </row>
    <row r="933" spans="1:22" ht="48" customHeight="1" x14ac:dyDescent="0.25">
      <c r="A933" s="17" t="str">
        <f>VLOOKUP(C933,[1]Werke!$A$1:$C$168,3,0)</f>
        <v>3U</v>
      </c>
      <c r="B933" s="17" t="str">
        <f>VLOOKUP(C933,[1]Werke!$A$1:$C$168,2,0)</f>
        <v>BZ2</v>
      </c>
      <c r="C933" s="18" t="s">
        <v>235</v>
      </c>
      <c r="D933" s="17" t="str">
        <f>VLOOKUP(C933,[1]Maliteslimalan!$A$1:$B$210,2,0)</f>
        <v>8000012860</v>
      </c>
      <c r="E933" s="19" t="str">
        <f>VLOOKUP(C933,[1]Bestellnr.!$A$1:$B$174,2,0)</f>
        <v>000055</v>
      </c>
      <c r="F933" s="20" t="str">
        <f t="shared" si="472"/>
        <v>N   106 421 01</v>
      </c>
      <c r="G933" s="21">
        <v>100326400</v>
      </c>
      <c r="H933" s="17">
        <f t="shared" si="473"/>
        <v>1.779E-2</v>
      </c>
      <c r="I933" s="20"/>
      <c r="J933" s="17">
        <f t="shared" si="474"/>
        <v>800</v>
      </c>
      <c r="K933" s="17">
        <f t="shared" si="475"/>
        <v>0</v>
      </c>
      <c r="L933" s="22">
        <v>10</v>
      </c>
      <c r="M933" s="22">
        <v>30</v>
      </c>
      <c r="N933" s="22">
        <v>111444</v>
      </c>
      <c r="O933" s="22" t="str">
        <f t="shared" si="476"/>
        <v>001006</v>
      </c>
      <c r="P933" s="22">
        <f t="shared" si="477"/>
        <v>34</v>
      </c>
      <c r="Q933" s="22"/>
      <c r="R933" s="23" t="s">
        <v>153</v>
      </c>
      <c r="S933" s="22">
        <f t="shared" si="478"/>
        <v>0.56999999999999995</v>
      </c>
      <c r="T933" s="24">
        <f t="shared" si="479"/>
        <v>0</v>
      </c>
      <c r="U933" s="25">
        <f t="shared" si="480"/>
        <v>2</v>
      </c>
      <c r="V933" s="26" t="str">
        <f t="shared" si="481"/>
        <v/>
      </c>
    </row>
    <row r="934" spans="1:22" ht="48" customHeight="1" x14ac:dyDescent="0.25">
      <c r="A934" s="17">
        <f>VLOOKUP(C934,[1]Werke!$A$1:$C$168,3,0)</f>
        <v>14</v>
      </c>
      <c r="B934" s="17" t="str">
        <f>VLOOKUP(C934,[1]Werke!$A$1:$C$168,2,0)</f>
        <v>D66</v>
      </c>
      <c r="C934" s="18" t="s">
        <v>248</v>
      </c>
      <c r="D934" s="17" t="str">
        <f>VLOOKUP(C934,[1]Maliteslimalan!$A$1:$B$210,2,0)</f>
        <v>8000012561</v>
      </c>
      <c r="E934" s="19">
        <f>VLOOKUP(C934,[1]Bestellnr.!$A$1:$B$174,2,0)</f>
        <v>0</v>
      </c>
      <c r="F934" s="20" t="str">
        <f t="shared" si="472"/>
        <v>N   106 421 01</v>
      </c>
      <c r="G934" s="21">
        <v>100326400</v>
      </c>
      <c r="H934" s="17">
        <f t="shared" si="473"/>
        <v>1.779E-2</v>
      </c>
      <c r="I934" s="20"/>
      <c r="J934" s="17">
        <f t="shared" si="474"/>
        <v>800</v>
      </c>
      <c r="K934" s="17">
        <f t="shared" si="475"/>
        <v>0</v>
      </c>
      <c r="L934" s="22">
        <v>10</v>
      </c>
      <c r="M934" s="22">
        <v>30</v>
      </c>
      <c r="N934" s="22">
        <v>111444</v>
      </c>
      <c r="O934" s="22" t="str">
        <f t="shared" si="476"/>
        <v>001006</v>
      </c>
      <c r="P934" s="22">
        <f t="shared" si="477"/>
        <v>34</v>
      </c>
      <c r="Q934" s="22"/>
      <c r="R934" s="23" t="s">
        <v>153</v>
      </c>
      <c r="S934" s="22">
        <f t="shared" si="478"/>
        <v>0.56999999999999995</v>
      </c>
      <c r="T934" s="24">
        <f t="shared" si="479"/>
        <v>0</v>
      </c>
      <c r="U934" s="25">
        <f t="shared" si="480"/>
        <v>2</v>
      </c>
      <c r="V934" s="26" t="str">
        <f t="shared" si="481"/>
        <v/>
      </c>
    </row>
    <row r="935" spans="1:22" ht="48" customHeight="1" x14ac:dyDescent="0.25">
      <c r="A935" s="17">
        <f>VLOOKUP(C935,[1]Werke!$A$1:$C$168,3,0)</f>
        <v>24</v>
      </c>
      <c r="B935" s="17" t="str">
        <f>VLOOKUP(C935,[1]Werke!$A$1:$C$168,2,0)</f>
        <v>CKH</v>
      </c>
      <c r="C935" s="18" t="s">
        <v>224</v>
      </c>
      <c r="D935" s="17">
        <f>VLOOKUP(C935,[1]Maliteslimalan!$A$1:$B$210,2,0)</f>
        <v>8000013551</v>
      </c>
      <c r="E935" s="19">
        <v>6</v>
      </c>
      <c r="F935" s="20" t="str">
        <f t="shared" si="472"/>
        <v>N   106 421 01</v>
      </c>
      <c r="G935" s="21">
        <v>100326400</v>
      </c>
      <c r="H935" s="17">
        <f t="shared" si="473"/>
        <v>1.779E-2</v>
      </c>
      <c r="I935" s="20"/>
      <c r="J935" s="17">
        <f t="shared" si="474"/>
        <v>800</v>
      </c>
      <c r="K935" s="17">
        <f t="shared" si="475"/>
        <v>0</v>
      </c>
      <c r="L935" s="22">
        <v>10</v>
      </c>
      <c r="M935" s="22">
        <v>30</v>
      </c>
      <c r="N935" s="22">
        <v>111444</v>
      </c>
      <c r="O935" s="22" t="str">
        <f t="shared" si="476"/>
        <v>001006</v>
      </c>
      <c r="P935" s="22">
        <f t="shared" si="477"/>
        <v>34</v>
      </c>
      <c r="Q935" s="22"/>
      <c r="R935" s="23" t="s">
        <v>153</v>
      </c>
      <c r="S935" s="22">
        <f t="shared" si="478"/>
        <v>0.56999999999999995</v>
      </c>
      <c r="T935" s="24">
        <f t="shared" si="479"/>
        <v>0</v>
      </c>
      <c r="U935" s="25">
        <f t="shared" si="480"/>
        <v>2</v>
      </c>
      <c r="V935" s="26" t="str">
        <f t="shared" si="481"/>
        <v/>
      </c>
    </row>
    <row r="936" spans="1:22" ht="48" customHeight="1" x14ac:dyDescent="0.25">
      <c r="A936" s="17">
        <f>VLOOKUP(C936,[1]Werke!$A$1:$C$168,3,0)</f>
        <v>49</v>
      </c>
      <c r="B936" s="17" t="str">
        <f>VLOOKUP(C936,[1]Werke!$A$1:$C$168,2,0)</f>
        <v>CT</v>
      </c>
      <c r="C936" s="18" t="s">
        <v>217</v>
      </c>
      <c r="D936" s="17" t="str">
        <f>VLOOKUP(C936,[1]Maliteslimalan!$A$1:$B$210,2,0)</f>
        <v>8000012574</v>
      </c>
      <c r="E936" s="19" t="str">
        <f>VLOOKUP(C936,[1]Bestellnr.!$A$1:$B$174,2,0)</f>
        <v>000001</v>
      </c>
      <c r="F936" s="20" t="str">
        <f t="shared" si="472"/>
        <v>N   106 421 01</v>
      </c>
      <c r="G936" s="21">
        <v>100326400</v>
      </c>
      <c r="H936" s="17">
        <f t="shared" si="473"/>
        <v>1.779E-2</v>
      </c>
      <c r="I936" s="20"/>
      <c r="J936" s="17">
        <f t="shared" si="474"/>
        <v>800</v>
      </c>
      <c r="K936" s="17">
        <f t="shared" si="475"/>
        <v>0</v>
      </c>
      <c r="L936" s="22">
        <v>10</v>
      </c>
      <c r="M936" s="22">
        <v>10</v>
      </c>
      <c r="N936" s="22">
        <v>111444</v>
      </c>
      <c r="O936" s="22" t="str">
        <f t="shared" si="476"/>
        <v>001006</v>
      </c>
      <c r="P936" s="22">
        <f t="shared" si="477"/>
        <v>34</v>
      </c>
      <c r="Q936" s="22"/>
      <c r="R936" s="23" t="s">
        <v>153</v>
      </c>
      <c r="S936" s="22">
        <f t="shared" si="478"/>
        <v>0.56999999999999995</v>
      </c>
      <c r="T936" s="24">
        <f t="shared" si="479"/>
        <v>0</v>
      </c>
      <c r="U936" s="25">
        <f t="shared" si="480"/>
        <v>2</v>
      </c>
      <c r="V936" s="26" t="str">
        <f t="shared" si="481"/>
        <v/>
      </c>
    </row>
    <row r="937" spans="1:22" ht="48" customHeight="1" x14ac:dyDescent="0.25">
      <c r="A937" s="17" t="str">
        <f>VLOOKUP(C937,[1]Werke!$A$1:$C$168,3,0)</f>
        <v>LD</v>
      </c>
      <c r="B937" s="17" t="str">
        <f>VLOOKUP(C937,[1]Werke!$A$1:$C$168,2,0)</f>
        <v>SLD</v>
      </c>
      <c r="C937" s="18">
        <v>83630</v>
      </c>
      <c r="D937" s="17" t="str">
        <f>VLOOKUP(C937,[1]Maliteslimalan!$A$1:$B$210,2,0)</f>
        <v>8000012862</v>
      </c>
      <c r="E937" s="19" t="str">
        <f>VLOOKUP(C937,[1]Bestellnr.!$A$1:$B$174,2,0)</f>
        <v>000006</v>
      </c>
      <c r="F937" s="20" t="str">
        <f t="shared" si="472"/>
        <v>N   106 421 01</v>
      </c>
      <c r="G937" s="21">
        <v>100326400</v>
      </c>
      <c r="H937" s="17">
        <f t="shared" si="473"/>
        <v>1.779E-2</v>
      </c>
      <c r="I937" s="20"/>
      <c r="J937" s="17">
        <f t="shared" si="474"/>
        <v>800</v>
      </c>
      <c r="K937" s="17">
        <f t="shared" si="475"/>
        <v>0</v>
      </c>
      <c r="L937" s="22">
        <v>10</v>
      </c>
      <c r="M937" s="22">
        <v>30</v>
      </c>
      <c r="N937" s="22">
        <v>111444</v>
      </c>
      <c r="O937" s="22" t="str">
        <f t="shared" si="476"/>
        <v>001006</v>
      </c>
      <c r="P937" s="22">
        <f t="shared" si="477"/>
        <v>34</v>
      </c>
      <c r="Q937" s="22"/>
      <c r="R937" s="23" t="s">
        <v>153</v>
      </c>
      <c r="S937" s="22">
        <f t="shared" si="478"/>
        <v>0.56999999999999995</v>
      </c>
      <c r="T937" s="24">
        <f t="shared" si="479"/>
        <v>0</v>
      </c>
      <c r="U937" s="25">
        <f t="shared" si="480"/>
        <v>2</v>
      </c>
      <c r="V937" s="26" t="str">
        <f t="shared" si="481"/>
        <v/>
      </c>
    </row>
    <row r="938" spans="1:22" ht="48" customHeight="1" x14ac:dyDescent="0.25">
      <c r="A938" s="17" t="str">
        <f>VLOOKUP(C938,[1]Werke!$A$1:$C$168,3,0)</f>
        <v>16D</v>
      </c>
      <c r="B938" s="17">
        <f>VLOOKUP(C938,[1]Werke!$A$1:$C$168,2,0)</f>
        <v>210</v>
      </c>
      <c r="C938" s="18" t="s">
        <v>226</v>
      </c>
      <c r="D938" s="17" t="str">
        <f>VLOOKUP(C938,[1]Maliteslimalan!$A$1:$B$210,2,0)</f>
        <v>8000012565</v>
      </c>
      <c r="E938" s="19">
        <f>VLOOKUP(C938,[1]Bestellnr.!$A$1:$B$174,2,0)</f>
        <v>0</v>
      </c>
      <c r="F938" s="20" t="str">
        <f t="shared" si="472"/>
        <v>N   106 421 01</v>
      </c>
      <c r="G938" s="21">
        <v>100326400</v>
      </c>
      <c r="H938" s="17">
        <f t="shared" si="473"/>
        <v>1.779E-2</v>
      </c>
      <c r="I938" s="20"/>
      <c r="J938" s="17">
        <f t="shared" si="474"/>
        <v>800</v>
      </c>
      <c r="K938" s="17">
        <f t="shared" si="475"/>
        <v>0</v>
      </c>
      <c r="L938" s="22">
        <v>10</v>
      </c>
      <c r="M938" s="22">
        <v>30</v>
      </c>
      <c r="N938" s="22">
        <v>111444</v>
      </c>
      <c r="O938" s="22" t="str">
        <f t="shared" si="476"/>
        <v>001006</v>
      </c>
      <c r="P938" s="22">
        <f t="shared" si="477"/>
        <v>34</v>
      </c>
      <c r="Q938" s="22"/>
      <c r="R938" s="23" t="s">
        <v>153</v>
      </c>
      <c r="S938" s="22">
        <f t="shared" si="478"/>
        <v>0.56999999999999995</v>
      </c>
      <c r="T938" s="24">
        <f t="shared" si="479"/>
        <v>0</v>
      </c>
      <c r="U938" s="25">
        <f t="shared" si="480"/>
        <v>2</v>
      </c>
      <c r="V938" s="26" t="str">
        <f t="shared" si="481"/>
        <v/>
      </c>
    </row>
    <row r="939" spans="1:22" ht="48" customHeight="1" x14ac:dyDescent="0.25">
      <c r="A939" s="17">
        <f>VLOOKUP(C939,[1]Werke!$A$1:$C$168,3,0)</f>
        <v>11</v>
      </c>
      <c r="B939" s="17" t="str">
        <f>VLOOKUP(C939,[1]Werke!$A$1:$C$168,2,0)</f>
        <v>AKL</v>
      </c>
      <c r="C939" s="18" t="s">
        <v>227</v>
      </c>
      <c r="D939" s="17" t="str">
        <f>VLOOKUP(C939,[1]Maliteslimalan!$A$1:$B$210,2,0)</f>
        <v>8000012570</v>
      </c>
      <c r="E939" s="19" t="str">
        <f>VLOOKUP(C939,[1]Bestellnr.!$A$1:$B$174,2,0)</f>
        <v>000006</v>
      </c>
      <c r="F939" s="20" t="str">
        <f t="shared" si="472"/>
        <v>N   106 421 01</v>
      </c>
      <c r="G939" s="21">
        <v>100326400</v>
      </c>
      <c r="H939" s="17">
        <f t="shared" si="473"/>
        <v>1.779E-2</v>
      </c>
      <c r="I939" s="20"/>
      <c r="J939" s="17">
        <f t="shared" si="474"/>
        <v>800</v>
      </c>
      <c r="K939" s="17">
        <f t="shared" si="475"/>
        <v>0</v>
      </c>
      <c r="L939" s="22">
        <v>10</v>
      </c>
      <c r="M939" s="22">
        <v>30</v>
      </c>
      <c r="N939" s="22">
        <v>111444</v>
      </c>
      <c r="O939" s="22" t="str">
        <f t="shared" si="476"/>
        <v>001006</v>
      </c>
      <c r="P939" s="22">
        <f t="shared" si="477"/>
        <v>34</v>
      </c>
      <c r="Q939" s="22"/>
      <c r="R939" s="23" t="s">
        <v>153</v>
      </c>
      <c r="S939" s="22">
        <f t="shared" si="478"/>
        <v>0.56999999999999995</v>
      </c>
      <c r="T939" s="24">
        <f t="shared" si="479"/>
        <v>0</v>
      </c>
      <c r="U939" s="25">
        <f t="shared" si="480"/>
        <v>2</v>
      </c>
      <c r="V939" s="26" t="str">
        <f t="shared" si="481"/>
        <v/>
      </c>
    </row>
    <row r="940" spans="1:22" ht="48" customHeight="1" x14ac:dyDescent="0.25">
      <c r="A940" s="17">
        <f>VLOOKUP(C940,[1]Werke!$A$1:$C$168,3,0)</f>
        <v>22</v>
      </c>
      <c r="B940" s="17" t="str">
        <f>VLOOKUP(C940,[1]Werke!$A$1:$C$168,2,0)</f>
        <v>13P</v>
      </c>
      <c r="C940" s="18" t="s">
        <v>230</v>
      </c>
      <c r="D940" s="17" t="str">
        <f>VLOOKUP(C940,[1]Maliteslimalan!$A$1:$B$210,2,0)</f>
        <v>8000013344</v>
      </c>
      <c r="E940" s="19" t="str">
        <f>VLOOKUP(C940,[1]Bestellnr.!$A$1:$B$174,2,0)</f>
        <v>000006</v>
      </c>
      <c r="F940" s="20" t="str">
        <f t="shared" si="472"/>
        <v>N   106 421 01</v>
      </c>
      <c r="G940" s="21">
        <v>100326400</v>
      </c>
      <c r="H940" s="17">
        <f t="shared" si="473"/>
        <v>1.779E-2</v>
      </c>
      <c r="I940" s="20"/>
      <c r="J940" s="17">
        <f t="shared" si="474"/>
        <v>800</v>
      </c>
      <c r="K940" s="17">
        <f t="shared" si="475"/>
        <v>0</v>
      </c>
      <c r="L940" s="22">
        <v>10</v>
      </c>
      <c r="M940" s="22">
        <v>20</v>
      </c>
      <c r="N940" s="22">
        <v>111444</v>
      </c>
      <c r="O940" s="22" t="str">
        <f t="shared" si="476"/>
        <v>001006</v>
      </c>
      <c r="P940" s="22">
        <f t="shared" si="477"/>
        <v>34</v>
      </c>
      <c r="Q940" s="22"/>
      <c r="R940" s="23" t="s">
        <v>153</v>
      </c>
      <c r="S940" s="22">
        <f t="shared" si="478"/>
        <v>0.56999999999999995</v>
      </c>
      <c r="T940" s="24">
        <f t="shared" si="479"/>
        <v>0</v>
      </c>
      <c r="U940" s="25">
        <f t="shared" si="480"/>
        <v>2</v>
      </c>
      <c r="V940" s="26" t="str">
        <f t="shared" si="481"/>
        <v/>
      </c>
    </row>
    <row r="941" spans="1:22" ht="48" customHeight="1" x14ac:dyDescent="0.25">
      <c r="A941" s="17">
        <f>VLOOKUP(C941,[1]Werke!$A$1:$C$168,3,0)</f>
        <v>37</v>
      </c>
      <c r="B941" s="17" t="str">
        <f>VLOOKUP(C941,[1]Werke!$A$1:$C$168,2,0)</f>
        <v>AKL</v>
      </c>
      <c r="C941" s="18" t="s">
        <v>232</v>
      </c>
      <c r="D941" s="17" t="str">
        <f>VLOOKUP(C941,[1]Maliteslimalan!$A$1:$B$210,2,0)</f>
        <v>8000012562</v>
      </c>
      <c r="E941" s="19" t="str">
        <f>VLOOKUP(C941,[1]Bestellnr.!$A$1:$B$174,2,0)</f>
        <v>000006</v>
      </c>
      <c r="F941" s="20" t="str">
        <f t="shared" si="472"/>
        <v>N   106 421 01</v>
      </c>
      <c r="G941" s="21">
        <v>100326400</v>
      </c>
      <c r="H941" s="17">
        <f t="shared" si="473"/>
        <v>1.779E-2</v>
      </c>
      <c r="I941" s="20"/>
      <c r="J941" s="17">
        <f t="shared" si="474"/>
        <v>800</v>
      </c>
      <c r="K941" s="17">
        <f t="shared" si="475"/>
        <v>0</v>
      </c>
      <c r="L941" s="22">
        <v>20</v>
      </c>
      <c r="M941" s="22">
        <v>20</v>
      </c>
      <c r="N941" s="22" t="s">
        <v>155</v>
      </c>
      <c r="O941" s="22" t="str">
        <f t="shared" si="476"/>
        <v>001210</v>
      </c>
      <c r="P941" s="22">
        <f t="shared" si="477"/>
        <v>55</v>
      </c>
      <c r="Q941" s="22"/>
      <c r="R941" s="23" t="s">
        <v>153</v>
      </c>
      <c r="S941" s="22">
        <f t="shared" si="478"/>
        <v>0.56999999999999995</v>
      </c>
      <c r="T941" s="24">
        <f t="shared" si="479"/>
        <v>0</v>
      </c>
      <c r="U941" s="25">
        <f t="shared" si="480"/>
        <v>2</v>
      </c>
      <c r="V941" s="26" t="str">
        <f t="shared" si="481"/>
        <v/>
      </c>
    </row>
    <row r="942" spans="1:22" ht="48" customHeight="1" x14ac:dyDescent="0.25">
      <c r="A942" s="17">
        <f>VLOOKUP(C942,[1]Werke!$A$1:$C$168,3,0)</f>
        <v>33</v>
      </c>
      <c r="B942" s="17" t="str">
        <f>VLOOKUP(C942,[1]Werke!$A$1:$C$168,2,0)</f>
        <v>KK2</v>
      </c>
      <c r="C942" s="18" t="s">
        <v>233</v>
      </c>
      <c r="D942" s="17" t="str">
        <f>VLOOKUP(C942,[1]Maliteslimalan!$A$1:$B$210,2,0)</f>
        <v>8000012709</v>
      </c>
      <c r="E942" s="19" t="str">
        <f>VLOOKUP(C942,[1]Bestellnr.!$A$1:$B$174,2,0)</f>
        <v>000055</v>
      </c>
      <c r="F942" s="20" t="str">
        <f t="shared" si="472"/>
        <v>N   106 421 01</v>
      </c>
      <c r="G942" s="21">
        <v>100326400</v>
      </c>
      <c r="H942" s="17">
        <f t="shared" si="473"/>
        <v>1.779E-2</v>
      </c>
      <c r="I942" s="20"/>
      <c r="J942" s="17">
        <f t="shared" si="474"/>
        <v>800</v>
      </c>
      <c r="K942" s="17">
        <f t="shared" si="475"/>
        <v>0</v>
      </c>
      <c r="L942" s="22">
        <v>10</v>
      </c>
      <c r="M942" s="22">
        <v>30</v>
      </c>
      <c r="N942" s="22">
        <v>111444</v>
      </c>
      <c r="O942" s="22" t="str">
        <f t="shared" si="476"/>
        <v>001006</v>
      </c>
      <c r="P942" s="22">
        <f t="shared" si="477"/>
        <v>34</v>
      </c>
      <c r="Q942" s="22"/>
      <c r="R942" s="23" t="s">
        <v>153</v>
      </c>
      <c r="S942" s="22">
        <f t="shared" si="478"/>
        <v>0.56999999999999995</v>
      </c>
      <c r="T942" s="24">
        <f t="shared" si="479"/>
        <v>0</v>
      </c>
      <c r="U942" s="25">
        <f t="shared" si="480"/>
        <v>2</v>
      </c>
      <c r="V942" s="26" t="str">
        <f t="shared" si="481"/>
        <v/>
      </c>
    </row>
    <row r="943" spans="1:22" ht="48" customHeight="1" x14ac:dyDescent="0.25">
      <c r="A943" s="17" t="str">
        <f>VLOOKUP(C943,[1]Werke!$A$1:$C$168,3,0)</f>
        <v>3P</v>
      </c>
      <c r="B943" s="17" t="str">
        <f>VLOOKUP(C943,[1]Werke!$A$1:$C$168,2,0)</f>
        <v>BP4</v>
      </c>
      <c r="C943" s="18" t="s">
        <v>234</v>
      </c>
      <c r="D943" s="17" t="str">
        <f>VLOOKUP(C943,[1]Maliteslimalan!$A$1:$B$210,2,0)</f>
        <v>8000012617</v>
      </c>
      <c r="E943" s="19" t="str">
        <f>VLOOKUP(C943,[1]Bestellnr.!$A$1:$B$174,2,0)</f>
        <v>000055</v>
      </c>
      <c r="F943" s="20" t="str">
        <f t="shared" si="472"/>
        <v>N   106 421 01</v>
      </c>
      <c r="G943" s="21">
        <v>100326400</v>
      </c>
      <c r="H943" s="17">
        <f t="shared" si="473"/>
        <v>1.779E-2</v>
      </c>
      <c r="I943" s="20"/>
      <c r="J943" s="17">
        <f t="shared" si="474"/>
        <v>800</v>
      </c>
      <c r="K943" s="17">
        <f t="shared" si="475"/>
        <v>0</v>
      </c>
      <c r="L943" s="22">
        <v>10</v>
      </c>
      <c r="M943" s="22">
        <v>30</v>
      </c>
      <c r="N943" s="22">
        <v>111444</v>
      </c>
      <c r="O943" s="22" t="str">
        <f t="shared" si="476"/>
        <v>001006</v>
      </c>
      <c r="P943" s="22">
        <f t="shared" si="477"/>
        <v>34</v>
      </c>
      <c r="Q943" s="22"/>
      <c r="R943" s="23" t="s">
        <v>153</v>
      </c>
      <c r="S943" s="22">
        <f t="shared" si="478"/>
        <v>0.56999999999999995</v>
      </c>
      <c r="T943" s="24">
        <f t="shared" si="479"/>
        <v>0</v>
      </c>
      <c r="U943" s="25">
        <f t="shared" si="480"/>
        <v>2</v>
      </c>
      <c r="V943" s="26" t="str">
        <f t="shared" si="481"/>
        <v/>
      </c>
    </row>
    <row r="944" spans="1:22" ht="48" customHeight="1" x14ac:dyDescent="0.25">
      <c r="A944" s="17" t="str">
        <f>VLOOKUP(C944,[1]Werke!$A$1:$C$168,3,0)</f>
        <v>HT</v>
      </c>
      <c r="B944" s="17">
        <f>VLOOKUP(C944,[1]Werke!$A$1:$C$168,2,0)</f>
        <v>34</v>
      </c>
      <c r="C944" s="18">
        <v>80245</v>
      </c>
      <c r="D944" s="17">
        <f>VLOOKUP(C944,[1]Maliteslimalan!$A$1:$B$210,2,0)</f>
        <v>8000012604</v>
      </c>
      <c r="E944" s="19">
        <v>6</v>
      </c>
      <c r="F944" s="20" t="str">
        <f t="shared" si="472"/>
        <v>N   106 421 01</v>
      </c>
      <c r="G944" s="21">
        <v>100326400</v>
      </c>
      <c r="H944" s="17">
        <f t="shared" si="473"/>
        <v>1.779E-2</v>
      </c>
      <c r="I944" s="20"/>
      <c r="J944" s="17">
        <f t="shared" si="474"/>
        <v>800</v>
      </c>
      <c r="K944" s="17">
        <f t="shared" si="475"/>
        <v>0</v>
      </c>
      <c r="L944" s="22">
        <v>10</v>
      </c>
      <c r="M944" s="22">
        <v>30</v>
      </c>
      <c r="N944" s="22">
        <v>111444</v>
      </c>
      <c r="O944" s="22" t="str">
        <f t="shared" si="476"/>
        <v>001006</v>
      </c>
      <c r="P944" s="22">
        <f t="shared" si="477"/>
        <v>34</v>
      </c>
      <c r="Q944" s="22"/>
      <c r="R944" s="23" t="s">
        <v>153</v>
      </c>
      <c r="S944" s="22">
        <f t="shared" si="478"/>
        <v>0.56999999999999995</v>
      </c>
      <c r="T944" s="24">
        <f t="shared" si="479"/>
        <v>0</v>
      </c>
      <c r="U944" s="25">
        <f t="shared" si="480"/>
        <v>2</v>
      </c>
      <c r="V944" s="26" t="str">
        <f t="shared" si="481"/>
        <v/>
      </c>
    </row>
    <row r="945" spans="1:22" ht="48" customHeight="1" x14ac:dyDescent="0.25">
      <c r="A945" s="17" t="str">
        <f>VLOOKUP(C945,[1]Werke!$A$1:$C$168,3,0)</f>
        <v>3T</v>
      </c>
      <c r="B945" s="17" t="str">
        <f>VLOOKUP(C945,[1]Werke!$A$1:$C$168,2,0)</f>
        <v>BZ5</v>
      </c>
      <c r="C945" s="18" t="s">
        <v>242</v>
      </c>
      <c r="D945" s="17">
        <f>VLOOKUP(C945,[1]Maliteslimalan!$A$1:$B$210,2,0)</f>
        <v>8000012711</v>
      </c>
      <c r="E945" s="19">
        <v>6</v>
      </c>
      <c r="F945" s="20" t="str">
        <f t="shared" si="472"/>
        <v>N   106 421 01</v>
      </c>
      <c r="G945" s="21">
        <v>100326400</v>
      </c>
      <c r="H945" s="17">
        <f t="shared" si="473"/>
        <v>1.779E-2</v>
      </c>
      <c r="I945" s="20"/>
      <c r="J945" s="17">
        <f t="shared" si="474"/>
        <v>800</v>
      </c>
      <c r="K945" s="17">
        <f t="shared" si="475"/>
        <v>0</v>
      </c>
      <c r="L945" s="22">
        <v>10</v>
      </c>
      <c r="M945" s="22">
        <v>10</v>
      </c>
      <c r="N945" s="22">
        <v>111444</v>
      </c>
      <c r="O945" s="22" t="str">
        <f t="shared" si="476"/>
        <v>001006</v>
      </c>
      <c r="P945" s="22">
        <f t="shared" si="477"/>
        <v>34</v>
      </c>
      <c r="Q945" s="22"/>
      <c r="R945" s="23" t="s">
        <v>153</v>
      </c>
      <c r="S945" s="22">
        <f t="shared" si="478"/>
        <v>0.56999999999999995</v>
      </c>
      <c r="T945" s="24">
        <f t="shared" si="479"/>
        <v>0</v>
      </c>
      <c r="U945" s="25">
        <f t="shared" si="480"/>
        <v>2</v>
      </c>
      <c r="V945" s="26" t="str">
        <f t="shared" si="481"/>
        <v/>
      </c>
    </row>
    <row r="946" spans="1:22" ht="48" customHeight="1" x14ac:dyDescent="0.25">
      <c r="A946" s="17" t="e">
        <f>VLOOKUP(C946,[1]Werke!$A$1:$C$168,3,0)</f>
        <v>#N/A</v>
      </c>
      <c r="B946" s="17" t="e">
        <f>VLOOKUP(C946,[1]Werke!$A$1:$C$168,2,0)</f>
        <v>#N/A</v>
      </c>
      <c r="C946" s="18">
        <v>65542</v>
      </c>
      <c r="D946" s="17">
        <f>VLOOKUP(C946,[1]Maliteslimalan!$A$1:$B$210,2,0)</f>
        <v>8000017751</v>
      </c>
      <c r="E946" s="19">
        <v>6</v>
      </c>
      <c r="F946" s="20" t="str">
        <f t="shared" si="472"/>
        <v>N   106 421 01</v>
      </c>
      <c r="G946" s="21">
        <v>100326400</v>
      </c>
      <c r="H946" s="17">
        <f t="shared" si="473"/>
        <v>1.779E-2</v>
      </c>
      <c r="I946" s="20"/>
      <c r="J946" s="17">
        <f t="shared" si="474"/>
        <v>800</v>
      </c>
      <c r="K946" s="17">
        <f t="shared" si="475"/>
        <v>0</v>
      </c>
      <c r="L946" s="22">
        <v>20</v>
      </c>
      <c r="M946" s="22">
        <v>20</v>
      </c>
      <c r="N946" s="22" t="s">
        <v>155</v>
      </c>
      <c r="O946" s="22" t="str">
        <f t="shared" si="476"/>
        <v>001210</v>
      </c>
      <c r="P946" s="22">
        <f t="shared" si="477"/>
        <v>55</v>
      </c>
      <c r="Q946" s="22"/>
      <c r="R946" s="23" t="s">
        <v>153</v>
      </c>
      <c r="S946" s="22">
        <f t="shared" si="478"/>
        <v>0.56999999999999995</v>
      </c>
      <c r="T946" s="24">
        <f t="shared" si="479"/>
        <v>0</v>
      </c>
      <c r="U946" s="25">
        <f t="shared" si="480"/>
        <v>2</v>
      </c>
      <c r="V946" s="26" t="str">
        <f t="shared" si="481"/>
        <v/>
      </c>
    </row>
    <row r="947" spans="1:22" ht="48" customHeight="1" x14ac:dyDescent="0.25">
      <c r="A947" s="17">
        <f>VLOOKUP(C947,[1]Werke!$A$1:$C$168,3,0)</f>
        <v>24</v>
      </c>
      <c r="B947" s="17" t="str">
        <f>VLOOKUP(C947,[1]Werke!$A$1:$C$168,2,0)</f>
        <v>CKS</v>
      </c>
      <c r="C947" s="18" t="s">
        <v>245</v>
      </c>
      <c r="D947" s="17" t="str">
        <f>VLOOKUP(C947,[1]Maliteslimalan!$A$1:$B$210,2,0)</f>
        <v>8000012647</v>
      </c>
      <c r="E947" s="19" t="str">
        <f>VLOOKUP(C947,[1]Bestellnr.!$A$1:$B$174,2,0)</f>
        <v>000006</v>
      </c>
      <c r="F947" s="20" t="str">
        <f t="shared" si="472"/>
        <v>N   106 421 01</v>
      </c>
      <c r="G947" s="21">
        <v>100326400</v>
      </c>
      <c r="H947" s="17">
        <f t="shared" si="473"/>
        <v>1.779E-2</v>
      </c>
      <c r="I947" s="20"/>
      <c r="J947" s="17">
        <f t="shared" si="474"/>
        <v>800</v>
      </c>
      <c r="K947" s="17">
        <f t="shared" si="475"/>
        <v>0</v>
      </c>
      <c r="L947" s="22">
        <v>10</v>
      </c>
      <c r="M947" s="22">
        <v>30</v>
      </c>
      <c r="N947" s="22">
        <v>111444</v>
      </c>
      <c r="O947" s="22" t="str">
        <f t="shared" si="476"/>
        <v>001006</v>
      </c>
      <c r="P947" s="22">
        <f t="shared" si="477"/>
        <v>34</v>
      </c>
      <c r="Q947" s="22"/>
      <c r="R947" s="23" t="s">
        <v>153</v>
      </c>
      <c r="S947" s="22">
        <f t="shared" si="478"/>
        <v>0.56999999999999995</v>
      </c>
      <c r="T947" s="24">
        <f t="shared" si="479"/>
        <v>0</v>
      </c>
      <c r="U947" s="25">
        <f t="shared" si="480"/>
        <v>2</v>
      </c>
      <c r="V947" s="26" t="str">
        <f t="shared" si="481"/>
        <v/>
      </c>
    </row>
    <row r="948" spans="1:22" ht="48" customHeight="1" x14ac:dyDescent="0.25">
      <c r="A948" s="17">
        <f>VLOOKUP(C948,[1]Werke!$A$1:$C$168,3,0)</f>
        <v>40</v>
      </c>
      <c r="B948" s="17" t="str">
        <f>VLOOKUP(C948,[1]Werke!$A$1:$C$168,2,0)</f>
        <v>908</v>
      </c>
      <c r="C948" s="18" t="s">
        <v>273</v>
      </c>
      <c r="D948" s="17" t="str">
        <f>VLOOKUP(C948,[1]Maliteslimalan!$A$1:$B$210,2,0)</f>
        <v>8000014109</v>
      </c>
      <c r="E948" s="19">
        <f>VLOOKUP(C948,[1]Bestellnr.!$A$1:$B$174,2,0)</f>
        <v>0</v>
      </c>
      <c r="F948" s="20" t="str">
        <f t="shared" si="472"/>
        <v>N   106 421 01</v>
      </c>
      <c r="G948" s="21">
        <v>100326400</v>
      </c>
      <c r="H948" s="17">
        <f t="shared" si="473"/>
        <v>1.779E-2</v>
      </c>
      <c r="I948" s="20"/>
      <c r="J948" s="17">
        <f t="shared" si="474"/>
        <v>800</v>
      </c>
      <c r="K948" s="17">
        <f t="shared" si="475"/>
        <v>0</v>
      </c>
      <c r="L948" s="22">
        <v>10</v>
      </c>
      <c r="M948" s="22">
        <v>30</v>
      </c>
      <c r="N948" s="22">
        <v>111444</v>
      </c>
      <c r="O948" s="22" t="str">
        <f t="shared" si="476"/>
        <v>001006</v>
      </c>
      <c r="P948" s="22">
        <f t="shared" si="477"/>
        <v>34</v>
      </c>
      <c r="Q948" s="22"/>
      <c r="R948" s="23" t="s">
        <v>153</v>
      </c>
      <c r="S948" s="22">
        <f t="shared" si="478"/>
        <v>0.56999999999999995</v>
      </c>
      <c r="T948" s="24">
        <f t="shared" si="479"/>
        <v>0</v>
      </c>
      <c r="U948" s="25">
        <f t="shared" si="480"/>
        <v>2</v>
      </c>
      <c r="V948" s="26" t="str">
        <f t="shared" si="481"/>
        <v/>
      </c>
    </row>
    <row r="949" spans="1:22" ht="48" customHeight="1" x14ac:dyDescent="0.25">
      <c r="A949" s="17"/>
      <c r="B949" s="17"/>
      <c r="C949" s="18"/>
      <c r="D949" s="17"/>
      <c r="E949" s="19"/>
      <c r="F949" s="20"/>
      <c r="G949" s="21"/>
      <c r="H949" s="17"/>
      <c r="I949" s="20"/>
      <c r="J949" s="17"/>
      <c r="K949" s="17"/>
      <c r="L949" s="22"/>
      <c r="M949" s="22"/>
      <c r="N949" s="22"/>
      <c r="O949" s="22"/>
      <c r="P949" s="22"/>
      <c r="Q949" s="22"/>
      <c r="R949" s="23"/>
      <c r="S949" s="22"/>
      <c r="T949" s="24"/>
      <c r="U949" s="25"/>
    </row>
    <row r="950" spans="1:22" ht="48" customHeight="1" x14ac:dyDescent="0.25">
      <c r="A950" s="17">
        <f>VLOOKUP(C950,[1]Werke!$A$1:$C$168,3,0)</f>
        <v>21</v>
      </c>
      <c r="B950" s="17" t="str">
        <f>VLOOKUP(C950,[1]Werke!$A$1:$C$168,2,0)</f>
        <v>GZD</v>
      </c>
      <c r="C950" s="18" t="s">
        <v>223</v>
      </c>
      <c r="D950" s="17" t="str">
        <f>VLOOKUP(C950,[1]Maliteslimalan!$A$1:$B$210,2,0)</f>
        <v>8000012572</v>
      </c>
      <c r="E950" s="19" t="str">
        <f>VLOOKUP(C950,[1]Bestellnr.!$A$1:$B$174,2,0)</f>
        <v>000006</v>
      </c>
      <c r="F950" s="20" t="str">
        <f t="shared" ref="F950:F955" si="482">VLOOKUP(G950,$U$1:$V$1730,2,0)</f>
        <v>WHT 007 828</v>
      </c>
      <c r="G950" s="21">
        <v>969209000</v>
      </c>
      <c r="H950" s="17">
        <f t="shared" ref="H950:H955" si="483">VLOOKUP(G950,Z$2:AA$1905,2,FALSE)</f>
        <v>1.9900000000000001E-2</v>
      </c>
      <c r="I950" s="20"/>
      <c r="J950" s="17">
        <f t="shared" ref="J950:J955" si="484">VLOOKUP(G950,W$2:X$1905,2,FALSE)</f>
        <v>500</v>
      </c>
      <c r="K950" s="17">
        <f t="shared" ref="K950:K955" si="485">I950/J950</f>
        <v>0</v>
      </c>
      <c r="L950" s="22">
        <v>20</v>
      </c>
      <c r="M950" s="22">
        <v>20</v>
      </c>
      <c r="N950" s="22" t="s">
        <v>155</v>
      </c>
      <c r="O950" s="22" t="str">
        <f t="shared" ref="O950:O955" si="486">VLOOKUP(N950,$AL$1285:$AM$1310,2,FALSE)</f>
        <v>001210</v>
      </c>
      <c r="P950" s="22">
        <f t="shared" ref="P950:P955" si="487">VLOOKUP(N950,AC$2:AD$1905,2,FALSE)</f>
        <v>55</v>
      </c>
      <c r="Q950" s="22"/>
      <c r="R950" s="23" t="s">
        <v>153</v>
      </c>
      <c r="S950" s="22">
        <f t="shared" ref="S950:S955" si="488">VLOOKUP(R950,AC$2:AD$1905,2,FALSE)</f>
        <v>0.56999999999999995</v>
      </c>
      <c r="T950" s="24">
        <f t="shared" ref="T950:T955" si="489">(H950*I950)+P950*Q950+S950*K950</f>
        <v>0</v>
      </c>
      <c r="U950" s="25">
        <f t="shared" ref="U950:U955" si="490">IF(TRIM(N950&amp;"")="111444",
    IF(ROUNDUP(MAX(0,K950-(MAX(1,Q950)-1)*10)/10,0)=1,3,2),
    IF(TRIM(N950&amp;"")="VWPAL",
        IF(TRIM(R950&amp;"")="004147",1,2),
        ""
    )
)</f>
        <v>2</v>
      </c>
      <c r="V950" s="26" t="str">
        <f t="shared" ref="V950:V955" si="491">IF(OR(TRIM(N950&amp;"")="111444",TRIM(N950&amp;"")="VWPAL"),
    IF(K950&lt;=0,"",
        IF(
            MIN(3,ROUNDUP(MAX(0,K950-(MAX(1,Q950)-1)*IF(TRIM(N950&amp;"")="111444",10,20))/IF(TRIM(N950&amp;"")="111444",10,20),0))=1,
            300,
            IF(
                MIN(3,ROUNDUP(MAX(0,K950-(MAX(1,Q950)-1)*IF(TRIM(N950&amp;"")="111444",10,20))/IF(TRIM(N950&amp;"")="111444",10,20),0))=2,
                450,
                600
            )
        )
    ),
    ""
)</f>
        <v/>
      </c>
    </row>
    <row r="951" spans="1:22" ht="48" customHeight="1" x14ac:dyDescent="0.25">
      <c r="A951" s="17" t="str">
        <f>VLOOKUP(C951,[1]Werke!$A$1:$C$168,3,0)</f>
        <v>3U</v>
      </c>
      <c r="B951" s="17" t="str">
        <f>VLOOKUP(C951,[1]Werke!$A$1:$C$168,2,0)</f>
        <v>BZ2</v>
      </c>
      <c r="C951" s="18" t="s">
        <v>235</v>
      </c>
      <c r="D951" s="17" t="str">
        <f>VLOOKUP(C951,[1]Maliteslimalan!$A$1:$B$210,2,0)</f>
        <v>8000012860</v>
      </c>
      <c r="E951" s="19" t="str">
        <f>VLOOKUP(C951,[1]Bestellnr.!$A$1:$B$174,2,0)</f>
        <v>000055</v>
      </c>
      <c r="F951" s="20" t="str">
        <f t="shared" si="482"/>
        <v>WHT 007 828</v>
      </c>
      <c r="G951" s="21">
        <v>969209000</v>
      </c>
      <c r="H951" s="17">
        <f t="shared" si="483"/>
        <v>1.9900000000000001E-2</v>
      </c>
      <c r="I951" s="20"/>
      <c r="J951" s="17">
        <f t="shared" si="484"/>
        <v>500</v>
      </c>
      <c r="K951" s="17">
        <f t="shared" si="485"/>
        <v>0</v>
      </c>
      <c r="L951" s="22">
        <v>10</v>
      </c>
      <c r="M951" s="22">
        <v>30</v>
      </c>
      <c r="N951" s="22">
        <v>111444</v>
      </c>
      <c r="O951" s="22" t="str">
        <f t="shared" si="486"/>
        <v>001006</v>
      </c>
      <c r="P951" s="22">
        <f t="shared" si="487"/>
        <v>34</v>
      </c>
      <c r="Q951" s="22"/>
      <c r="R951" s="23" t="s">
        <v>153</v>
      </c>
      <c r="S951" s="22">
        <f t="shared" si="488"/>
        <v>0.56999999999999995</v>
      </c>
      <c r="T951" s="24">
        <f t="shared" si="489"/>
        <v>0</v>
      </c>
      <c r="U951" s="25">
        <f t="shared" si="490"/>
        <v>2</v>
      </c>
      <c r="V951" s="26" t="str">
        <f t="shared" si="491"/>
        <v/>
      </c>
    </row>
    <row r="952" spans="1:22" ht="48" customHeight="1" x14ac:dyDescent="0.25">
      <c r="A952" s="17">
        <f>VLOOKUP(C952,[1]Werke!$A$1:$C$168,3,0)</f>
        <v>24</v>
      </c>
      <c r="B952" s="17" t="str">
        <f>VLOOKUP(C952,[1]Werke!$A$1:$C$168,2,0)</f>
        <v>CKH</v>
      </c>
      <c r="C952" s="18" t="s">
        <v>224</v>
      </c>
      <c r="D952" s="17">
        <f>VLOOKUP(C952,[1]Maliteslimalan!$A$1:$B$210,2,0)</f>
        <v>8000013551</v>
      </c>
      <c r="E952" s="19">
        <v>6</v>
      </c>
      <c r="F952" s="20" t="str">
        <f t="shared" si="482"/>
        <v>WHT 007 828</v>
      </c>
      <c r="G952" s="21">
        <v>969209000</v>
      </c>
      <c r="H952" s="17">
        <f t="shared" si="483"/>
        <v>1.9900000000000001E-2</v>
      </c>
      <c r="I952" s="20"/>
      <c r="J952" s="17">
        <f t="shared" si="484"/>
        <v>500</v>
      </c>
      <c r="K952" s="17">
        <f t="shared" si="485"/>
        <v>0</v>
      </c>
      <c r="L952" s="22">
        <v>10</v>
      </c>
      <c r="M952" s="22">
        <v>30</v>
      </c>
      <c r="N952" s="22">
        <v>111444</v>
      </c>
      <c r="O952" s="22" t="str">
        <f t="shared" si="486"/>
        <v>001006</v>
      </c>
      <c r="P952" s="22">
        <f t="shared" si="487"/>
        <v>34</v>
      </c>
      <c r="Q952" s="22"/>
      <c r="R952" s="23" t="s">
        <v>153</v>
      </c>
      <c r="S952" s="22">
        <f t="shared" si="488"/>
        <v>0.56999999999999995</v>
      </c>
      <c r="T952" s="24">
        <f t="shared" si="489"/>
        <v>0</v>
      </c>
      <c r="U952" s="25">
        <f t="shared" si="490"/>
        <v>2</v>
      </c>
      <c r="V952" s="26" t="str">
        <f t="shared" si="491"/>
        <v/>
      </c>
    </row>
    <row r="953" spans="1:22" ht="48" customHeight="1" x14ac:dyDescent="0.25">
      <c r="A953" s="17">
        <f>VLOOKUP(C953,[1]Werke!$A$1:$C$168,3,0)</f>
        <v>22</v>
      </c>
      <c r="B953" s="17" t="str">
        <f>VLOOKUP(C953,[1]Werke!$A$1:$C$168,2,0)</f>
        <v>13P</v>
      </c>
      <c r="C953" s="18" t="s">
        <v>230</v>
      </c>
      <c r="D953" s="17" t="str">
        <f>VLOOKUP(C953,[1]Maliteslimalan!$A$1:$B$210,2,0)</f>
        <v>8000013344</v>
      </c>
      <c r="E953" s="19" t="str">
        <f>VLOOKUP(C953,[1]Bestellnr.!$A$1:$B$174,2,0)</f>
        <v>000006</v>
      </c>
      <c r="F953" s="20" t="str">
        <f t="shared" si="482"/>
        <v>WHT 007 828</v>
      </c>
      <c r="G953" s="21">
        <v>969209000</v>
      </c>
      <c r="H953" s="17">
        <f t="shared" si="483"/>
        <v>1.9900000000000001E-2</v>
      </c>
      <c r="I953" s="20"/>
      <c r="J953" s="17">
        <f t="shared" si="484"/>
        <v>500</v>
      </c>
      <c r="K953" s="17">
        <f t="shared" si="485"/>
        <v>0</v>
      </c>
      <c r="L953" s="22">
        <v>10</v>
      </c>
      <c r="M953" s="22">
        <v>20</v>
      </c>
      <c r="N953" s="22">
        <v>111444</v>
      </c>
      <c r="O953" s="22" t="str">
        <f t="shared" si="486"/>
        <v>001006</v>
      </c>
      <c r="P953" s="22">
        <f t="shared" si="487"/>
        <v>34</v>
      </c>
      <c r="Q953" s="22"/>
      <c r="R953" s="23" t="s">
        <v>153</v>
      </c>
      <c r="S953" s="22">
        <f t="shared" si="488"/>
        <v>0.56999999999999995</v>
      </c>
      <c r="T953" s="24">
        <f t="shared" si="489"/>
        <v>0</v>
      </c>
      <c r="U953" s="25">
        <f t="shared" si="490"/>
        <v>2</v>
      </c>
      <c r="V953" s="26" t="str">
        <f t="shared" si="491"/>
        <v/>
      </c>
    </row>
    <row r="954" spans="1:22" ht="48" customHeight="1" x14ac:dyDescent="0.25">
      <c r="A954" s="17">
        <f>VLOOKUP(C954,[1]Werke!$A$1:$C$168,3,0)</f>
        <v>37</v>
      </c>
      <c r="B954" s="17" t="str">
        <f>VLOOKUP(C954,[1]Werke!$A$1:$C$168,2,0)</f>
        <v>AKL</v>
      </c>
      <c r="C954" s="18" t="s">
        <v>232</v>
      </c>
      <c r="D954" s="17" t="str">
        <f>VLOOKUP(C954,[1]Maliteslimalan!$A$1:$B$210,2,0)</f>
        <v>8000012562</v>
      </c>
      <c r="E954" s="19" t="str">
        <f>VLOOKUP(C954,[1]Bestellnr.!$A$1:$B$174,2,0)</f>
        <v>000006</v>
      </c>
      <c r="F954" s="20" t="str">
        <f t="shared" si="482"/>
        <v>WHT 007 828</v>
      </c>
      <c r="G954" s="21">
        <v>969209000</v>
      </c>
      <c r="H954" s="17">
        <f t="shared" si="483"/>
        <v>1.9900000000000001E-2</v>
      </c>
      <c r="I954" s="20"/>
      <c r="J954" s="17">
        <f t="shared" si="484"/>
        <v>500</v>
      </c>
      <c r="K954" s="17">
        <f t="shared" si="485"/>
        <v>0</v>
      </c>
      <c r="L954" s="22">
        <v>10</v>
      </c>
      <c r="M954" s="22">
        <v>10</v>
      </c>
      <c r="N954" s="22">
        <v>111444</v>
      </c>
      <c r="O954" s="22" t="str">
        <f t="shared" si="486"/>
        <v>001006</v>
      </c>
      <c r="P954" s="22">
        <f t="shared" si="487"/>
        <v>34</v>
      </c>
      <c r="Q954" s="22"/>
      <c r="R954" s="23" t="s">
        <v>153</v>
      </c>
      <c r="S954" s="22">
        <f t="shared" si="488"/>
        <v>0.56999999999999995</v>
      </c>
      <c r="T954" s="24">
        <f t="shared" si="489"/>
        <v>0</v>
      </c>
      <c r="U954" s="25">
        <f t="shared" si="490"/>
        <v>2</v>
      </c>
      <c r="V954" s="26" t="str">
        <f t="shared" si="491"/>
        <v/>
      </c>
    </row>
    <row r="955" spans="1:22" ht="48" customHeight="1" x14ac:dyDescent="0.25">
      <c r="A955" s="17">
        <f>VLOOKUP(C955,[1]Werke!$A$1:$C$168,3,0)</f>
        <v>24</v>
      </c>
      <c r="B955" s="17" t="str">
        <f>VLOOKUP(C955,[1]Werke!$A$1:$C$168,2,0)</f>
        <v>CKS</v>
      </c>
      <c r="C955" s="18" t="s">
        <v>245</v>
      </c>
      <c r="D955" s="17" t="str">
        <f>VLOOKUP(C955,[1]Maliteslimalan!$A$1:$B$210,2,0)</f>
        <v>8000012647</v>
      </c>
      <c r="E955" s="19" t="str">
        <f>VLOOKUP(C955,[1]Bestellnr.!$A$1:$B$174,2,0)</f>
        <v>000006</v>
      </c>
      <c r="F955" s="20" t="str">
        <f t="shared" si="482"/>
        <v>WHT 007 828</v>
      </c>
      <c r="G955" s="21">
        <v>969209000</v>
      </c>
      <c r="H955" s="17">
        <f t="shared" si="483"/>
        <v>1.9900000000000001E-2</v>
      </c>
      <c r="I955" s="20"/>
      <c r="J955" s="17">
        <f t="shared" si="484"/>
        <v>500</v>
      </c>
      <c r="K955" s="17">
        <f t="shared" si="485"/>
        <v>0</v>
      </c>
      <c r="L955" s="22">
        <v>10</v>
      </c>
      <c r="M955" s="22">
        <v>30</v>
      </c>
      <c r="N955" s="22">
        <v>111444</v>
      </c>
      <c r="O955" s="22" t="str">
        <f t="shared" si="486"/>
        <v>001006</v>
      </c>
      <c r="P955" s="22">
        <f t="shared" si="487"/>
        <v>34</v>
      </c>
      <c r="Q955" s="22"/>
      <c r="R955" s="23" t="s">
        <v>153</v>
      </c>
      <c r="S955" s="22">
        <f t="shared" si="488"/>
        <v>0.56999999999999995</v>
      </c>
      <c r="T955" s="24">
        <f t="shared" si="489"/>
        <v>0</v>
      </c>
      <c r="U955" s="25">
        <f t="shared" si="490"/>
        <v>2</v>
      </c>
      <c r="V955" s="26" t="str">
        <f t="shared" si="491"/>
        <v/>
      </c>
    </row>
    <row r="956" spans="1:22" ht="48" customHeight="1" x14ac:dyDescent="0.25">
      <c r="A956" s="17"/>
      <c r="B956" s="17"/>
      <c r="C956" s="18"/>
      <c r="D956" s="17"/>
      <c r="E956" s="19"/>
      <c r="F956" s="20"/>
      <c r="G956" s="21"/>
      <c r="H956" s="17"/>
      <c r="I956" s="20"/>
      <c r="J956" s="17"/>
      <c r="K956" s="17"/>
      <c r="L956" s="22"/>
      <c r="M956" s="22"/>
      <c r="N956" s="22"/>
      <c r="O956" s="22"/>
      <c r="P956" s="22"/>
      <c r="Q956" s="22"/>
      <c r="R956" s="23"/>
      <c r="S956" s="22"/>
      <c r="T956" s="24"/>
      <c r="U956" s="25"/>
    </row>
    <row r="957" spans="1:22" ht="48" customHeight="1" x14ac:dyDescent="0.25">
      <c r="A957" s="17">
        <f>VLOOKUP(C957,[1]Werke!$A$1:$C$168,3,0)</f>
        <v>21</v>
      </c>
      <c r="B957" s="17" t="str">
        <f>VLOOKUP(C957,[1]Werke!$A$1:$C$168,2,0)</f>
        <v>GZD</v>
      </c>
      <c r="C957" s="18" t="s">
        <v>223</v>
      </c>
      <c r="D957" s="17" t="str">
        <f>VLOOKUP(C957,[1]Maliteslimalan!$A$1:$B$210,2,0)</f>
        <v>8000012572</v>
      </c>
      <c r="E957" s="19" t="str">
        <f>VLOOKUP(C957,[1]Bestellnr.!$A$1:$B$174,2,0)</f>
        <v>000006</v>
      </c>
      <c r="F957" s="20" t="str">
        <f t="shared" ref="F957:F968" si="492">VLOOKUP(G957,$U$1:$V$1730,2,0)</f>
        <v>N   102 861 10</v>
      </c>
      <c r="G957" s="21">
        <v>970692000</v>
      </c>
      <c r="H957" s="17">
        <f t="shared" ref="H957:H968" si="493">VLOOKUP(G957,Z$2:AA$1905,2,FALSE)</f>
        <v>1.4800000000000001E-2</v>
      </c>
      <c r="I957" s="20"/>
      <c r="J957" s="17">
        <f t="shared" ref="J957:J962" si="494">VLOOKUP(G957,W$2:X$1905,2,FALSE)</f>
        <v>950</v>
      </c>
      <c r="K957" s="17">
        <f t="shared" ref="K957:K968" si="495">I957/J957</f>
        <v>0</v>
      </c>
      <c r="L957" s="22">
        <v>20</v>
      </c>
      <c r="M957" s="22">
        <v>60</v>
      </c>
      <c r="N957" s="22" t="s">
        <v>155</v>
      </c>
      <c r="O957" s="22" t="str">
        <f t="shared" ref="O957:O968" si="496">VLOOKUP(N957,$AL$1285:$AM$1310,2,FALSE)</f>
        <v>001210</v>
      </c>
      <c r="P957" s="22">
        <f t="shared" ref="P957:P968" si="497">VLOOKUP(N957,AC$2:AD$1905,2,FALSE)</f>
        <v>55</v>
      </c>
      <c r="Q957" s="22"/>
      <c r="R957" s="23" t="s">
        <v>153</v>
      </c>
      <c r="S957" s="22">
        <f t="shared" ref="S957:S968" si="498">VLOOKUP(R957,AC$2:AD$1905,2,FALSE)</f>
        <v>0.56999999999999995</v>
      </c>
      <c r="T957" s="24">
        <f t="shared" ref="T957:T968" si="499">(H957*I957)+P957*Q957+S957*K957</f>
        <v>0</v>
      </c>
      <c r="U957" s="25">
        <f t="shared" ref="U957:U968" si="500">IF(TRIM(N957&amp;"")="111444",
    IF(ROUNDUP(MAX(0,K957-(MAX(1,Q957)-1)*10)/10,0)=1,3,2),
    IF(TRIM(N957&amp;"")="VWPAL",
        IF(TRIM(R957&amp;"")="004147",1,2),
        ""
    )
)</f>
        <v>2</v>
      </c>
      <c r="V957" s="26" t="str">
        <f t="shared" ref="V957:V968" si="501">IF(OR(TRIM(N957&amp;"")="111444",TRIM(N957&amp;"")="VWPAL"),
    IF(K957&lt;=0,"",
        IF(
            MIN(3,ROUNDUP(MAX(0,K957-(MAX(1,Q957)-1)*IF(TRIM(N957&amp;"")="111444",10,20))/IF(TRIM(N957&amp;"")="111444",10,20),0))=1,
            300,
            IF(
                MIN(3,ROUNDUP(MAX(0,K957-(MAX(1,Q957)-1)*IF(TRIM(N957&amp;"")="111444",10,20))/IF(TRIM(N957&amp;"")="111444",10,20),0))=2,
                450,
                600
            )
        )
    ),
    ""
)</f>
        <v/>
      </c>
    </row>
    <row r="958" spans="1:22" ht="48" customHeight="1" x14ac:dyDescent="0.25">
      <c r="A958" s="17">
        <f>VLOOKUP(C958,[1]Werke!$A$1:$C$168,3,0)</f>
        <v>69</v>
      </c>
      <c r="B958" s="17" t="str">
        <f>VLOOKUP(C958,[1]Werke!$A$1:$C$168,2,0)</f>
        <v>AKL</v>
      </c>
      <c r="C958" s="18" t="s">
        <v>238</v>
      </c>
      <c r="D958" s="17">
        <f>VLOOKUP(C958,[1]Maliteslimalan!$A$1:$B$210,2,0)</f>
        <v>8000017492</v>
      </c>
      <c r="E958" s="19">
        <v>6</v>
      </c>
      <c r="F958" s="20" t="str">
        <f t="shared" si="492"/>
        <v>N   102 861 10</v>
      </c>
      <c r="G958" s="21">
        <v>970692000</v>
      </c>
      <c r="H958" s="17">
        <f t="shared" si="493"/>
        <v>1.4800000000000001E-2</v>
      </c>
      <c r="I958" s="20"/>
      <c r="J958" s="17">
        <f t="shared" si="494"/>
        <v>950</v>
      </c>
      <c r="K958" s="17">
        <f t="shared" si="495"/>
        <v>0</v>
      </c>
      <c r="L958" s="22">
        <v>10</v>
      </c>
      <c r="M958" s="22">
        <v>30</v>
      </c>
      <c r="N958" s="22">
        <v>111444</v>
      </c>
      <c r="O958" s="22" t="str">
        <f t="shared" si="496"/>
        <v>001006</v>
      </c>
      <c r="P958" s="22">
        <f t="shared" si="497"/>
        <v>34</v>
      </c>
      <c r="Q958" s="22"/>
      <c r="R958" s="23" t="s">
        <v>153</v>
      </c>
      <c r="S958" s="22">
        <f t="shared" si="498"/>
        <v>0.56999999999999995</v>
      </c>
      <c r="T958" s="24">
        <f t="shared" si="499"/>
        <v>0</v>
      </c>
      <c r="U958" s="25">
        <f t="shared" si="500"/>
        <v>2</v>
      </c>
      <c r="V958" s="26" t="str">
        <f t="shared" si="501"/>
        <v/>
      </c>
    </row>
    <row r="959" spans="1:22" ht="48" customHeight="1" x14ac:dyDescent="0.25">
      <c r="A959" s="17">
        <f>VLOOKUP(C959,[1]Werke!$A$1:$C$168,3,0)</f>
        <v>13</v>
      </c>
      <c r="B959" s="17" t="str">
        <f>VLOOKUP(C959,[1]Werke!$A$1:$C$168,2,0)</f>
        <v>H30</v>
      </c>
      <c r="C959" s="18">
        <v>30367</v>
      </c>
      <c r="D959" s="17">
        <f>VLOOKUP(C959,[1]Maliteslimalan!$A$1:$B$210,2,0)</f>
        <v>8000015910</v>
      </c>
      <c r="E959" s="19">
        <v>6</v>
      </c>
      <c r="F959" s="20" t="str">
        <f t="shared" si="492"/>
        <v>N   102 861 10</v>
      </c>
      <c r="G959" s="21">
        <v>970692000</v>
      </c>
      <c r="H959" s="17">
        <f t="shared" si="493"/>
        <v>1.4800000000000001E-2</v>
      </c>
      <c r="I959" s="20"/>
      <c r="J959" s="17">
        <f t="shared" si="494"/>
        <v>950</v>
      </c>
      <c r="K959" s="17">
        <f t="shared" si="495"/>
        <v>0</v>
      </c>
      <c r="L959" s="22">
        <v>20</v>
      </c>
      <c r="M959" s="22">
        <v>60</v>
      </c>
      <c r="N959" s="22" t="s">
        <v>155</v>
      </c>
      <c r="O959" s="22" t="str">
        <f t="shared" si="496"/>
        <v>001210</v>
      </c>
      <c r="P959" s="22">
        <f t="shared" si="497"/>
        <v>55</v>
      </c>
      <c r="Q959" s="22"/>
      <c r="R959" s="23" t="s">
        <v>153</v>
      </c>
      <c r="S959" s="22">
        <f t="shared" si="498"/>
        <v>0.56999999999999995</v>
      </c>
      <c r="T959" s="24">
        <f t="shared" si="499"/>
        <v>0</v>
      </c>
      <c r="U959" s="25">
        <f t="shared" si="500"/>
        <v>2</v>
      </c>
      <c r="V959" s="26" t="str">
        <f t="shared" si="501"/>
        <v/>
      </c>
    </row>
    <row r="960" spans="1:22" ht="48" customHeight="1" x14ac:dyDescent="0.25">
      <c r="A960" s="17">
        <f>VLOOKUP(C960,[1]Werke!$A$1:$C$168,3,0)</f>
        <v>24</v>
      </c>
      <c r="B960" s="17" t="str">
        <f>VLOOKUP(C960,[1]Werke!$A$1:$C$168,2,0)</f>
        <v>CKH</v>
      </c>
      <c r="C960" s="18" t="s">
        <v>224</v>
      </c>
      <c r="D960" s="17">
        <f>VLOOKUP(C960,[1]Maliteslimalan!$A$1:$B$210,2,0)</f>
        <v>8000013551</v>
      </c>
      <c r="E960" s="19">
        <v>6</v>
      </c>
      <c r="F960" s="20" t="str">
        <f t="shared" si="492"/>
        <v>N   102 861 10</v>
      </c>
      <c r="G960" s="21">
        <v>970692000</v>
      </c>
      <c r="H960" s="17">
        <f t="shared" si="493"/>
        <v>1.4800000000000001E-2</v>
      </c>
      <c r="I960" s="20"/>
      <c r="J960" s="17">
        <f t="shared" si="494"/>
        <v>950</v>
      </c>
      <c r="K960" s="17">
        <f t="shared" si="495"/>
        <v>0</v>
      </c>
      <c r="L960" s="22">
        <v>10</v>
      </c>
      <c r="M960" s="22">
        <v>30</v>
      </c>
      <c r="N960" s="22">
        <v>111444</v>
      </c>
      <c r="O960" s="22" t="str">
        <f t="shared" si="496"/>
        <v>001006</v>
      </c>
      <c r="P960" s="22">
        <f t="shared" si="497"/>
        <v>34</v>
      </c>
      <c r="Q960" s="22"/>
      <c r="R960" s="23" t="s">
        <v>153</v>
      </c>
      <c r="S960" s="22">
        <f t="shared" si="498"/>
        <v>0.56999999999999995</v>
      </c>
      <c r="T960" s="24">
        <f t="shared" si="499"/>
        <v>0</v>
      </c>
      <c r="U960" s="25">
        <f t="shared" si="500"/>
        <v>2</v>
      </c>
      <c r="V960" s="26" t="str">
        <f t="shared" si="501"/>
        <v/>
      </c>
    </row>
    <row r="961" spans="1:22" ht="48" customHeight="1" x14ac:dyDescent="0.25">
      <c r="A961" s="17" t="str">
        <f>VLOOKUP(C961,[1]Werke!$A$1:$C$168,3,0)</f>
        <v>IM</v>
      </c>
      <c r="B961" s="17">
        <f>VLOOKUP(C961,[1]Werke!$A$1:$C$168,2,0)</f>
        <v>889</v>
      </c>
      <c r="C961" s="18" t="s">
        <v>225</v>
      </c>
      <c r="D961" s="17">
        <f>VLOOKUP(C961,[1]Maliteslimalan!$A$1:$B$210,2,0)</f>
        <v>8000017117</v>
      </c>
      <c r="E961" s="19">
        <v>6</v>
      </c>
      <c r="F961" s="20" t="str">
        <f t="shared" si="492"/>
        <v>N   102 861 10</v>
      </c>
      <c r="G961" s="21">
        <v>970692000</v>
      </c>
      <c r="H961" s="17">
        <f t="shared" si="493"/>
        <v>1.4800000000000001E-2</v>
      </c>
      <c r="I961" s="20"/>
      <c r="J961" s="17">
        <f t="shared" si="494"/>
        <v>950</v>
      </c>
      <c r="K961" s="17">
        <f t="shared" si="495"/>
        <v>0</v>
      </c>
      <c r="L961" s="22">
        <v>10</v>
      </c>
      <c r="M961" s="22">
        <v>30</v>
      </c>
      <c r="N961" s="22">
        <v>111444</v>
      </c>
      <c r="O961" s="22" t="str">
        <f t="shared" si="496"/>
        <v>001006</v>
      </c>
      <c r="P961" s="22">
        <f t="shared" si="497"/>
        <v>34</v>
      </c>
      <c r="Q961" s="22"/>
      <c r="R961" s="23" t="s">
        <v>153</v>
      </c>
      <c r="S961" s="22">
        <f t="shared" si="498"/>
        <v>0.56999999999999995</v>
      </c>
      <c r="T961" s="24">
        <f t="shared" si="499"/>
        <v>0</v>
      </c>
      <c r="U961" s="25">
        <f t="shared" si="500"/>
        <v>2</v>
      </c>
      <c r="V961" s="26" t="str">
        <f t="shared" si="501"/>
        <v/>
      </c>
    </row>
    <row r="962" spans="1:22" ht="48" customHeight="1" x14ac:dyDescent="0.25">
      <c r="A962" s="17" t="str">
        <f>VLOOKUP(C962,[1]Werke!$A$1:$C$168,3,0)</f>
        <v>LD</v>
      </c>
      <c r="B962" s="17" t="str">
        <f>VLOOKUP(C962,[1]Werke!$A$1:$C$168,2,0)</f>
        <v>SLD</v>
      </c>
      <c r="C962" s="18">
        <v>83630</v>
      </c>
      <c r="D962" s="17" t="str">
        <f>VLOOKUP(C962,[1]Maliteslimalan!$A$1:$B$210,2,0)</f>
        <v>8000012862</v>
      </c>
      <c r="E962" s="19" t="str">
        <f>VLOOKUP(C962,[1]Bestellnr.!$A$1:$B$174,2,0)</f>
        <v>000006</v>
      </c>
      <c r="F962" s="20" t="str">
        <f t="shared" si="492"/>
        <v>N   102 861 10</v>
      </c>
      <c r="G962" s="21">
        <v>970692000</v>
      </c>
      <c r="H962" s="17">
        <f t="shared" si="493"/>
        <v>1.4800000000000001E-2</v>
      </c>
      <c r="I962" s="20"/>
      <c r="J962" s="17">
        <f t="shared" si="494"/>
        <v>950</v>
      </c>
      <c r="K962" s="17">
        <f t="shared" si="495"/>
        <v>0</v>
      </c>
      <c r="L962" s="22">
        <v>10</v>
      </c>
      <c r="M962" s="22">
        <v>30</v>
      </c>
      <c r="N962" s="22">
        <v>111444</v>
      </c>
      <c r="O962" s="22" t="str">
        <f t="shared" si="496"/>
        <v>001006</v>
      </c>
      <c r="P962" s="22">
        <f t="shared" si="497"/>
        <v>34</v>
      </c>
      <c r="Q962" s="22"/>
      <c r="R962" s="23" t="s">
        <v>153</v>
      </c>
      <c r="S962" s="22">
        <f t="shared" si="498"/>
        <v>0.56999999999999995</v>
      </c>
      <c r="T962" s="24">
        <f t="shared" si="499"/>
        <v>0</v>
      </c>
      <c r="U962" s="25">
        <f t="shared" si="500"/>
        <v>2</v>
      </c>
      <c r="V962" s="26" t="str">
        <f t="shared" si="501"/>
        <v/>
      </c>
    </row>
    <row r="963" spans="1:22" ht="48" customHeight="1" x14ac:dyDescent="0.25">
      <c r="A963" s="17">
        <f>VLOOKUP(C963,[1]Werke!$A$1:$C$168,3,0)</f>
        <v>22</v>
      </c>
      <c r="B963" s="17" t="str">
        <f>VLOOKUP(C963,[1]Werke!$A$1:$C$168,2,0)</f>
        <v>13P</v>
      </c>
      <c r="C963" s="18" t="s">
        <v>230</v>
      </c>
      <c r="D963" s="17" t="str">
        <f>VLOOKUP(C963,[1]Maliteslimalan!$A$1:$B$210,2,0)</f>
        <v>8000013344</v>
      </c>
      <c r="E963" s="19" t="str">
        <f>VLOOKUP(C963,[1]Bestellnr.!$A$1:$B$174,2,0)</f>
        <v>000006</v>
      </c>
      <c r="F963" s="20" t="str">
        <f t="shared" si="492"/>
        <v>N   102 861 10</v>
      </c>
      <c r="G963" s="21">
        <v>970692000</v>
      </c>
      <c r="H963" s="17">
        <f t="shared" si="493"/>
        <v>1.4800000000000001E-2</v>
      </c>
      <c r="I963" s="20"/>
      <c r="J963" s="17">
        <v>950</v>
      </c>
      <c r="K963" s="17">
        <f t="shared" si="495"/>
        <v>0</v>
      </c>
      <c r="L963" s="22">
        <v>10</v>
      </c>
      <c r="M963" s="22">
        <v>30</v>
      </c>
      <c r="N963" s="22">
        <v>111444</v>
      </c>
      <c r="O963" s="22" t="str">
        <f t="shared" si="496"/>
        <v>001006</v>
      </c>
      <c r="P963" s="22">
        <f t="shared" si="497"/>
        <v>34</v>
      </c>
      <c r="Q963" s="22"/>
      <c r="R963" s="23" t="s">
        <v>153</v>
      </c>
      <c r="S963" s="22">
        <f t="shared" si="498"/>
        <v>0.56999999999999995</v>
      </c>
      <c r="T963" s="24">
        <f t="shared" si="499"/>
        <v>0</v>
      </c>
      <c r="U963" s="25">
        <f t="shared" si="500"/>
        <v>2</v>
      </c>
      <c r="V963" s="26" t="str">
        <f t="shared" si="501"/>
        <v/>
      </c>
    </row>
    <row r="964" spans="1:22" ht="48" customHeight="1" x14ac:dyDescent="0.25">
      <c r="A964" s="17">
        <f>VLOOKUP(C964,[1]Werke!$A$1:$C$168,3,0)</f>
        <v>37</v>
      </c>
      <c r="B964" s="17" t="str">
        <f>VLOOKUP(C964,[1]Werke!$A$1:$C$168,2,0)</f>
        <v>AKL</v>
      </c>
      <c r="C964" s="18" t="s">
        <v>232</v>
      </c>
      <c r="D964" s="17" t="str">
        <f>VLOOKUP(C964,[1]Maliteslimalan!$A$1:$B$210,2,0)</f>
        <v>8000012562</v>
      </c>
      <c r="E964" s="19" t="str">
        <f>VLOOKUP(C964,[1]Bestellnr.!$A$1:$B$174,2,0)</f>
        <v>000006</v>
      </c>
      <c r="F964" s="20" t="str">
        <f t="shared" si="492"/>
        <v>N   102 861 10</v>
      </c>
      <c r="G964" s="21">
        <v>970692000</v>
      </c>
      <c r="H964" s="17">
        <f t="shared" si="493"/>
        <v>1.4800000000000001E-2</v>
      </c>
      <c r="I964" s="20"/>
      <c r="J964" s="17">
        <f>VLOOKUP(G964,W$2:X$1905,2,FALSE)</f>
        <v>950</v>
      </c>
      <c r="K964" s="17">
        <f t="shared" si="495"/>
        <v>0</v>
      </c>
      <c r="L964" s="22">
        <v>10</v>
      </c>
      <c r="M964" s="22">
        <v>10</v>
      </c>
      <c r="N964" s="22">
        <v>111444</v>
      </c>
      <c r="O964" s="22" t="str">
        <f t="shared" si="496"/>
        <v>001006</v>
      </c>
      <c r="P964" s="22">
        <f t="shared" si="497"/>
        <v>34</v>
      </c>
      <c r="Q964" s="22"/>
      <c r="R964" s="23" t="s">
        <v>153</v>
      </c>
      <c r="S964" s="22">
        <f t="shared" si="498"/>
        <v>0.56999999999999995</v>
      </c>
      <c r="T964" s="24">
        <f t="shared" si="499"/>
        <v>0</v>
      </c>
      <c r="U964" s="25">
        <f t="shared" si="500"/>
        <v>2</v>
      </c>
      <c r="V964" s="26" t="str">
        <f t="shared" si="501"/>
        <v/>
      </c>
    </row>
    <row r="965" spans="1:22" ht="48" customHeight="1" x14ac:dyDescent="0.25">
      <c r="A965" s="17">
        <f>VLOOKUP(C965,[1]Werke!$A$1:$C$168,3,0)</f>
        <v>14</v>
      </c>
      <c r="B965" s="17" t="str">
        <f>VLOOKUP(C965,[1]Werke!$A$1:$C$168,2,0)</f>
        <v>D72</v>
      </c>
      <c r="C965" s="18" t="s">
        <v>220</v>
      </c>
      <c r="D965" s="17" t="str">
        <f>VLOOKUP(C965,[1]Maliteslimalan!$A$1:$B$210,2,0)</f>
        <v>8000013493</v>
      </c>
      <c r="E965" s="19">
        <f>VLOOKUP(C965,[1]Bestellnr.!$A$1:$B$174,2,0)</f>
        <v>0</v>
      </c>
      <c r="F965" s="20" t="str">
        <f t="shared" si="492"/>
        <v>N   102 861 10</v>
      </c>
      <c r="G965" s="21">
        <v>970692000</v>
      </c>
      <c r="H965" s="17">
        <f t="shared" si="493"/>
        <v>1.4800000000000001E-2</v>
      </c>
      <c r="I965" s="20"/>
      <c r="J965" s="17">
        <f>VLOOKUP(G965,W$2:X$1905,2,FALSE)</f>
        <v>950</v>
      </c>
      <c r="K965" s="17">
        <f t="shared" si="495"/>
        <v>0</v>
      </c>
      <c r="L965" s="22">
        <v>10</v>
      </c>
      <c r="M965" s="22">
        <v>30</v>
      </c>
      <c r="N965" s="22">
        <v>111444</v>
      </c>
      <c r="O965" s="22" t="str">
        <f t="shared" si="496"/>
        <v>001006</v>
      </c>
      <c r="P965" s="22">
        <f t="shared" si="497"/>
        <v>34</v>
      </c>
      <c r="Q965" s="22"/>
      <c r="R965" s="23" t="s">
        <v>153</v>
      </c>
      <c r="S965" s="22">
        <f t="shared" si="498"/>
        <v>0.56999999999999995</v>
      </c>
      <c r="T965" s="24">
        <f t="shared" si="499"/>
        <v>0</v>
      </c>
      <c r="U965" s="25">
        <f t="shared" si="500"/>
        <v>2</v>
      </c>
      <c r="V965" s="26" t="str">
        <f t="shared" si="501"/>
        <v/>
      </c>
    </row>
    <row r="966" spans="1:22" ht="48" customHeight="1" x14ac:dyDescent="0.25">
      <c r="A966" s="17" t="e">
        <f>VLOOKUP(C966,[1]Werke!$A$1:$C$168,3,0)</f>
        <v>#N/A</v>
      </c>
      <c r="B966" s="17" t="e">
        <f>VLOOKUP(C966,[1]Werke!$A$1:$C$168,2,0)</f>
        <v>#N/A</v>
      </c>
      <c r="C966" s="18">
        <v>65542</v>
      </c>
      <c r="D966" s="17">
        <f>VLOOKUP(C966,[1]Maliteslimalan!$A$1:$B$210,2,0)</f>
        <v>8000017751</v>
      </c>
      <c r="E966" s="19">
        <v>6</v>
      </c>
      <c r="F966" s="20" t="str">
        <f t="shared" si="492"/>
        <v>N   102 861 10</v>
      </c>
      <c r="G966" s="21">
        <v>970692000</v>
      </c>
      <c r="H966" s="17">
        <f t="shared" si="493"/>
        <v>1.4800000000000001E-2</v>
      </c>
      <c r="I966" s="20"/>
      <c r="J966" s="17">
        <f>VLOOKUP(G966,W$2:X$1905,2,FALSE)</f>
        <v>950</v>
      </c>
      <c r="K966" s="17">
        <f t="shared" si="495"/>
        <v>0</v>
      </c>
      <c r="L966" s="22">
        <v>20</v>
      </c>
      <c r="M966" s="22">
        <v>60</v>
      </c>
      <c r="N966" s="22" t="s">
        <v>155</v>
      </c>
      <c r="O966" s="22" t="str">
        <f t="shared" si="496"/>
        <v>001210</v>
      </c>
      <c r="P966" s="22">
        <f t="shared" si="497"/>
        <v>55</v>
      </c>
      <c r="Q966" s="22"/>
      <c r="R966" s="23" t="s">
        <v>153</v>
      </c>
      <c r="S966" s="22">
        <f t="shared" si="498"/>
        <v>0.56999999999999995</v>
      </c>
      <c r="T966" s="24">
        <f t="shared" si="499"/>
        <v>0</v>
      </c>
      <c r="U966" s="25">
        <f t="shared" si="500"/>
        <v>2</v>
      </c>
      <c r="V966" s="26" t="str">
        <f t="shared" si="501"/>
        <v/>
      </c>
    </row>
    <row r="967" spans="1:22" ht="48" customHeight="1" x14ac:dyDescent="0.25">
      <c r="A967" s="17">
        <f>VLOOKUP(C967,[1]Werke!$A$1:$C$168,3,0)</f>
        <v>24</v>
      </c>
      <c r="B967" s="17" t="str">
        <f>VLOOKUP(C967,[1]Werke!$A$1:$C$168,2,0)</f>
        <v>CKS</v>
      </c>
      <c r="C967" s="18" t="s">
        <v>245</v>
      </c>
      <c r="D967" s="17" t="str">
        <f>VLOOKUP(C967,[1]Maliteslimalan!$A$1:$B$210,2,0)</f>
        <v>8000012647</v>
      </c>
      <c r="E967" s="19" t="str">
        <f>VLOOKUP(C967,[1]Bestellnr.!$A$1:$B$174,2,0)</f>
        <v>000006</v>
      </c>
      <c r="F967" s="20" t="str">
        <f t="shared" si="492"/>
        <v>N   102 861 10</v>
      </c>
      <c r="G967" s="21">
        <v>970692000</v>
      </c>
      <c r="H967" s="17">
        <f t="shared" si="493"/>
        <v>1.4800000000000001E-2</v>
      </c>
      <c r="I967" s="20"/>
      <c r="J967" s="17">
        <f>VLOOKUP(G967,W$2:X$1905,2,FALSE)</f>
        <v>950</v>
      </c>
      <c r="K967" s="17">
        <f t="shared" si="495"/>
        <v>0</v>
      </c>
      <c r="L967" s="22">
        <v>10</v>
      </c>
      <c r="M967" s="22">
        <v>30</v>
      </c>
      <c r="N967" s="22">
        <v>111444</v>
      </c>
      <c r="O967" s="22" t="str">
        <f t="shared" si="496"/>
        <v>001006</v>
      </c>
      <c r="P967" s="22">
        <f t="shared" si="497"/>
        <v>34</v>
      </c>
      <c r="Q967" s="22"/>
      <c r="R967" s="23" t="s">
        <v>153</v>
      </c>
      <c r="S967" s="22">
        <f t="shared" si="498"/>
        <v>0.56999999999999995</v>
      </c>
      <c r="T967" s="24">
        <f t="shared" si="499"/>
        <v>0</v>
      </c>
      <c r="U967" s="25">
        <f t="shared" si="500"/>
        <v>2</v>
      </c>
      <c r="V967" s="26" t="str">
        <f t="shared" si="501"/>
        <v/>
      </c>
    </row>
    <row r="968" spans="1:22" ht="48" customHeight="1" x14ac:dyDescent="0.25">
      <c r="A968" s="17" t="str">
        <f>VLOOKUP(C968,[1]Werke!$A$1:$C$168,3,0)</f>
        <v>HT</v>
      </c>
      <c r="B968" s="17">
        <f>VLOOKUP(C968,[1]Werke!$A$1:$C$168,2,0)</f>
        <v>34</v>
      </c>
      <c r="C968" s="18">
        <v>80245</v>
      </c>
      <c r="D968" s="17">
        <f>VLOOKUP(C968,[1]Maliteslimalan!$A$1:$B$210,2,0)</f>
        <v>8000012604</v>
      </c>
      <c r="E968" s="19">
        <v>6</v>
      </c>
      <c r="F968" s="20" t="str">
        <f t="shared" si="492"/>
        <v>N   102 861 10</v>
      </c>
      <c r="G968" s="21">
        <v>970692000</v>
      </c>
      <c r="H968" s="17">
        <f t="shared" si="493"/>
        <v>1.4800000000000001E-2</v>
      </c>
      <c r="I968" s="20"/>
      <c r="J968" s="17">
        <f>VLOOKUP(G968,W$2:X$1905,2,FALSE)</f>
        <v>950</v>
      </c>
      <c r="K968" s="17">
        <f t="shared" si="495"/>
        <v>0</v>
      </c>
      <c r="L968" s="22">
        <v>20</v>
      </c>
      <c r="M968" s="22">
        <v>20</v>
      </c>
      <c r="N968" s="22" t="s">
        <v>155</v>
      </c>
      <c r="O968" s="22" t="str">
        <f t="shared" si="496"/>
        <v>001210</v>
      </c>
      <c r="P968" s="22">
        <f t="shared" si="497"/>
        <v>55</v>
      </c>
      <c r="Q968" s="22"/>
      <c r="R968" s="23" t="s">
        <v>153</v>
      </c>
      <c r="S968" s="22">
        <f t="shared" si="498"/>
        <v>0.56999999999999995</v>
      </c>
      <c r="T968" s="24">
        <f t="shared" si="499"/>
        <v>0</v>
      </c>
      <c r="U968" s="25">
        <f t="shared" si="500"/>
        <v>2</v>
      </c>
      <c r="V968" s="26" t="str">
        <f t="shared" si="501"/>
        <v/>
      </c>
    </row>
    <row r="969" spans="1:22" ht="49.5" customHeight="1" x14ac:dyDescent="0.25">
      <c r="A969" s="17"/>
      <c r="B969" s="17"/>
      <c r="C969" s="18"/>
      <c r="D969" s="17"/>
      <c r="E969" s="19"/>
      <c r="F969" s="20"/>
      <c r="G969" s="21"/>
      <c r="H969" s="17"/>
      <c r="I969" s="20"/>
      <c r="J969" s="17"/>
      <c r="K969" s="17"/>
      <c r="L969" s="22"/>
      <c r="M969" s="22"/>
      <c r="N969" s="22"/>
      <c r="O969" s="22"/>
      <c r="P969" s="22"/>
      <c r="Q969" s="22"/>
      <c r="R969" s="23"/>
      <c r="S969" s="22"/>
      <c r="T969" s="24"/>
      <c r="U969" s="25"/>
    </row>
    <row r="970" spans="1:22" ht="48" customHeight="1" x14ac:dyDescent="0.25">
      <c r="A970" s="17">
        <f>VLOOKUP(C970,[1]Werke!$A$1:$C$168,3,0)</f>
        <v>21</v>
      </c>
      <c r="B970" s="17" t="str">
        <f>VLOOKUP(C970,[1]Werke!$A$1:$C$168,2,0)</f>
        <v>GZD</v>
      </c>
      <c r="C970" s="18" t="s">
        <v>154</v>
      </c>
      <c r="D970" s="17" t="str">
        <f>VLOOKUP(C970,[1]Maliteslimalan!$A$1:$B$210,2,0)</f>
        <v>8000012572</v>
      </c>
      <c r="E970" s="19" t="str">
        <f>VLOOKUP(C970,[1]Bestellnr.!$A$1:$B$174,2,0)</f>
        <v>000006</v>
      </c>
      <c r="F970" s="20" t="str">
        <f t="shared" ref="F970:F990" si="502">VLOOKUP(G970,$U$1:$V$1730,2,0)</f>
        <v>N   015 081 6</v>
      </c>
      <c r="G970" s="21">
        <v>970696000</v>
      </c>
      <c r="H970" s="17">
        <f t="shared" ref="H970:H990" si="503">VLOOKUP(G970,Z$2:AA$1905,2,FALSE)</f>
        <v>2.053E-2</v>
      </c>
      <c r="I970" s="20"/>
      <c r="J970" s="17">
        <f t="shared" ref="J970:J990" si="504">VLOOKUP(G970,W$2:X$1905,2,FALSE)</f>
        <v>700</v>
      </c>
      <c r="K970" s="17">
        <f t="shared" ref="K970:K990" si="505">I970/J970</f>
        <v>0</v>
      </c>
      <c r="L970" s="22">
        <v>20</v>
      </c>
      <c r="M970" s="22">
        <v>60</v>
      </c>
      <c r="N970" s="22" t="s">
        <v>155</v>
      </c>
      <c r="O970" s="22" t="str">
        <f t="shared" ref="O970:O990" si="506">VLOOKUP(N970,$AL$1285:$AM$1310,2,FALSE)</f>
        <v>001210</v>
      </c>
      <c r="P970" s="22">
        <f t="shared" ref="P970:P990" si="507">VLOOKUP(N970,AC$2:AD$1905,2,FALSE)</f>
        <v>55</v>
      </c>
      <c r="Q970" s="22"/>
      <c r="R970" s="23" t="s">
        <v>153</v>
      </c>
      <c r="S970" s="22">
        <f t="shared" ref="S970:S990" si="508">VLOOKUP(R970,AC$2:AD$1905,2,FALSE)</f>
        <v>0.56999999999999995</v>
      </c>
      <c r="T970" s="24">
        <f t="shared" ref="T970:T990" si="509">(H970*I970)+P970*Q970+S970*K970</f>
        <v>0</v>
      </c>
      <c r="U970" s="25">
        <f t="shared" ref="U970:U990" si="510">IF(TRIM(N970&amp;"")="111444",
    IF(ROUNDUP(MAX(0,K970-(MAX(1,Q970)-1)*10)/10,0)=1,3,2),
    IF(TRIM(N970&amp;"")="VWPAL",
        IF(TRIM(R970&amp;"")="004147",1,2),
        ""
    )
)</f>
        <v>2</v>
      </c>
      <c r="V970" s="26" t="str">
        <f t="shared" ref="V970:V990" si="511">IF(OR(TRIM(N970&amp;"")="111444",TRIM(N970&amp;"")="VWPAL"),
    IF(K970&lt;=0,"",
        IF(
            MIN(3,ROUNDUP(MAX(0,K970-(MAX(1,Q970)-1)*IF(TRIM(N970&amp;"")="111444",10,20))/IF(TRIM(N970&amp;"")="111444",10,20),0))=1,
            300,
            IF(
                MIN(3,ROUNDUP(MAX(0,K970-(MAX(1,Q970)-1)*IF(TRIM(N970&amp;"")="111444",10,20))/IF(TRIM(N970&amp;"")="111444",10,20),0))=2,
                450,
                600
            )
        )
    ),
    ""
)</f>
        <v/>
      </c>
    </row>
    <row r="971" spans="1:22" ht="48" customHeight="1" x14ac:dyDescent="0.25">
      <c r="A971" s="17">
        <f>VLOOKUP(C971,[1]Werke!$A$1:$C$168,3,0)</f>
        <v>35</v>
      </c>
      <c r="B971" s="17" t="str">
        <f>VLOOKUP(C971,[1]Werke!$A$1:$C$168,2,0)</f>
        <v>AKL</v>
      </c>
      <c r="C971" s="18" t="s">
        <v>207</v>
      </c>
      <c r="D971" s="17" t="str">
        <f>VLOOKUP(C971,[1]Maliteslimalan!$A$1:$B$210,2,0)</f>
        <v>8000013262</v>
      </c>
      <c r="E971" s="19" t="str">
        <f>VLOOKUP(C971,[1]Bestellnr.!$A$1:$B$174,2,0)</f>
        <v>000006</v>
      </c>
      <c r="F971" s="20" t="str">
        <f t="shared" si="502"/>
        <v>N   015 081 6</v>
      </c>
      <c r="G971" s="21">
        <v>970696000</v>
      </c>
      <c r="H971" s="17">
        <f t="shared" si="503"/>
        <v>2.053E-2</v>
      </c>
      <c r="I971" s="20"/>
      <c r="J971" s="17">
        <f t="shared" si="504"/>
        <v>700</v>
      </c>
      <c r="K971" s="17">
        <f t="shared" si="505"/>
        <v>0</v>
      </c>
      <c r="L971" s="22">
        <v>20</v>
      </c>
      <c r="M971" s="22">
        <v>40</v>
      </c>
      <c r="N971" s="22" t="s">
        <v>155</v>
      </c>
      <c r="O971" s="22" t="str">
        <f t="shared" si="506"/>
        <v>001210</v>
      </c>
      <c r="P971" s="22">
        <f t="shared" si="507"/>
        <v>55</v>
      </c>
      <c r="Q971" s="22"/>
      <c r="R971" s="23" t="s">
        <v>153</v>
      </c>
      <c r="S971" s="22">
        <f t="shared" si="508"/>
        <v>0.56999999999999995</v>
      </c>
      <c r="T971" s="24">
        <f t="shared" si="509"/>
        <v>0</v>
      </c>
      <c r="U971" s="25">
        <f t="shared" si="510"/>
        <v>2</v>
      </c>
      <c r="V971" s="26" t="str">
        <f t="shared" si="511"/>
        <v/>
      </c>
    </row>
    <row r="972" spans="1:22" ht="48" customHeight="1" x14ac:dyDescent="0.25">
      <c r="A972" s="17">
        <f>VLOOKUP(C972,[1]Werke!$A$1:$C$168,3,0)</f>
        <v>69</v>
      </c>
      <c r="B972" s="17" t="str">
        <f>VLOOKUP(C972,[1]Werke!$A$1:$C$168,2,0)</f>
        <v>AKL</v>
      </c>
      <c r="C972" s="18" t="s">
        <v>213</v>
      </c>
      <c r="D972" s="17">
        <f>VLOOKUP(C972,[1]Maliteslimalan!$A$1:$B$210,2,0)</f>
        <v>8000017492</v>
      </c>
      <c r="E972" s="19">
        <v>6</v>
      </c>
      <c r="F972" s="20" t="str">
        <f t="shared" si="502"/>
        <v>N   015 081 6</v>
      </c>
      <c r="G972" s="21">
        <v>970696000</v>
      </c>
      <c r="H972" s="17">
        <f t="shared" si="503"/>
        <v>2.053E-2</v>
      </c>
      <c r="I972" s="20"/>
      <c r="J972" s="17">
        <f t="shared" si="504"/>
        <v>700</v>
      </c>
      <c r="K972" s="17">
        <f t="shared" si="505"/>
        <v>0</v>
      </c>
      <c r="L972" s="22">
        <v>20</v>
      </c>
      <c r="M972" s="22">
        <v>60</v>
      </c>
      <c r="N972" s="22" t="s">
        <v>155</v>
      </c>
      <c r="O972" s="22" t="str">
        <f t="shared" si="506"/>
        <v>001210</v>
      </c>
      <c r="P972" s="22">
        <f t="shared" si="507"/>
        <v>55</v>
      </c>
      <c r="Q972" s="22"/>
      <c r="R972" s="23" t="s">
        <v>153</v>
      </c>
      <c r="S972" s="22">
        <f t="shared" si="508"/>
        <v>0.56999999999999995</v>
      </c>
      <c r="T972" s="24">
        <f t="shared" si="509"/>
        <v>0</v>
      </c>
      <c r="U972" s="25">
        <f t="shared" si="510"/>
        <v>2</v>
      </c>
      <c r="V972" s="26" t="str">
        <f t="shared" si="511"/>
        <v/>
      </c>
    </row>
    <row r="973" spans="1:22" ht="48" customHeight="1" x14ac:dyDescent="0.25">
      <c r="A973" s="17" t="str">
        <f>VLOOKUP(C973,[1]Werke!$A$1:$C$168,3,0)</f>
        <v>HT</v>
      </c>
      <c r="B973" s="17">
        <f>VLOOKUP(C973,[1]Werke!$A$1:$C$168,2,0)</f>
        <v>34</v>
      </c>
      <c r="C973" s="18">
        <v>80245</v>
      </c>
      <c r="D973" s="17">
        <f>VLOOKUP(C973,[1]Maliteslimalan!$A$1:$B$210,2,0)</f>
        <v>8000012604</v>
      </c>
      <c r="E973" s="19">
        <v>6</v>
      </c>
      <c r="F973" s="20" t="str">
        <f t="shared" si="502"/>
        <v>N   015 081 6</v>
      </c>
      <c r="G973" s="21">
        <v>970696000</v>
      </c>
      <c r="H973" s="17">
        <f t="shared" si="503"/>
        <v>2.053E-2</v>
      </c>
      <c r="I973" s="20"/>
      <c r="J973" s="17">
        <f t="shared" si="504"/>
        <v>700</v>
      </c>
      <c r="K973" s="17">
        <f t="shared" si="505"/>
        <v>0</v>
      </c>
      <c r="L973" s="22">
        <v>10</v>
      </c>
      <c r="M973" s="22">
        <v>30</v>
      </c>
      <c r="N973" s="22">
        <v>111444</v>
      </c>
      <c r="O973" s="22" t="str">
        <f t="shared" si="506"/>
        <v>001006</v>
      </c>
      <c r="P973" s="22">
        <f t="shared" si="507"/>
        <v>34</v>
      </c>
      <c r="Q973" s="22"/>
      <c r="R973" s="23" t="s">
        <v>153</v>
      </c>
      <c r="S973" s="22">
        <f t="shared" si="508"/>
        <v>0.56999999999999995</v>
      </c>
      <c r="T973" s="24">
        <f t="shared" si="509"/>
        <v>0</v>
      </c>
      <c r="U973" s="25">
        <f t="shared" si="510"/>
        <v>2</v>
      </c>
      <c r="V973" s="26" t="str">
        <f t="shared" si="511"/>
        <v/>
      </c>
    </row>
    <row r="974" spans="1:22" ht="48" customHeight="1" x14ac:dyDescent="0.25">
      <c r="A974" s="17" t="str">
        <f>VLOOKUP(C974,[1]Werke!$A$1:$C$168,3,0)</f>
        <v>IN</v>
      </c>
      <c r="B974" s="17" t="str">
        <f>VLOOKUP(C974,[1]Werke!$A$1:$C$168,2,0)</f>
        <v>ISB</v>
      </c>
      <c r="C974" s="18" t="s">
        <v>285</v>
      </c>
      <c r="D974" s="17" t="str">
        <f>VLOOKUP(C974,[1]Maliteslimalan!$A$1:$B$210,2,0)</f>
        <v>8000012672</v>
      </c>
      <c r="E974" s="19" t="str">
        <f>VLOOKUP(C974,[1]Bestellnr.!$A$1:$B$174,2,0)</f>
        <v>000006</v>
      </c>
      <c r="F974" s="20" t="str">
        <f t="shared" si="502"/>
        <v>N   015 081 6</v>
      </c>
      <c r="G974" s="21">
        <v>970696000</v>
      </c>
      <c r="H974" s="17">
        <f t="shared" si="503"/>
        <v>2.053E-2</v>
      </c>
      <c r="I974" s="20"/>
      <c r="J974" s="17">
        <f t="shared" si="504"/>
        <v>700</v>
      </c>
      <c r="K974" s="17">
        <f t="shared" si="505"/>
        <v>0</v>
      </c>
      <c r="L974" s="22">
        <v>10</v>
      </c>
      <c r="M974" s="22">
        <v>20</v>
      </c>
      <c r="N974" s="22">
        <v>111444</v>
      </c>
      <c r="O974" s="22" t="str">
        <f t="shared" si="506"/>
        <v>001006</v>
      </c>
      <c r="P974" s="22">
        <f t="shared" si="507"/>
        <v>34</v>
      </c>
      <c r="Q974" s="22"/>
      <c r="R974" s="23" t="s">
        <v>153</v>
      </c>
      <c r="S974" s="22">
        <f t="shared" si="508"/>
        <v>0.56999999999999995</v>
      </c>
      <c r="T974" s="24">
        <f t="shared" si="509"/>
        <v>0</v>
      </c>
      <c r="U974" s="25">
        <f t="shared" si="510"/>
        <v>2</v>
      </c>
      <c r="V974" s="26" t="str">
        <f t="shared" si="511"/>
        <v/>
      </c>
    </row>
    <row r="975" spans="1:22" ht="48" customHeight="1" x14ac:dyDescent="0.25">
      <c r="A975" s="17">
        <f>VLOOKUP(C975,[1]Werke!$A$1:$C$168,3,0)</f>
        <v>14</v>
      </c>
      <c r="B975" s="17" t="str">
        <f>VLOOKUP(C975,[1]Werke!$A$1:$C$168,2,0)</f>
        <v>D72</v>
      </c>
      <c r="C975" s="18" t="s">
        <v>220</v>
      </c>
      <c r="D975" s="17" t="str">
        <f>VLOOKUP(C975,[1]Maliteslimalan!$A$1:$B$210,2,0)</f>
        <v>8000013493</v>
      </c>
      <c r="E975" s="19">
        <f>VLOOKUP(C975,[1]Bestellnr.!$A$1:$B$174,2,0)</f>
        <v>0</v>
      </c>
      <c r="F975" s="20" t="str">
        <f t="shared" si="502"/>
        <v>N   015 081 6</v>
      </c>
      <c r="G975" s="21">
        <v>970696000</v>
      </c>
      <c r="H975" s="17">
        <f t="shared" si="503"/>
        <v>2.053E-2</v>
      </c>
      <c r="I975" s="20"/>
      <c r="J975" s="17">
        <f t="shared" si="504"/>
        <v>700</v>
      </c>
      <c r="K975" s="17">
        <f t="shared" si="505"/>
        <v>0</v>
      </c>
      <c r="L975" s="22">
        <v>10</v>
      </c>
      <c r="M975" s="22">
        <v>30</v>
      </c>
      <c r="N975" s="22">
        <v>111444</v>
      </c>
      <c r="O975" s="22" t="str">
        <f t="shared" si="506"/>
        <v>001006</v>
      </c>
      <c r="P975" s="22">
        <f t="shared" si="507"/>
        <v>34</v>
      </c>
      <c r="Q975" s="22"/>
      <c r="R975" s="23" t="s">
        <v>153</v>
      </c>
      <c r="S975" s="22">
        <f t="shared" si="508"/>
        <v>0.56999999999999995</v>
      </c>
      <c r="T975" s="24">
        <f t="shared" si="509"/>
        <v>0</v>
      </c>
      <c r="U975" s="25">
        <f t="shared" si="510"/>
        <v>2</v>
      </c>
      <c r="V975" s="26" t="str">
        <f t="shared" si="511"/>
        <v/>
      </c>
    </row>
    <row r="976" spans="1:22" ht="48" customHeight="1" x14ac:dyDescent="0.25">
      <c r="A976" s="17" t="str">
        <f>VLOOKUP(C976,[1]Werke!$A$1:$C$168,3,0)</f>
        <v>3P</v>
      </c>
      <c r="B976" s="17" t="str">
        <f>VLOOKUP(C976,[1]Werke!$A$1:$C$168,2,0)</f>
        <v>BP4</v>
      </c>
      <c r="C976" s="18" t="s">
        <v>234</v>
      </c>
      <c r="D976" s="17" t="str">
        <f>VLOOKUP(C976,[1]Maliteslimalan!$A$1:$B$210,2,0)</f>
        <v>8000012617</v>
      </c>
      <c r="E976" s="19" t="str">
        <f>VLOOKUP(C976,[1]Bestellnr.!$A$1:$B$174,2,0)</f>
        <v>000055</v>
      </c>
      <c r="F976" s="20" t="str">
        <f t="shared" si="502"/>
        <v>N   015 081 6</v>
      </c>
      <c r="G976" s="21">
        <v>970696000</v>
      </c>
      <c r="H976" s="17">
        <f t="shared" si="503"/>
        <v>2.053E-2</v>
      </c>
      <c r="I976" s="20"/>
      <c r="J976" s="17">
        <f t="shared" si="504"/>
        <v>700</v>
      </c>
      <c r="K976" s="17">
        <f t="shared" si="505"/>
        <v>0</v>
      </c>
      <c r="L976" s="22">
        <v>10</v>
      </c>
      <c r="M976" s="22">
        <v>30</v>
      </c>
      <c r="N976" s="22">
        <v>111444</v>
      </c>
      <c r="O976" s="22" t="str">
        <f t="shared" si="506"/>
        <v>001006</v>
      </c>
      <c r="P976" s="22">
        <f t="shared" si="507"/>
        <v>34</v>
      </c>
      <c r="Q976" s="22"/>
      <c r="R976" s="23" t="s">
        <v>153</v>
      </c>
      <c r="S976" s="22">
        <f t="shared" si="508"/>
        <v>0.56999999999999995</v>
      </c>
      <c r="T976" s="24">
        <f t="shared" si="509"/>
        <v>0</v>
      </c>
      <c r="U976" s="25">
        <f t="shared" si="510"/>
        <v>2</v>
      </c>
      <c r="V976" s="26" t="str">
        <f t="shared" si="511"/>
        <v/>
      </c>
    </row>
    <row r="977" spans="1:22" ht="48" customHeight="1" x14ac:dyDescent="0.25">
      <c r="A977" s="17">
        <f>VLOOKUP(C977,[1]Werke!$A$1:$C$168,3,0)</f>
        <v>24</v>
      </c>
      <c r="B977" s="17" t="str">
        <f>VLOOKUP(C977,[1]Werke!$A$1:$C$168,2,0)</f>
        <v>CKH</v>
      </c>
      <c r="C977" s="18" t="s">
        <v>224</v>
      </c>
      <c r="D977" s="17">
        <f>VLOOKUP(C977,[1]Maliteslimalan!$A$1:$B$210,2,0)</f>
        <v>8000013551</v>
      </c>
      <c r="E977" s="19">
        <v>6</v>
      </c>
      <c r="F977" s="20" t="str">
        <f t="shared" si="502"/>
        <v>N   015 081 6</v>
      </c>
      <c r="G977" s="21">
        <v>970696000</v>
      </c>
      <c r="H977" s="17">
        <f t="shared" si="503"/>
        <v>2.053E-2</v>
      </c>
      <c r="I977" s="20"/>
      <c r="J977" s="17">
        <f t="shared" si="504"/>
        <v>700</v>
      </c>
      <c r="K977" s="17">
        <f t="shared" si="505"/>
        <v>0</v>
      </c>
      <c r="L977" s="22">
        <v>10</v>
      </c>
      <c r="M977" s="22">
        <v>30</v>
      </c>
      <c r="N977" s="22">
        <v>111444</v>
      </c>
      <c r="O977" s="22" t="str">
        <f t="shared" si="506"/>
        <v>001006</v>
      </c>
      <c r="P977" s="22">
        <f t="shared" si="507"/>
        <v>34</v>
      </c>
      <c r="Q977" s="22"/>
      <c r="R977" s="23" t="s">
        <v>153</v>
      </c>
      <c r="S977" s="22">
        <f t="shared" si="508"/>
        <v>0.56999999999999995</v>
      </c>
      <c r="T977" s="24">
        <f t="shared" si="509"/>
        <v>0</v>
      </c>
      <c r="U977" s="25">
        <f t="shared" si="510"/>
        <v>2</v>
      </c>
      <c r="V977" s="26" t="str">
        <f t="shared" si="511"/>
        <v/>
      </c>
    </row>
    <row r="978" spans="1:22" ht="48" customHeight="1" x14ac:dyDescent="0.25">
      <c r="A978" s="17" t="str">
        <f>VLOOKUP(C978,[1]Werke!$A$1:$C$168,3,0)</f>
        <v>IM</v>
      </c>
      <c r="B978" s="17">
        <f>VLOOKUP(C978,[1]Werke!$A$1:$C$168,2,0)</f>
        <v>889</v>
      </c>
      <c r="C978" s="18" t="s">
        <v>225</v>
      </c>
      <c r="D978" s="17">
        <f>VLOOKUP(C978,[1]Maliteslimalan!$A$1:$B$210,2,0)</f>
        <v>8000017117</v>
      </c>
      <c r="E978" s="19">
        <v>6</v>
      </c>
      <c r="F978" s="20" t="str">
        <f t="shared" si="502"/>
        <v>N   015 081 6</v>
      </c>
      <c r="G978" s="21">
        <v>970696000</v>
      </c>
      <c r="H978" s="17">
        <f t="shared" si="503"/>
        <v>2.053E-2</v>
      </c>
      <c r="I978" s="20"/>
      <c r="J978" s="17">
        <f t="shared" si="504"/>
        <v>700</v>
      </c>
      <c r="K978" s="17">
        <f t="shared" si="505"/>
        <v>0</v>
      </c>
      <c r="L978" s="22">
        <v>20</v>
      </c>
      <c r="M978" s="22">
        <v>60</v>
      </c>
      <c r="N978" s="22" t="s">
        <v>155</v>
      </c>
      <c r="O978" s="22" t="str">
        <f t="shared" si="506"/>
        <v>001210</v>
      </c>
      <c r="P978" s="22">
        <f t="shared" si="507"/>
        <v>55</v>
      </c>
      <c r="Q978" s="22"/>
      <c r="R978" s="23" t="s">
        <v>153</v>
      </c>
      <c r="S978" s="22">
        <f t="shared" si="508"/>
        <v>0.56999999999999995</v>
      </c>
      <c r="T978" s="24">
        <f t="shared" si="509"/>
        <v>0</v>
      </c>
      <c r="U978" s="25">
        <f t="shared" si="510"/>
        <v>2</v>
      </c>
      <c r="V978" s="26" t="str">
        <f t="shared" si="511"/>
        <v/>
      </c>
    </row>
    <row r="979" spans="1:22" ht="48" customHeight="1" x14ac:dyDescent="0.25">
      <c r="A979" s="17" t="str">
        <f>VLOOKUP(C979,[1]Werke!$A$1:$C$168,3,0)</f>
        <v>LD</v>
      </c>
      <c r="B979" s="17" t="str">
        <f>VLOOKUP(C979,[1]Werke!$A$1:$C$168,2,0)</f>
        <v>SLD</v>
      </c>
      <c r="C979" s="18">
        <v>83630</v>
      </c>
      <c r="D979" s="17" t="str">
        <f>VLOOKUP(C979,[1]Maliteslimalan!$A$1:$B$210,2,0)</f>
        <v>8000012862</v>
      </c>
      <c r="E979" s="19" t="str">
        <f>VLOOKUP(C979,[1]Bestellnr.!$A$1:$B$174,2,0)</f>
        <v>000006</v>
      </c>
      <c r="F979" s="20" t="str">
        <f t="shared" si="502"/>
        <v>N   015 081 6</v>
      </c>
      <c r="G979" s="21">
        <v>970696000</v>
      </c>
      <c r="H979" s="17">
        <f t="shared" si="503"/>
        <v>2.053E-2</v>
      </c>
      <c r="I979" s="20"/>
      <c r="J979" s="17">
        <f t="shared" si="504"/>
        <v>700</v>
      </c>
      <c r="K979" s="17">
        <f t="shared" si="505"/>
        <v>0</v>
      </c>
      <c r="L979" s="22">
        <v>10</v>
      </c>
      <c r="M979" s="22">
        <v>30</v>
      </c>
      <c r="N979" s="22">
        <v>111444</v>
      </c>
      <c r="O979" s="22" t="str">
        <f t="shared" si="506"/>
        <v>001006</v>
      </c>
      <c r="P979" s="22">
        <f t="shared" si="507"/>
        <v>34</v>
      </c>
      <c r="Q979" s="22"/>
      <c r="R979" s="23" t="s">
        <v>153</v>
      </c>
      <c r="S979" s="22">
        <f t="shared" si="508"/>
        <v>0.56999999999999995</v>
      </c>
      <c r="T979" s="24">
        <f t="shared" si="509"/>
        <v>0</v>
      </c>
      <c r="U979" s="25">
        <f t="shared" si="510"/>
        <v>2</v>
      </c>
      <c r="V979" s="26" t="str">
        <f t="shared" si="511"/>
        <v/>
      </c>
    </row>
    <row r="980" spans="1:22" ht="48" customHeight="1" x14ac:dyDescent="0.25">
      <c r="A980" s="17" t="str">
        <f>VLOOKUP(C980,[1]Werke!$A$1:$C$168,3,0)</f>
        <v>16D</v>
      </c>
      <c r="B980" s="17">
        <f>VLOOKUP(C980,[1]Werke!$A$1:$C$168,2,0)</f>
        <v>210</v>
      </c>
      <c r="C980" s="18" t="s">
        <v>226</v>
      </c>
      <c r="D980" s="17" t="str">
        <f>VLOOKUP(C980,[1]Maliteslimalan!$A$1:$B$210,2,0)</f>
        <v>8000012565</v>
      </c>
      <c r="E980" s="19">
        <f>VLOOKUP(C980,[1]Bestellnr.!$A$1:$B$174,2,0)</f>
        <v>0</v>
      </c>
      <c r="F980" s="20" t="str">
        <f t="shared" si="502"/>
        <v>N   015 081 6</v>
      </c>
      <c r="G980" s="21">
        <v>970696000</v>
      </c>
      <c r="H980" s="17">
        <f t="shared" si="503"/>
        <v>2.053E-2</v>
      </c>
      <c r="I980" s="20"/>
      <c r="J980" s="17">
        <f t="shared" si="504"/>
        <v>700</v>
      </c>
      <c r="K980" s="17">
        <f t="shared" si="505"/>
        <v>0</v>
      </c>
      <c r="L980" s="22">
        <v>10</v>
      </c>
      <c r="M980" s="22">
        <v>20</v>
      </c>
      <c r="N980" s="22">
        <v>111444</v>
      </c>
      <c r="O980" s="22" t="str">
        <f t="shared" si="506"/>
        <v>001006</v>
      </c>
      <c r="P980" s="22">
        <f t="shared" si="507"/>
        <v>34</v>
      </c>
      <c r="Q980" s="22"/>
      <c r="R980" s="23" t="s">
        <v>153</v>
      </c>
      <c r="S980" s="22">
        <f t="shared" si="508"/>
        <v>0.56999999999999995</v>
      </c>
      <c r="T980" s="24">
        <f t="shared" si="509"/>
        <v>0</v>
      </c>
      <c r="U980" s="25">
        <f t="shared" si="510"/>
        <v>2</v>
      </c>
      <c r="V980" s="26" t="str">
        <f t="shared" si="511"/>
        <v/>
      </c>
    </row>
    <row r="981" spans="1:22" ht="48" customHeight="1" x14ac:dyDescent="0.25">
      <c r="A981" s="17">
        <f>VLOOKUP(C981,[1]Werke!$A$1:$C$168,3,0)</f>
        <v>11</v>
      </c>
      <c r="B981" s="17" t="str">
        <f>VLOOKUP(C981,[1]Werke!$A$1:$C$168,2,0)</f>
        <v>AKL</v>
      </c>
      <c r="C981" s="18" t="s">
        <v>227</v>
      </c>
      <c r="D981" s="17" t="str">
        <f>VLOOKUP(C981,[1]Maliteslimalan!$A$1:$B$210,2,0)</f>
        <v>8000012570</v>
      </c>
      <c r="E981" s="19" t="str">
        <f>VLOOKUP(C981,[1]Bestellnr.!$A$1:$B$174,2,0)</f>
        <v>000006</v>
      </c>
      <c r="F981" s="20" t="str">
        <f t="shared" si="502"/>
        <v>N   015 081 6</v>
      </c>
      <c r="G981" s="21">
        <v>970696000</v>
      </c>
      <c r="H981" s="17">
        <f t="shared" si="503"/>
        <v>2.053E-2</v>
      </c>
      <c r="I981" s="20"/>
      <c r="J981" s="17">
        <f t="shared" si="504"/>
        <v>700</v>
      </c>
      <c r="K981" s="17">
        <f t="shared" si="505"/>
        <v>0</v>
      </c>
      <c r="L981" s="22">
        <v>20</v>
      </c>
      <c r="M981" s="22">
        <v>60</v>
      </c>
      <c r="N981" s="22" t="s">
        <v>155</v>
      </c>
      <c r="O981" s="22" t="str">
        <f t="shared" si="506"/>
        <v>001210</v>
      </c>
      <c r="P981" s="22">
        <f t="shared" si="507"/>
        <v>55</v>
      </c>
      <c r="Q981" s="22"/>
      <c r="R981" s="23" t="s">
        <v>153</v>
      </c>
      <c r="S981" s="22">
        <f t="shared" si="508"/>
        <v>0.56999999999999995</v>
      </c>
      <c r="T981" s="24">
        <f t="shared" si="509"/>
        <v>0</v>
      </c>
      <c r="U981" s="25">
        <f t="shared" si="510"/>
        <v>2</v>
      </c>
      <c r="V981" s="26" t="str">
        <f t="shared" si="511"/>
        <v/>
      </c>
    </row>
    <row r="982" spans="1:22" ht="48" customHeight="1" x14ac:dyDescent="0.25">
      <c r="A982" s="17">
        <f>VLOOKUP(C982,[1]Werke!$A$1:$C$168,3,0)</f>
        <v>22</v>
      </c>
      <c r="B982" s="17" t="str">
        <f>VLOOKUP(C982,[1]Werke!$A$1:$C$168,2,0)</f>
        <v>13P</v>
      </c>
      <c r="C982" s="18" t="s">
        <v>230</v>
      </c>
      <c r="D982" s="17" t="str">
        <f>VLOOKUP(C982,[1]Maliteslimalan!$A$1:$B$210,2,0)</f>
        <v>8000013344</v>
      </c>
      <c r="E982" s="19" t="str">
        <f>VLOOKUP(C982,[1]Bestellnr.!$A$1:$B$174,2,0)</f>
        <v>000006</v>
      </c>
      <c r="F982" s="20" t="str">
        <f t="shared" si="502"/>
        <v>N   015 081 6</v>
      </c>
      <c r="G982" s="21">
        <v>970696000</v>
      </c>
      <c r="H982" s="17">
        <f t="shared" si="503"/>
        <v>2.053E-2</v>
      </c>
      <c r="I982" s="20"/>
      <c r="J982" s="17">
        <f t="shared" si="504"/>
        <v>700</v>
      </c>
      <c r="K982" s="17">
        <f t="shared" si="505"/>
        <v>0</v>
      </c>
      <c r="L982" s="22">
        <v>10</v>
      </c>
      <c r="M982" s="22">
        <v>30</v>
      </c>
      <c r="N982" s="22">
        <v>111444</v>
      </c>
      <c r="O982" s="22" t="str">
        <f t="shared" si="506"/>
        <v>001006</v>
      </c>
      <c r="P982" s="22">
        <f t="shared" si="507"/>
        <v>34</v>
      </c>
      <c r="Q982" s="22"/>
      <c r="R982" s="23" t="s">
        <v>153</v>
      </c>
      <c r="S982" s="22">
        <f t="shared" si="508"/>
        <v>0.56999999999999995</v>
      </c>
      <c r="T982" s="24">
        <f t="shared" si="509"/>
        <v>0</v>
      </c>
      <c r="U982" s="25">
        <f t="shared" si="510"/>
        <v>2</v>
      </c>
      <c r="V982" s="26" t="str">
        <f t="shared" si="511"/>
        <v/>
      </c>
    </row>
    <row r="983" spans="1:22" ht="48" customHeight="1" x14ac:dyDescent="0.25">
      <c r="A983" s="17">
        <f>VLOOKUP(C983,[1]Werke!$A$1:$C$168,3,0)</f>
        <v>37</v>
      </c>
      <c r="B983" s="17" t="str">
        <f>VLOOKUP(C983,[1]Werke!$A$1:$C$168,2,0)</f>
        <v>AKL</v>
      </c>
      <c r="C983" s="18" t="s">
        <v>232</v>
      </c>
      <c r="D983" s="17" t="str">
        <f>VLOOKUP(C983,[1]Maliteslimalan!$A$1:$B$210,2,0)</f>
        <v>8000012562</v>
      </c>
      <c r="E983" s="19" t="str">
        <f>VLOOKUP(C983,[1]Bestellnr.!$A$1:$B$174,2,0)</f>
        <v>000006</v>
      </c>
      <c r="F983" s="20" t="str">
        <f t="shared" si="502"/>
        <v>N   015 081 6</v>
      </c>
      <c r="G983" s="21">
        <v>970696000</v>
      </c>
      <c r="H983" s="17">
        <f t="shared" si="503"/>
        <v>2.053E-2</v>
      </c>
      <c r="I983" s="20"/>
      <c r="J983" s="17">
        <f t="shared" si="504"/>
        <v>700</v>
      </c>
      <c r="K983" s="17">
        <f t="shared" si="505"/>
        <v>0</v>
      </c>
      <c r="L983" s="22">
        <v>20</v>
      </c>
      <c r="M983" s="22">
        <v>20</v>
      </c>
      <c r="N983" s="22" t="s">
        <v>155</v>
      </c>
      <c r="O983" s="22" t="str">
        <f t="shared" si="506"/>
        <v>001210</v>
      </c>
      <c r="P983" s="22">
        <f t="shared" si="507"/>
        <v>55</v>
      </c>
      <c r="Q983" s="22"/>
      <c r="R983" s="23" t="s">
        <v>153</v>
      </c>
      <c r="S983" s="22">
        <f t="shared" si="508"/>
        <v>0.56999999999999995</v>
      </c>
      <c r="T983" s="24">
        <f t="shared" si="509"/>
        <v>0</v>
      </c>
      <c r="U983" s="25">
        <f t="shared" si="510"/>
        <v>2</v>
      </c>
      <c r="V983" s="26" t="str">
        <f t="shared" si="511"/>
        <v/>
      </c>
    </row>
    <row r="984" spans="1:22" ht="48" customHeight="1" x14ac:dyDescent="0.25">
      <c r="A984" s="17">
        <f>VLOOKUP(C984,[1]Werke!$A$1:$C$168,3,0)</f>
        <v>40</v>
      </c>
      <c r="B984" s="17">
        <f>VLOOKUP(C984,[1]Werke!$A$1:$C$168,2,0)</f>
        <v>908</v>
      </c>
      <c r="C984" s="18" t="s">
        <v>236</v>
      </c>
      <c r="D984" s="17" t="str">
        <f>VLOOKUP(C984,[1]Maliteslimalan!$A$1:$B$210,2,0)</f>
        <v>8000012582</v>
      </c>
      <c r="E984" s="19" t="str">
        <f>VLOOKUP(C984,[1]Bestellnr.!$A$1:$B$174,2,0)</f>
        <v>000001</v>
      </c>
      <c r="F984" s="20" t="str">
        <f t="shared" si="502"/>
        <v>N   015 081 6</v>
      </c>
      <c r="G984" s="21">
        <v>970696000</v>
      </c>
      <c r="H984" s="17">
        <f t="shared" si="503"/>
        <v>2.053E-2</v>
      </c>
      <c r="I984" s="20"/>
      <c r="J984" s="17">
        <f t="shared" si="504"/>
        <v>700</v>
      </c>
      <c r="K984" s="17">
        <f t="shared" si="505"/>
        <v>0</v>
      </c>
      <c r="L984" s="22">
        <v>10</v>
      </c>
      <c r="M984" s="22">
        <v>30</v>
      </c>
      <c r="N984" s="22">
        <v>111444</v>
      </c>
      <c r="O984" s="22" t="str">
        <f t="shared" si="506"/>
        <v>001006</v>
      </c>
      <c r="P984" s="22">
        <f t="shared" si="507"/>
        <v>34</v>
      </c>
      <c r="Q984" s="22"/>
      <c r="R984" s="23" t="s">
        <v>153</v>
      </c>
      <c r="S984" s="22">
        <f t="shared" si="508"/>
        <v>0.56999999999999995</v>
      </c>
      <c r="T984" s="24">
        <f t="shared" si="509"/>
        <v>0</v>
      </c>
      <c r="U984" s="25">
        <f t="shared" si="510"/>
        <v>2</v>
      </c>
      <c r="V984" s="26" t="str">
        <f t="shared" si="511"/>
        <v/>
      </c>
    </row>
    <row r="985" spans="1:22" ht="48" customHeight="1" x14ac:dyDescent="0.25">
      <c r="A985" s="17">
        <f>VLOOKUP(C985,[1]Werke!$A$1:$C$168,3,0)</f>
        <v>43</v>
      </c>
      <c r="B985" s="17" t="str">
        <f>VLOOKUP(C985,[1]Werke!$A$1:$C$168,2,0)</f>
        <v>FGK</v>
      </c>
      <c r="C985" s="18" t="s">
        <v>292</v>
      </c>
      <c r="D985" s="17" t="str">
        <f>VLOOKUP(C985,[1]Maliteslimalan!$A$1:$B$210,2,0)</f>
        <v>8000012785</v>
      </c>
      <c r="E985" s="19" t="str">
        <f>VLOOKUP(C985,[1]Bestellnr.!$A$1:$B$174,2,0)</f>
        <v>000006</v>
      </c>
      <c r="F985" s="20" t="str">
        <f t="shared" si="502"/>
        <v>N   015 081 6</v>
      </c>
      <c r="G985" s="21">
        <v>970696000</v>
      </c>
      <c r="H985" s="17">
        <f t="shared" si="503"/>
        <v>2.053E-2</v>
      </c>
      <c r="I985" s="20"/>
      <c r="J985" s="17">
        <f t="shared" si="504"/>
        <v>700</v>
      </c>
      <c r="K985" s="17">
        <f t="shared" si="505"/>
        <v>0</v>
      </c>
      <c r="L985" s="22">
        <v>10</v>
      </c>
      <c r="M985" s="22">
        <v>10</v>
      </c>
      <c r="N985" s="22">
        <v>111444</v>
      </c>
      <c r="O985" s="22" t="str">
        <f t="shared" si="506"/>
        <v>001006</v>
      </c>
      <c r="P985" s="22">
        <f t="shared" si="507"/>
        <v>34</v>
      </c>
      <c r="Q985" s="22"/>
      <c r="R985" s="23" t="s">
        <v>153</v>
      </c>
      <c r="S985" s="22">
        <f t="shared" si="508"/>
        <v>0.56999999999999995</v>
      </c>
      <c r="T985" s="24">
        <f t="shared" si="509"/>
        <v>0</v>
      </c>
      <c r="U985" s="25">
        <f t="shared" si="510"/>
        <v>2</v>
      </c>
      <c r="V985" s="26" t="str">
        <f t="shared" si="511"/>
        <v/>
      </c>
    </row>
    <row r="986" spans="1:22" ht="48" customHeight="1" x14ac:dyDescent="0.25">
      <c r="A986" s="17">
        <f>VLOOKUP(C986,[1]Werke!$A$1:$C$168,3,0)</f>
        <v>31</v>
      </c>
      <c r="B986" s="17" t="str">
        <f>VLOOKUP(C986,[1]Werke!$A$1:$C$168,2,0)</f>
        <v>BH7</v>
      </c>
      <c r="C986" s="18" t="s">
        <v>250</v>
      </c>
      <c r="D986" s="17">
        <f>VLOOKUP(C986,[1]Maliteslimalan!$A$1:$B$210,2,0)</f>
        <v>8000015577</v>
      </c>
      <c r="E986" s="19">
        <v>6</v>
      </c>
      <c r="F986" s="20" t="str">
        <f t="shared" si="502"/>
        <v>N   015 081 6</v>
      </c>
      <c r="G986" s="21">
        <v>970696000</v>
      </c>
      <c r="H986" s="17">
        <f t="shared" si="503"/>
        <v>2.053E-2</v>
      </c>
      <c r="I986" s="20"/>
      <c r="J986" s="17">
        <f t="shared" si="504"/>
        <v>700</v>
      </c>
      <c r="K986" s="17">
        <f t="shared" si="505"/>
        <v>0</v>
      </c>
      <c r="L986" s="22">
        <v>10</v>
      </c>
      <c r="M986" s="22">
        <v>10</v>
      </c>
      <c r="N986" s="22">
        <v>111444</v>
      </c>
      <c r="O986" s="22" t="str">
        <f t="shared" si="506"/>
        <v>001006</v>
      </c>
      <c r="P986" s="22">
        <f t="shared" si="507"/>
        <v>34</v>
      </c>
      <c r="Q986" s="22"/>
      <c r="R986" s="23" t="s">
        <v>153</v>
      </c>
      <c r="S986" s="22">
        <f t="shared" si="508"/>
        <v>0.56999999999999995</v>
      </c>
      <c r="T986" s="24">
        <f t="shared" si="509"/>
        <v>0</v>
      </c>
      <c r="U986" s="25">
        <f t="shared" si="510"/>
        <v>2</v>
      </c>
      <c r="V986" s="26" t="str">
        <f t="shared" si="511"/>
        <v/>
      </c>
    </row>
    <row r="987" spans="1:22" ht="48" customHeight="1" x14ac:dyDescent="0.25">
      <c r="A987" s="17">
        <f>VLOOKUP(C987,[1]Werke!$A$1:$C$168,3,0)</f>
        <v>33</v>
      </c>
      <c r="B987" s="17" t="str">
        <f>VLOOKUP(C987,[1]Werke!$A$1:$C$168,2,0)</f>
        <v>KK2</v>
      </c>
      <c r="C987" s="18" t="s">
        <v>233</v>
      </c>
      <c r="D987" s="17" t="str">
        <f>VLOOKUP(C987,[1]Maliteslimalan!$A$1:$B$210,2,0)</f>
        <v>8000012709</v>
      </c>
      <c r="E987" s="19" t="str">
        <f>VLOOKUP(C987,[1]Bestellnr.!$A$1:$B$174,2,0)</f>
        <v>000055</v>
      </c>
      <c r="F987" s="20" t="str">
        <f t="shared" si="502"/>
        <v>N   015 081 6</v>
      </c>
      <c r="G987" s="21">
        <v>970696000</v>
      </c>
      <c r="H987" s="17">
        <f t="shared" si="503"/>
        <v>2.053E-2</v>
      </c>
      <c r="I987" s="20"/>
      <c r="J987" s="17">
        <f t="shared" si="504"/>
        <v>700</v>
      </c>
      <c r="K987" s="17">
        <f t="shared" si="505"/>
        <v>0</v>
      </c>
      <c r="L987" s="22">
        <v>10</v>
      </c>
      <c r="M987" s="22">
        <v>10</v>
      </c>
      <c r="N987" s="22">
        <v>111444</v>
      </c>
      <c r="O987" s="22" t="str">
        <f t="shared" si="506"/>
        <v>001006</v>
      </c>
      <c r="P987" s="22">
        <f t="shared" si="507"/>
        <v>34</v>
      </c>
      <c r="Q987" s="22"/>
      <c r="R987" s="23" t="s">
        <v>153</v>
      </c>
      <c r="S987" s="22">
        <f t="shared" si="508"/>
        <v>0.56999999999999995</v>
      </c>
      <c r="T987" s="24">
        <f t="shared" si="509"/>
        <v>0</v>
      </c>
      <c r="U987" s="25">
        <f t="shared" si="510"/>
        <v>2</v>
      </c>
      <c r="V987" s="26" t="str">
        <f t="shared" si="511"/>
        <v/>
      </c>
    </row>
    <row r="988" spans="1:22" ht="48" customHeight="1" x14ac:dyDescent="0.25">
      <c r="A988" s="17">
        <f>VLOOKUP(C988,[1]Werke!$A$1:$C$168,3,0)</f>
        <v>42</v>
      </c>
      <c r="B988" s="17" t="str">
        <f>VLOOKUP(C988,[1]Werke!$A$1:$C$168,2,0)</f>
        <v>CC1</v>
      </c>
      <c r="C988" s="18" t="s">
        <v>241</v>
      </c>
      <c r="D988" s="17" t="str">
        <f>VLOOKUP(C988,[1]Maliteslimalan!$A$1:$B$210,2,0)</f>
        <v>8000012577</v>
      </c>
      <c r="E988" s="19" t="str">
        <f>VLOOKUP(C988,[1]Bestellnr.!$A$1:$B$174,2,0)</f>
        <v>000001</v>
      </c>
      <c r="F988" s="20" t="str">
        <f t="shared" si="502"/>
        <v>N   015 081 6</v>
      </c>
      <c r="G988" s="21">
        <v>970696000</v>
      </c>
      <c r="H988" s="17">
        <f t="shared" si="503"/>
        <v>2.053E-2</v>
      </c>
      <c r="I988" s="20"/>
      <c r="J988" s="17">
        <f t="shared" si="504"/>
        <v>700</v>
      </c>
      <c r="K988" s="17">
        <f t="shared" si="505"/>
        <v>0</v>
      </c>
      <c r="L988" s="22">
        <v>20</v>
      </c>
      <c r="M988" s="22">
        <v>60</v>
      </c>
      <c r="N988" s="22" t="s">
        <v>155</v>
      </c>
      <c r="O988" s="22" t="str">
        <f t="shared" si="506"/>
        <v>001210</v>
      </c>
      <c r="P988" s="22">
        <f t="shared" si="507"/>
        <v>55</v>
      </c>
      <c r="Q988" s="22"/>
      <c r="R988" s="23" t="s">
        <v>153</v>
      </c>
      <c r="S988" s="22">
        <f t="shared" si="508"/>
        <v>0.56999999999999995</v>
      </c>
      <c r="T988" s="24">
        <f t="shared" si="509"/>
        <v>0</v>
      </c>
      <c r="U988" s="25">
        <f t="shared" si="510"/>
        <v>2</v>
      </c>
      <c r="V988" s="26" t="str">
        <f t="shared" si="511"/>
        <v/>
      </c>
    </row>
    <row r="989" spans="1:22" ht="48" customHeight="1" x14ac:dyDescent="0.25">
      <c r="A989" s="17" t="str">
        <f>VLOOKUP(C989,[1]Werke!$A$1:$C$168,3,0)</f>
        <v>OS</v>
      </c>
      <c r="B989" s="17" t="str">
        <f>VLOOKUP(C989,[1]Werke!$A$1:$C$168,2,0)</f>
        <v>OSN</v>
      </c>
      <c r="C989" s="18" t="s">
        <v>286</v>
      </c>
      <c r="D989" s="17">
        <f>VLOOKUP(C989,[1]Maliteslimalan!$A$1:$B$210,2,0)</f>
        <v>8000012597</v>
      </c>
      <c r="E989" s="19" t="str">
        <f>VLOOKUP(C989,[1]Bestellnr.!$A$1:$B$174,2,0)</f>
        <v>000006</v>
      </c>
      <c r="F989" s="20" t="str">
        <f t="shared" si="502"/>
        <v>N   015 081 6</v>
      </c>
      <c r="G989" s="21">
        <v>970696000</v>
      </c>
      <c r="H989" s="17">
        <f t="shared" si="503"/>
        <v>2.053E-2</v>
      </c>
      <c r="I989" s="20"/>
      <c r="J989" s="17">
        <f t="shared" si="504"/>
        <v>700</v>
      </c>
      <c r="K989" s="17">
        <f t="shared" si="505"/>
        <v>0</v>
      </c>
      <c r="L989" s="22">
        <v>10</v>
      </c>
      <c r="M989" s="22">
        <v>10</v>
      </c>
      <c r="N989" s="22">
        <v>111444</v>
      </c>
      <c r="O989" s="22" t="str">
        <f t="shared" si="506"/>
        <v>001006</v>
      </c>
      <c r="P989" s="22">
        <f t="shared" si="507"/>
        <v>34</v>
      </c>
      <c r="Q989" s="22"/>
      <c r="R989" s="23" t="s">
        <v>153</v>
      </c>
      <c r="S989" s="22">
        <f t="shared" si="508"/>
        <v>0.56999999999999995</v>
      </c>
      <c r="T989" s="24">
        <f t="shared" si="509"/>
        <v>0</v>
      </c>
      <c r="U989" s="25">
        <f t="shared" si="510"/>
        <v>2</v>
      </c>
      <c r="V989" s="26" t="str">
        <f t="shared" si="511"/>
        <v/>
      </c>
    </row>
    <row r="990" spans="1:22" ht="48" customHeight="1" x14ac:dyDescent="0.25">
      <c r="A990" s="17">
        <f>VLOOKUP(C990,[1]Werke!$A$1:$C$168,3,0)</f>
        <v>24</v>
      </c>
      <c r="B990" s="17" t="str">
        <f>VLOOKUP(C990,[1]Werke!$A$1:$C$168,2,0)</f>
        <v>CKS</v>
      </c>
      <c r="C990" s="18" t="s">
        <v>245</v>
      </c>
      <c r="D990" s="17" t="str">
        <f>VLOOKUP(C990,[1]Maliteslimalan!$A$1:$B$210,2,0)</f>
        <v>8000012647</v>
      </c>
      <c r="E990" s="19" t="str">
        <f>VLOOKUP(C990,[1]Bestellnr.!$A$1:$B$174,2,0)</f>
        <v>000006</v>
      </c>
      <c r="F990" s="20" t="str">
        <f t="shared" si="502"/>
        <v>N   015 081 6</v>
      </c>
      <c r="G990" s="21">
        <v>970696000</v>
      </c>
      <c r="H990" s="17">
        <f t="shared" si="503"/>
        <v>2.053E-2</v>
      </c>
      <c r="I990" s="20"/>
      <c r="J990" s="17">
        <f t="shared" si="504"/>
        <v>700</v>
      </c>
      <c r="K990" s="17">
        <f t="shared" si="505"/>
        <v>0</v>
      </c>
      <c r="L990" s="22">
        <v>10</v>
      </c>
      <c r="M990" s="22">
        <v>30</v>
      </c>
      <c r="N990" s="22">
        <v>111444</v>
      </c>
      <c r="O990" s="22" t="str">
        <f t="shared" si="506"/>
        <v>001006</v>
      </c>
      <c r="P990" s="22">
        <f t="shared" si="507"/>
        <v>34</v>
      </c>
      <c r="Q990" s="22"/>
      <c r="R990" s="23" t="s">
        <v>153</v>
      </c>
      <c r="S990" s="22">
        <f t="shared" si="508"/>
        <v>0.56999999999999995</v>
      </c>
      <c r="T990" s="24">
        <f t="shared" si="509"/>
        <v>0</v>
      </c>
      <c r="U990" s="25">
        <f t="shared" si="510"/>
        <v>2</v>
      </c>
      <c r="V990" s="26" t="str">
        <f t="shared" si="511"/>
        <v/>
      </c>
    </row>
    <row r="991" spans="1:22" ht="48" customHeight="1" x14ac:dyDescent="0.25">
      <c r="A991" s="17"/>
      <c r="B991" s="17"/>
      <c r="C991" s="18"/>
      <c r="D991" s="17"/>
      <c r="E991" s="19"/>
      <c r="F991" s="20"/>
      <c r="G991" s="21"/>
      <c r="H991" s="17"/>
      <c r="I991" s="20"/>
      <c r="J991" s="17"/>
      <c r="K991" s="17"/>
      <c r="L991" s="22"/>
      <c r="M991" s="22"/>
      <c r="N991" s="22"/>
      <c r="O991" s="22"/>
      <c r="P991" s="22"/>
      <c r="Q991" s="22"/>
      <c r="R991" s="23"/>
      <c r="S991" s="22"/>
      <c r="T991" s="24"/>
      <c r="U991" s="25"/>
    </row>
    <row r="992" spans="1:22" ht="48" customHeight="1" x14ac:dyDescent="0.25">
      <c r="A992" s="17">
        <f>VLOOKUP(C992,[1]Werke!$A$1:$C$168,3,0)</f>
        <v>24</v>
      </c>
      <c r="B992" s="17" t="str">
        <f>VLOOKUP(C992,[1]Werke!$A$1:$C$168,2,0)</f>
        <v>CKH</v>
      </c>
      <c r="C992" s="18" t="s">
        <v>224</v>
      </c>
      <c r="D992" s="17">
        <f>VLOOKUP(C992,[1]Maliteslimalan!$A$1:$B$210,2,0)</f>
        <v>8000013551</v>
      </c>
      <c r="E992" s="19">
        <v>6</v>
      </c>
      <c r="F992" s="20" t="str">
        <f>VLOOKUP(G992,$U$1:$V$1730,2,0)</f>
        <v>N   908 357 05</v>
      </c>
      <c r="G992" s="21">
        <v>935846000</v>
      </c>
      <c r="H992" s="17">
        <f>VLOOKUP(G992,Z$2:AA$1905,2,FALSE)</f>
        <v>2.614E-2</v>
      </c>
      <c r="I992" s="20"/>
      <c r="J992" s="17">
        <f>VLOOKUP(G992,W$2:X$1905,2,FALSE)</f>
        <v>400</v>
      </c>
      <c r="K992" s="17">
        <f>I992/J992</f>
        <v>0</v>
      </c>
      <c r="L992" s="22">
        <v>10</v>
      </c>
      <c r="M992" s="22">
        <v>10</v>
      </c>
      <c r="N992" s="22">
        <v>111444</v>
      </c>
      <c r="O992" s="22" t="str">
        <f>VLOOKUP(N992,$AL$1285:$AM$1310,2,FALSE)</f>
        <v>001006</v>
      </c>
      <c r="P992" s="22">
        <f>VLOOKUP(N992,AC$2:AD$1905,2,FALSE)</f>
        <v>34</v>
      </c>
      <c r="Q992" s="22"/>
      <c r="R992" s="23" t="s">
        <v>153</v>
      </c>
      <c r="S992" s="22">
        <f>VLOOKUP(R992,AC$2:AD$1905,2,FALSE)</f>
        <v>0.56999999999999995</v>
      </c>
      <c r="T992" s="24">
        <f>(H992*I992)+P992*Q992+S992*K992</f>
        <v>0</v>
      </c>
      <c r="U992" s="25">
        <f>IF(TRIM(N992&amp;"")="111444",
    IF(ROUNDUP(MAX(0,K992-(MAX(1,Q992)-1)*10)/10,0)=1,3,2),
    IF(TRIM(N992&amp;"")="VWPAL",
        IF(TRIM(R992&amp;"")="004147",1,2),
        ""
    )
)</f>
        <v>2</v>
      </c>
      <c r="V992" s="26" t="str">
        <f>IF(OR(TRIM(N992&amp;"")="111444",TRIM(N992&amp;"")="VWPAL"),
    IF(K992&lt;=0,"",
        IF(
            MIN(3,ROUNDUP(MAX(0,K992-(MAX(1,Q992)-1)*IF(TRIM(N992&amp;"")="111444",10,20))/IF(TRIM(N992&amp;"")="111444",10,20),0))=1,
            300,
            IF(
                MIN(3,ROUNDUP(MAX(0,K992-(MAX(1,Q992)-1)*IF(TRIM(N992&amp;"")="111444",10,20))/IF(TRIM(N992&amp;"")="111444",10,20),0))=2,
                450,
                600
            )
        )
    ),
    ""
)</f>
        <v/>
      </c>
    </row>
    <row r="993" spans="1:22" ht="48" customHeight="1" x14ac:dyDescent="0.25">
      <c r="A993" s="17"/>
      <c r="B993" s="17"/>
      <c r="C993" s="18"/>
      <c r="D993" s="17"/>
      <c r="E993" s="19"/>
      <c r="F993" s="20"/>
      <c r="G993" s="21"/>
      <c r="H993" s="17"/>
      <c r="I993" s="20"/>
      <c r="J993" s="17"/>
      <c r="K993" s="17"/>
      <c r="L993" s="22"/>
      <c r="M993" s="22"/>
      <c r="N993" s="22"/>
      <c r="O993" s="22"/>
      <c r="P993" s="22"/>
      <c r="Q993" s="22"/>
      <c r="R993" s="23"/>
      <c r="S993" s="22"/>
      <c r="T993" s="24"/>
      <c r="U993" s="25"/>
    </row>
    <row r="994" spans="1:22" ht="48" customHeight="1" x14ac:dyDescent="0.25">
      <c r="A994" s="17">
        <f>VLOOKUP(C994,[1]Werke!$A$1:$C$168,3,0)</f>
        <v>69</v>
      </c>
      <c r="B994" s="17" t="str">
        <f>VLOOKUP(C994,[1]Werke!$A$1:$C$168,2,0)</f>
        <v>AKL</v>
      </c>
      <c r="C994" s="18" t="s">
        <v>238</v>
      </c>
      <c r="D994" s="17">
        <f>VLOOKUP(C994,[1]Maliteslimalan!$A$1:$B$210,2,0)</f>
        <v>8000017492</v>
      </c>
      <c r="E994" s="19">
        <v>6</v>
      </c>
      <c r="F994" s="20" t="str">
        <f t="shared" ref="F994:F1002" si="512">VLOOKUP(G994,$U$1:$V$1730,2,0)</f>
        <v>N   911 422 01</v>
      </c>
      <c r="G994" s="21">
        <v>932226000</v>
      </c>
      <c r="H994" s="17">
        <f t="shared" ref="H994:H1002" si="513">VLOOKUP(G994,Z$2:AA$1905,2,FALSE)</f>
        <v>1.7319999999999999E-2</v>
      </c>
      <c r="I994" s="20"/>
      <c r="J994" s="17">
        <f t="shared" ref="J994:J1002" si="514">VLOOKUP(G994,W$2:X$1905,2,FALSE)</f>
        <v>800</v>
      </c>
      <c r="K994" s="17">
        <f t="shared" ref="K994:K1002" si="515">I994/J994</f>
        <v>0</v>
      </c>
      <c r="L994" s="22">
        <v>10</v>
      </c>
      <c r="M994" s="22">
        <v>30</v>
      </c>
      <c r="N994" s="22" t="s">
        <v>155</v>
      </c>
      <c r="O994" s="22" t="str">
        <f t="shared" ref="O994:O1002" si="516">VLOOKUP(N994,$AL$1285:$AM$1310,2,FALSE)</f>
        <v>001210</v>
      </c>
      <c r="P994" s="22">
        <f t="shared" ref="P994:P1002" si="517">VLOOKUP(N994,AC$2:AD$1905,2,FALSE)</f>
        <v>55</v>
      </c>
      <c r="Q994" s="22"/>
      <c r="R994" s="23" t="s">
        <v>175</v>
      </c>
      <c r="S994" s="22">
        <f t="shared" ref="S994:S1002" si="518">VLOOKUP(R994,AC$2:AD$1905,2,FALSE)</f>
        <v>1.08</v>
      </c>
      <c r="T994" s="24">
        <f t="shared" ref="T994:T1002" si="519">(H994*I994)+P994*Q994+S994*K994</f>
        <v>0</v>
      </c>
      <c r="U994" s="25">
        <f t="shared" ref="U994:U1002" si="520">IF(TRIM(N994&amp;"")="111444",
    IF(ROUNDUP(MAX(0,K994-(MAX(1,Q994)-1)*10)/10,0)=1,3,2),
    IF(TRIM(N994&amp;"")="VWPAL",
        IF(TRIM(R994&amp;"")="004147",1,2),
        ""
    )
)</f>
        <v>1</v>
      </c>
      <c r="V994" s="26" t="str">
        <f t="shared" ref="V994:V1002" si="521">IF(OR(TRIM(N994&amp;"")="111444",TRIM(N994&amp;"")="VWPAL"),
    IF(K994&lt;=0,"",
        IF(
            MIN(3,ROUNDUP(MAX(0,K994-(MAX(1,Q994)-1)*IF(TRIM(N994&amp;"")="111444",10,20))/IF(TRIM(N994&amp;"")="111444",10,20),0))=1,
            300,
            IF(
                MIN(3,ROUNDUP(MAX(0,K994-(MAX(1,Q994)-1)*IF(TRIM(N994&amp;"")="111444",10,20))/IF(TRIM(N994&amp;"")="111444",10,20),0))=2,
                450,
                600
            )
        )
    ),
    ""
)</f>
        <v/>
      </c>
    </row>
    <row r="995" spans="1:22" ht="48" customHeight="1" x14ac:dyDescent="0.25">
      <c r="A995" s="17" t="str">
        <f>VLOOKUP(C995,[1]Werke!$A$1:$C$168,3,0)</f>
        <v>26D</v>
      </c>
      <c r="B995" s="17" t="str">
        <f>VLOOKUP(C995,[1]Werke!$A$1:$C$168,2,0)</f>
        <v>G18</v>
      </c>
      <c r="C995" s="18" t="s">
        <v>272</v>
      </c>
      <c r="D995" s="17" t="str">
        <f>VLOOKUP(C995,[1]Maliteslimalan!$A$1:$B$210,2,0)</f>
        <v>8000012580</v>
      </c>
      <c r="E995" s="19">
        <f>VLOOKUP(C995,[1]Bestellnr.!$A$1:$B$174,2,0)</f>
        <v>0</v>
      </c>
      <c r="F995" s="20" t="str">
        <f t="shared" si="512"/>
        <v>N   911 422 01</v>
      </c>
      <c r="G995" s="21">
        <v>932226000</v>
      </c>
      <c r="H995" s="17">
        <f t="shared" si="513"/>
        <v>1.7319999999999999E-2</v>
      </c>
      <c r="I995" s="20"/>
      <c r="J995" s="17">
        <f t="shared" si="514"/>
        <v>800</v>
      </c>
      <c r="K995" s="17">
        <f t="shared" si="515"/>
        <v>0</v>
      </c>
      <c r="L995" s="22">
        <v>10</v>
      </c>
      <c r="M995" s="22">
        <v>30</v>
      </c>
      <c r="N995" s="22" t="s">
        <v>155</v>
      </c>
      <c r="O995" s="22" t="str">
        <f t="shared" si="516"/>
        <v>001210</v>
      </c>
      <c r="P995" s="22">
        <f t="shared" si="517"/>
        <v>55</v>
      </c>
      <c r="Q995" s="22"/>
      <c r="R995" s="23" t="s">
        <v>175</v>
      </c>
      <c r="S995" s="22">
        <f t="shared" si="518"/>
        <v>1.08</v>
      </c>
      <c r="T995" s="24">
        <f t="shared" si="519"/>
        <v>0</v>
      </c>
      <c r="U995" s="25">
        <f t="shared" si="520"/>
        <v>1</v>
      </c>
      <c r="V995" s="26" t="str">
        <f t="shared" si="521"/>
        <v/>
      </c>
    </row>
    <row r="996" spans="1:22" ht="48" customHeight="1" x14ac:dyDescent="0.25">
      <c r="A996" s="17" t="str">
        <f>VLOOKUP(C996,[1]Werke!$A$1:$C$168,3,0)</f>
        <v>3U</v>
      </c>
      <c r="B996" s="17" t="str">
        <f>VLOOKUP(C996,[1]Werke!$A$1:$C$168,2,0)</f>
        <v>BZ2</v>
      </c>
      <c r="C996" s="18" t="s">
        <v>235</v>
      </c>
      <c r="D996" s="17" t="str">
        <f>VLOOKUP(C996,[1]Maliteslimalan!$A$1:$B$210,2,0)</f>
        <v>8000012860</v>
      </c>
      <c r="E996" s="19" t="str">
        <f>VLOOKUP(C996,[1]Bestellnr.!$A$1:$B$174,2,0)</f>
        <v>000055</v>
      </c>
      <c r="F996" s="20" t="str">
        <f t="shared" si="512"/>
        <v>N   911 422 01</v>
      </c>
      <c r="G996" s="21">
        <v>932226000</v>
      </c>
      <c r="H996" s="17">
        <f t="shared" si="513"/>
        <v>1.7319999999999999E-2</v>
      </c>
      <c r="I996" s="20"/>
      <c r="J996" s="17">
        <f t="shared" si="514"/>
        <v>800</v>
      </c>
      <c r="K996" s="17">
        <f t="shared" si="515"/>
        <v>0</v>
      </c>
      <c r="L996" s="22">
        <v>10</v>
      </c>
      <c r="M996" s="22">
        <v>30</v>
      </c>
      <c r="N996" s="22" t="s">
        <v>155</v>
      </c>
      <c r="O996" s="22" t="str">
        <f t="shared" si="516"/>
        <v>001210</v>
      </c>
      <c r="P996" s="22">
        <f t="shared" si="517"/>
        <v>55</v>
      </c>
      <c r="Q996" s="22"/>
      <c r="R996" s="23" t="s">
        <v>175</v>
      </c>
      <c r="S996" s="22">
        <f t="shared" si="518"/>
        <v>1.08</v>
      </c>
      <c r="T996" s="24">
        <f t="shared" si="519"/>
        <v>0</v>
      </c>
      <c r="U996" s="25">
        <f t="shared" si="520"/>
        <v>1</v>
      </c>
      <c r="V996" s="26" t="str">
        <f t="shared" si="521"/>
        <v/>
      </c>
    </row>
    <row r="997" spans="1:22" ht="48" customHeight="1" x14ac:dyDescent="0.25">
      <c r="A997" s="17">
        <f>VLOOKUP(C997,[1]Werke!$A$1:$C$168,3,0)</f>
        <v>22</v>
      </c>
      <c r="B997" s="17" t="str">
        <f>VLOOKUP(C997,[1]Werke!$A$1:$C$168,2,0)</f>
        <v>13P</v>
      </c>
      <c r="C997" s="18" t="s">
        <v>230</v>
      </c>
      <c r="D997" s="17" t="str">
        <f>VLOOKUP(C997,[1]Maliteslimalan!$A$1:$B$210,2,0)</f>
        <v>8000013344</v>
      </c>
      <c r="E997" s="19" t="str">
        <f>VLOOKUP(C997,[1]Bestellnr.!$A$1:$B$174,2,0)</f>
        <v>000006</v>
      </c>
      <c r="F997" s="20" t="str">
        <f t="shared" si="512"/>
        <v>N   911 422 01</v>
      </c>
      <c r="G997" s="21">
        <v>932226000</v>
      </c>
      <c r="H997" s="17">
        <f t="shared" si="513"/>
        <v>1.7319999999999999E-2</v>
      </c>
      <c r="I997" s="20"/>
      <c r="J997" s="17">
        <f t="shared" si="514"/>
        <v>800</v>
      </c>
      <c r="K997" s="17">
        <f t="shared" si="515"/>
        <v>0</v>
      </c>
      <c r="L997" s="22">
        <v>10</v>
      </c>
      <c r="M997" s="22">
        <v>30</v>
      </c>
      <c r="N997" s="22" t="s">
        <v>155</v>
      </c>
      <c r="O997" s="22" t="str">
        <f t="shared" si="516"/>
        <v>001210</v>
      </c>
      <c r="P997" s="22">
        <f t="shared" si="517"/>
        <v>55</v>
      </c>
      <c r="Q997" s="22"/>
      <c r="R997" s="23" t="s">
        <v>175</v>
      </c>
      <c r="S997" s="22">
        <f t="shared" si="518"/>
        <v>1.08</v>
      </c>
      <c r="T997" s="24">
        <f t="shared" si="519"/>
        <v>0</v>
      </c>
      <c r="U997" s="25">
        <f t="shared" si="520"/>
        <v>1</v>
      </c>
      <c r="V997" s="26" t="str">
        <f t="shared" si="521"/>
        <v/>
      </c>
    </row>
    <row r="998" spans="1:22" ht="48" customHeight="1" x14ac:dyDescent="0.25">
      <c r="A998" s="17">
        <f>VLOOKUP(C998,[1]Werke!$A$1:$C$168,3,0)</f>
        <v>37</v>
      </c>
      <c r="B998" s="17" t="str">
        <f>VLOOKUP(C998,[1]Werke!$A$1:$C$168,2,0)</f>
        <v>AKL</v>
      </c>
      <c r="C998" s="18" t="s">
        <v>232</v>
      </c>
      <c r="D998" s="17" t="str">
        <f>VLOOKUP(C998,[1]Maliteslimalan!$A$1:$B$210,2,0)</f>
        <v>8000012562</v>
      </c>
      <c r="E998" s="19" t="str">
        <f>VLOOKUP(C998,[1]Bestellnr.!$A$1:$B$174,2,0)</f>
        <v>000006</v>
      </c>
      <c r="F998" s="20" t="str">
        <f t="shared" si="512"/>
        <v>N   911 422 01</v>
      </c>
      <c r="G998" s="21">
        <v>932226000</v>
      </c>
      <c r="H998" s="17">
        <f t="shared" si="513"/>
        <v>1.7319999999999999E-2</v>
      </c>
      <c r="I998" s="20"/>
      <c r="J998" s="17">
        <f t="shared" si="514"/>
        <v>800</v>
      </c>
      <c r="K998" s="17">
        <f t="shared" si="515"/>
        <v>0</v>
      </c>
      <c r="L998" s="22">
        <v>10</v>
      </c>
      <c r="M998" s="22">
        <v>30</v>
      </c>
      <c r="N998" s="22" t="s">
        <v>155</v>
      </c>
      <c r="O998" s="22" t="str">
        <f t="shared" si="516"/>
        <v>001210</v>
      </c>
      <c r="P998" s="22">
        <f t="shared" si="517"/>
        <v>55</v>
      </c>
      <c r="Q998" s="22"/>
      <c r="R998" s="23" t="s">
        <v>175</v>
      </c>
      <c r="S998" s="22">
        <f t="shared" si="518"/>
        <v>1.08</v>
      </c>
      <c r="T998" s="24">
        <f t="shared" si="519"/>
        <v>0</v>
      </c>
      <c r="U998" s="25">
        <f t="shared" si="520"/>
        <v>1</v>
      </c>
      <c r="V998" s="26" t="str">
        <f t="shared" si="521"/>
        <v/>
      </c>
    </row>
    <row r="999" spans="1:22" ht="48" customHeight="1" x14ac:dyDescent="0.25">
      <c r="A999" s="17">
        <f>VLOOKUP(C999,[1]Werke!$A$1:$C$168,3,0)</f>
        <v>24</v>
      </c>
      <c r="B999" s="17" t="str">
        <f>VLOOKUP(C999,[1]Werke!$A$1:$C$168,2,0)</f>
        <v>CKV</v>
      </c>
      <c r="C999" s="18" t="s">
        <v>243</v>
      </c>
      <c r="D999" s="17" t="str">
        <f>VLOOKUP(C999,[1]Maliteslimalan!$A$1:$B$210,2,0)</f>
        <v>8000013217</v>
      </c>
      <c r="E999" s="19" t="str">
        <f>VLOOKUP(C999,[1]Bestellnr.!$A$1:$B$174,2,0)</f>
        <v>000006</v>
      </c>
      <c r="F999" s="20" t="str">
        <f t="shared" si="512"/>
        <v>N   911 422 01</v>
      </c>
      <c r="G999" s="21">
        <v>932226000</v>
      </c>
      <c r="H999" s="17">
        <f t="shared" si="513"/>
        <v>1.7319999999999999E-2</v>
      </c>
      <c r="I999" s="20"/>
      <c r="J999" s="17">
        <f t="shared" si="514"/>
        <v>800</v>
      </c>
      <c r="K999" s="17">
        <f t="shared" si="515"/>
        <v>0</v>
      </c>
      <c r="L999" s="22">
        <v>10</v>
      </c>
      <c r="M999" s="22">
        <v>30</v>
      </c>
      <c r="N999" s="22" t="s">
        <v>155</v>
      </c>
      <c r="O999" s="22" t="str">
        <f t="shared" si="516"/>
        <v>001210</v>
      </c>
      <c r="P999" s="22">
        <f t="shared" si="517"/>
        <v>55</v>
      </c>
      <c r="Q999" s="22"/>
      <c r="R999" s="23" t="s">
        <v>175</v>
      </c>
      <c r="S999" s="22">
        <f t="shared" si="518"/>
        <v>1.08</v>
      </c>
      <c r="T999" s="24">
        <f t="shared" si="519"/>
        <v>0</v>
      </c>
      <c r="U999" s="25">
        <f t="shared" si="520"/>
        <v>1</v>
      </c>
      <c r="V999" s="26" t="str">
        <f t="shared" si="521"/>
        <v/>
      </c>
    </row>
    <row r="1000" spans="1:22" ht="48" customHeight="1" x14ac:dyDescent="0.25">
      <c r="A1000" s="17" t="str">
        <f>VLOOKUP(C1000,[1]Werke!$A$1:$C$168,3,0)</f>
        <v>26C</v>
      </c>
      <c r="B1000" s="17" t="str">
        <f>VLOOKUP(C1000,[1]Werke!$A$1:$C$168,2,0)</f>
        <v>CKD</v>
      </c>
      <c r="C1000" s="18" t="s">
        <v>258</v>
      </c>
      <c r="D1000" s="17" t="str">
        <f>VLOOKUP(C1000,[1]Maliteslimalan!$A$1:$B$210,2,0)</f>
        <v>8000012767</v>
      </c>
      <c r="E1000" s="19">
        <f>VLOOKUP(C1000,[1]Bestellnr.!$A$1:$B$174,2,0)</f>
        <v>0</v>
      </c>
      <c r="F1000" s="20" t="str">
        <f t="shared" si="512"/>
        <v>N   911 422 01</v>
      </c>
      <c r="G1000" s="21">
        <v>932226000</v>
      </c>
      <c r="H1000" s="17">
        <f t="shared" si="513"/>
        <v>1.7319999999999999E-2</v>
      </c>
      <c r="I1000" s="20"/>
      <c r="J1000" s="17">
        <f t="shared" si="514"/>
        <v>800</v>
      </c>
      <c r="K1000" s="17">
        <f t="shared" si="515"/>
        <v>0</v>
      </c>
      <c r="L1000" s="22">
        <v>10</v>
      </c>
      <c r="M1000" s="22">
        <v>30</v>
      </c>
      <c r="N1000" s="22" t="s">
        <v>155</v>
      </c>
      <c r="O1000" s="22" t="str">
        <f t="shared" si="516"/>
        <v>001210</v>
      </c>
      <c r="P1000" s="22">
        <f t="shared" si="517"/>
        <v>55</v>
      </c>
      <c r="Q1000" s="22"/>
      <c r="R1000" s="23" t="s">
        <v>175</v>
      </c>
      <c r="S1000" s="22">
        <f t="shared" si="518"/>
        <v>1.08</v>
      </c>
      <c r="T1000" s="24">
        <f t="shared" si="519"/>
        <v>0</v>
      </c>
      <c r="U1000" s="25">
        <f t="shared" si="520"/>
        <v>1</v>
      </c>
      <c r="V1000" s="26" t="str">
        <f t="shared" si="521"/>
        <v/>
      </c>
    </row>
    <row r="1001" spans="1:22" ht="48" customHeight="1" x14ac:dyDescent="0.25">
      <c r="A1001" s="17">
        <f>VLOOKUP(C1001,[1]Werke!$A$1:$C$168,3,0)</f>
        <v>24</v>
      </c>
      <c r="B1001" s="17" t="str">
        <f>VLOOKUP(C1001,[1]Werke!$A$1:$C$168,2,0)</f>
        <v>CKH</v>
      </c>
      <c r="C1001" s="18" t="s">
        <v>224</v>
      </c>
      <c r="D1001" s="17">
        <f>VLOOKUP(C1001,[1]Maliteslimalan!$A$1:$B$210,2,0)</f>
        <v>8000013551</v>
      </c>
      <c r="E1001" s="19">
        <v>6</v>
      </c>
      <c r="F1001" s="20" t="str">
        <f t="shared" si="512"/>
        <v>N   911 422 01</v>
      </c>
      <c r="G1001" s="21">
        <v>932226000</v>
      </c>
      <c r="H1001" s="17">
        <f t="shared" si="513"/>
        <v>1.7319999999999999E-2</v>
      </c>
      <c r="I1001" s="20"/>
      <c r="J1001" s="17">
        <f t="shared" si="514"/>
        <v>800</v>
      </c>
      <c r="K1001" s="17">
        <f t="shared" si="515"/>
        <v>0</v>
      </c>
      <c r="L1001" s="22">
        <v>10</v>
      </c>
      <c r="M1001" s="22">
        <v>30</v>
      </c>
      <c r="N1001" s="22" t="s">
        <v>155</v>
      </c>
      <c r="O1001" s="22" t="str">
        <f t="shared" si="516"/>
        <v>001210</v>
      </c>
      <c r="P1001" s="22">
        <f t="shared" si="517"/>
        <v>55</v>
      </c>
      <c r="Q1001" s="22"/>
      <c r="R1001" s="23" t="s">
        <v>175</v>
      </c>
      <c r="S1001" s="22">
        <f t="shared" si="518"/>
        <v>1.08</v>
      </c>
      <c r="T1001" s="24">
        <f t="shared" si="519"/>
        <v>0</v>
      </c>
      <c r="U1001" s="25">
        <f t="shared" si="520"/>
        <v>1</v>
      </c>
      <c r="V1001" s="26" t="str">
        <f t="shared" si="521"/>
        <v/>
      </c>
    </row>
    <row r="1002" spans="1:22" ht="48" customHeight="1" x14ac:dyDescent="0.25">
      <c r="A1002" s="17">
        <f>VLOOKUP(C1002,[1]Werke!$A$1:$C$168,3,0)</f>
        <v>24</v>
      </c>
      <c r="B1002" s="17" t="str">
        <f>VLOOKUP(C1002,[1]Werke!$A$1:$C$168,2,0)</f>
        <v>CKS</v>
      </c>
      <c r="C1002" s="18" t="s">
        <v>245</v>
      </c>
      <c r="D1002" s="17" t="str">
        <f>VLOOKUP(C1002,[1]Maliteslimalan!$A$1:$B$210,2,0)</f>
        <v>8000012647</v>
      </c>
      <c r="E1002" s="19" t="str">
        <f>VLOOKUP(C1002,[1]Bestellnr.!$A$1:$B$174,2,0)</f>
        <v>000006</v>
      </c>
      <c r="F1002" s="20" t="str">
        <f t="shared" si="512"/>
        <v>N   911 422 01</v>
      </c>
      <c r="G1002" s="21">
        <v>932226000</v>
      </c>
      <c r="H1002" s="17">
        <f t="shared" si="513"/>
        <v>1.7319999999999999E-2</v>
      </c>
      <c r="I1002" s="20"/>
      <c r="J1002" s="17">
        <f t="shared" si="514"/>
        <v>800</v>
      </c>
      <c r="K1002" s="17">
        <f t="shared" si="515"/>
        <v>0</v>
      </c>
      <c r="L1002" s="22">
        <v>10</v>
      </c>
      <c r="M1002" s="22">
        <v>30</v>
      </c>
      <c r="N1002" s="22" t="s">
        <v>155</v>
      </c>
      <c r="O1002" s="22" t="str">
        <f t="shared" si="516"/>
        <v>001210</v>
      </c>
      <c r="P1002" s="22">
        <f t="shared" si="517"/>
        <v>55</v>
      </c>
      <c r="Q1002" s="22"/>
      <c r="R1002" s="23" t="s">
        <v>175</v>
      </c>
      <c r="S1002" s="22">
        <f t="shared" si="518"/>
        <v>1.08</v>
      </c>
      <c r="T1002" s="24">
        <f t="shared" si="519"/>
        <v>0</v>
      </c>
      <c r="U1002" s="25">
        <f t="shared" si="520"/>
        <v>1</v>
      </c>
      <c r="V1002" s="26" t="str">
        <f t="shared" si="521"/>
        <v/>
      </c>
    </row>
    <row r="1003" spans="1:22" ht="48" customHeight="1" x14ac:dyDescent="0.25">
      <c r="A1003" s="17"/>
      <c r="B1003" s="17"/>
      <c r="C1003" s="18"/>
      <c r="D1003" s="17"/>
      <c r="E1003" s="19"/>
      <c r="F1003" s="20"/>
      <c r="G1003" s="21"/>
      <c r="H1003" s="17"/>
      <c r="I1003" s="20"/>
      <c r="J1003" s="17"/>
      <c r="K1003" s="17"/>
      <c r="L1003" s="22"/>
      <c r="M1003" s="22"/>
      <c r="N1003" s="22"/>
      <c r="O1003" s="22"/>
      <c r="P1003" s="22"/>
      <c r="Q1003" s="22"/>
      <c r="R1003" s="23"/>
      <c r="S1003" s="22"/>
      <c r="T1003" s="24"/>
      <c r="U1003" s="25"/>
    </row>
    <row r="1004" spans="1:22" ht="48" customHeight="1" x14ac:dyDescent="0.25">
      <c r="A1004" s="17">
        <f>VLOOKUP(C1004,[1]Werke!$A$1:$C$168,3,0)</f>
        <v>22</v>
      </c>
      <c r="B1004" s="17" t="str">
        <f>VLOOKUP(C1004,[1]Werke!$A$1:$C$168,2,0)</f>
        <v>13P</v>
      </c>
      <c r="C1004" s="18" t="s">
        <v>230</v>
      </c>
      <c r="D1004" s="17" t="str">
        <f>VLOOKUP(C1004,[1]Maliteslimalan!$A$1:$B$210,2,0)</f>
        <v>8000013344</v>
      </c>
      <c r="E1004" s="19" t="str">
        <f>VLOOKUP(C1004,[1]Bestellnr.!$A$1:$B$174,2,0)</f>
        <v>000006</v>
      </c>
      <c r="F1004" s="20" t="str">
        <f>VLOOKUP(G1004,$U$1:$V$1730,2,0)</f>
        <v>WHT 007 423</v>
      </c>
      <c r="G1004" s="21">
        <v>934309000</v>
      </c>
      <c r="H1004" s="17">
        <f>VLOOKUP(G1004,Z$2:AA$1905,2,FALSE)</f>
        <v>6.8010000000000001E-2</v>
      </c>
      <c r="I1004" s="20"/>
      <c r="J1004" s="17">
        <f>VLOOKUP(G1004,W$2:X$1905,2,FALSE)</f>
        <v>170</v>
      </c>
      <c r="K1004" s="17">
        <f>I1004/J1004</f>
        <v>0</v>
      </c>
      <c r="L1004" s="22">
        <v>10</v>
      </c>
      <c r="M1004" s="22">
        <v>30</v>
      </c>
      <c r="N1004" s="22">
        <v>111444</v>
      </c>
      <c r="O1004" s="22" t="str">
        <f>VLOOKUP(N1004,$AL$1285:$AM$1310,2,FALSE)</f>
        <v>001006</v>
      </c>
      <c r="P1004" s="22">
        <f>VLOOKUP(N1004,AC$2:AD$1905,2,FALSE)</f>
        <v>34</v>
      </c>
      <c r="Q1004" s="22"/>
      <c r="R1004" s="23" t="s">
        <v>153</v>
      </c>
      <c r="S1004" s="22">
        <f>VLOOKUP(R1004,AC$2:AD$1905,2,FALSE)</f>
        <v>0.56999999999999995</v>
      </c>
      <c r="T1004" s="24">
        <f>(H1004*I1004)+P1004*Q1004+S1004*K1004</f>
        <v>0</v>
      </c>
      <c r="U1004" s="25">
        <f>IF(TRIM(N1004&amp;"")="111444",
    IF(ROUNDUP(MAX(0,K1004-(MAX(1,Q1004)-1)*10)/10,0)=1,3,2),
    IF(TRIM(N1004&amp;"")="VWPAL",
        IF(TRIM(R1004&amp;"")="004147",1,2),
        ""
    )
)</f>
        <v>2</v>
      </c>
      <c r="V1004" s="26" t="str">
        <f>IF(OR(TRIM(N1004&amp;"")="111444",TRIM(N1004&amp;"")="VWPAL"),
    IF(K1004&lt;=0,"",
        IF(
            MIN(3,ROUNDUP(MAX(0,K1004-(MAX(1,Q1004)-1)*IF(TRIM(N1004&amp;"")="111444",10,20))/IF(TRIM(N1004&amp;"")="111444",10,20),0))=1,
            300,
            IF(
                MIN(3,ROUNDUP(MAX(0,K1004-(MAX(1,Q1004)-1)*IF(TRIM(N1004&amp;"")="111444",10,20))/IF(TRIM(N1004&amp;"")="111444",10,20),0))=2,
                450,
                600
            )
        )
    ),
    ""
)</f>
        <v/>
      </c>
    </row>
    <row r="1005" spans="1:22" ht="48" customHeight="1" x14ac:dyDescent="0.25">
      <c r="A1005" s="17">
        <f>VLOOKUP(C1005,[1]Werke!$A$1:$C$168,3,0)</f>
        <v>37</v>
      </c>
      <c r="B1005" s="17" t="str">
        <f>VLOOKUP(C1005,[1]Werke!$A$1:$C$168,2,0)</f>
        <v>AKL</v>
      </c>
      <c r="C1005" s="18" t="s">
        <v>232</v>
      </c>
      <c r="D1005" s="17" t="str">
        <f>VLOOKUP(C1005,[1]Maliteslimalan!$A$1:$B$210,2,0)</f>
        <v>8000012562</v>
      </c>
      <c r="E1005" s="19" t="str">
        <f>VLOOKUP(C1005,[1]Bestellnr.!$A$1:$B$174,2,0)</f>
        <v>000006</v>
      </c>
      <c r="F1005" s="20" t="str">
        <f>VLOOKUP(G1005,$U$1:$V$1730,2,0)</f>
        <v>WHT 007 423</v>
      </c>
      <c r="G1005" s="21">
        <v>934309000</v>
      </c>
      <c r="H1005" s="17">
        <f>VLOOKUP(G1005,Z$2:AA$1905,2,FALSE)</f>
        <v>6.8010000000000001E-2</v>
      </c>
      <c r="I1005" s="20"/>
      <c r="J1005" s="17">
        <f>VLOOKUP(G1005,W$2:X$1905,2,FALSE)</f>
        <v>170</v>
      </c>
      <c r="K1005" s="17">
        <f>I1005/J1005</f>
        <v>0</v>
      </c>
      <c r="L1005" s="22">
        <v>10</v>
      </c>
      <c r="M1005" s="22">
        <v>30</v>
      </c>
      <c r="N1005" s="22">
        <v>111444</v>
      </c>
      <c r="O1005" s="22" t="str">
        <f>VLOOKUP(N1005,$AL$1285:$AM$1310,2,FALSE)</f>
        <v>001006</v>
      </c>
      <c r="P1005" s="22">
        <f>VLOOKUP(N1005,AC$2:AD$1905,2,FALSE)</f>
        <v>34</v>
      </c>
      <c r="Q1005" s="22"/>
      <c r="R1005" s="23" t="s">
        <v>153</v>
      </c>
      <c r="S1005" s="22">
        <f>VLOOKUP(R1005,AC$2:AD$1905,2,FALSE)</f>
        <v>0.56999999999999995</v>
      </c>
      <c r="T1005" s="24">
        <f>(H1005*I1005)+P1005*Q1005+S1005*K1005</f>
        <v>0</v>
      </c>
      <c r="U1005" s="25">
        <f>IF(TRIM(N1005&amp;"")="111444",
    IF(ROUNDUP(MAX(0,K1005-(MAX(1,Q1005)-1)*10)/10,0)=1,3,2),
    IF(TRIM(N1005&amp;"")="VWPAL",
        IF(TRIM(R1005&amp;"")="004147",1,2),
        ""
    )
)</f>
        <v>2</v>
      </c>
      <c r="V1005" s="26" t="str">
        <f>IF(OR(TRIM(N1005&amp;"")="111444",TRIM(N1005&amp;"")="VWPAL"),
    IF(K1005&lt;=0,"",
        IF(
            MIN(3,ROUNDUP(MAX(0,K1005-(MAX(1,Q1005)-1)*IF(TRIM(N1005&amp;"")="111444",10,20))/IF(TRIM(N1005&amp;"")="111444",10,20),0))=1,
            300,
            IF(
                MIN(3,ROUNDUP(MAX(0,K1005-(MAX(1,Q1005)-1)*IF(TRIM(N1005&amp;"")="111444",10,20))/IF(TRIM(N1005&amp;"")="111444",10,20),0))=2,
                450,
                600
            )
        )
    ),
    ""
)</f>
        <v/>
      </c>
    </row>
    <row r="1006" spans="1:22" ht="48" customHeight="1" x14ac:dyDescent="0.25">
      <c r="A1006" s="17">
        <f>VLOOKUP(C1006,[1]Werke!$A$1:$C$168,3,0)</f>
        <v>14</v>
      </c>
      <c r="B1006" s="17" t="str">
        <f>VLOOKUP(C1006,[1]Werke!$A$1:$C$168,2,0)</f>
        <v>D66</v>
      </c>
      <c r="C1006" s="18" t="s">
        <v>248</v>
      </c>
      <c r="D1006" s="17" t="str">
        <f>VLOOKUP(C1006,[1]Maliteslimalan!$A$1:$B$210,2,0)</f>
        <v>8000012561</v>
      </c>
      <c r="E1006" s="19">
        <f>VLOOKUP(C1006,[1]Bestellnr.!$A$1:$B$174,2,0)</f>
        <v>0</v>
      </c>
      <c r="F1006" s="20" t="str">
        <f>VLOOKUP(G1006,$U$1:$V$1730,2,0)</f>
        <v>WHT 007 423</v>
      </c>
      <c r="G1006" s="21">
        <v>934309000</v>
      </c>
      <c r="H1006" s="17">
        <f>VLOOKUP(G1006,Z$2:AA$1905,2,FALSE)</f>
        <v>6.8010000000000001E-2</v>
      </c>
      <c r="I1006" s="20"/>
      <c r="J1006" s="17">
        <f>VLOOKUP(G1006,W$2:X$1905,2,FALSE)</f>
        <v>170</v>
      </c>
      <c r="K1006" s="17">
        <f>I1006/J1006</f>
        <v>0</v>
      </c>
      <c r="L1006" s="22">
        <v>10</v>
      </c>
      <c r="M1006" s="22">
        <v>30</v>
      </c>
      <c r="N1006" s="22">
        <v>111444</v>
      </c>
      <c r="O1006" s="22" t="str">
        <f>VLOOKUP(N1006,$AL$1285:$AM$1310,2,FALSE)</f>
        <v>001006</v>
      </c>
      <c r="P1006" s="22">
        <f>VLOOKUP(N1006,AC$2:AD$1905,2,FALSE)</f>
        <v>34</v>
      </c>
      <c r="Q1006" s="22"/>
      <c r="R1006" s="23" t="s">
        <v>153</v>
      </c>
      <c r="S1006" s="22">
        <f>VLOOKUP(R1006,AC$2:AD$1905,2,FALSE)</f>
        <v>0.56999999999999995</v>
      </c>
      <c r="T1006" s="24">
        <f>(H1006*I1006)+P1006*Q1006+S1006*K1006</f>
        <v>0</v>
      </c>
      <c r="U1006" s="25">
        <f>IF(TRIM(N1006&amp;"")="111444",
    IF(ROUNDUP(MAX(0,K1006-(MAX(1,Q1006)-1)*10)/10,0)=1,3,2),
    IF(TRIM(N1006&amp;"")="VWPAL",
        IF(TRIM(R1006&amp;"")="004147",1,2),
        ""
    )
)</f>
        <v>2</v>
      </c>
      <c r="V1006" s="26" t="str">
        <f>IF(OR(TRIM(N1006&amp;"")="111444",TRIM(N1006&amp;"")="VWPAL"),
    IF(K1006&lt;=0,"",
        IF(
            MIN(3,ROUNDUP(MAX(0,K1006-(MAX(1,Q1006)-1)*IF(TRIM(N1006&amp;"")="111444",10,20))/IF(TRIM(N1006&amp;"")="111444",10,20),0))=1,
            300,
            IF(
                MIN(3,ROUNDUP(MAX(0,K1006-(MAX(1,Q1006)-1)*IF(TRIM(N1006&amp;"")="111444",10,20))/IF(TRIM(N1006&amp;"")="111444",10,20),0))=2,
                450,
                600
            )
        )
    ),
    ""
)</f>
        <v/>
      </c>
    </row>
    <row r="1007" spans="1:22" ht="48" customHeight="1" x14ac:dyDescent="0.25">
      <c r="A1007" s="17"/>
      <c r="B1007" s="17"/>
      <c r="C1007" s="18"/>
      <c r="D1007" s="17"/>
      <c r="E1007" s="19"/>
      <c r="F1007" s="20"/>
      <c r="G1007" s="21"/>
      <c r="H1007" s="17"/>
      <c r="I1007" s="20"/>
      <c r="J1007" s="17"/>
      <c r="K1007" s="17"/>
      <c r="L1007" s="22"/>
      <c r="M1007" s="22"/>
      <c r="N1007" s="22"/>
      <c r="O1007" s="22"/>
      <c r="P1007" s="22"/>
      <c r="Q1007" s="22"/>
      <c r="R1007" s="23"/>
      <c r="S1007" s="22"/>
      <c r="T1007" s="24"/>
      <c r="U1007" s="25"/>
    </row>
    <row r="1008" spans="1:22" ht="48" customHeight="1" x14ac:dyDescent="0.25">
      <c r="A1008" s="17" t="str">
        <f>VLOOKUP(C1008,[1]Werke!$A$1:$C$168,3,0)</f>
        <v>K3</v>
      </c>
      <c r="B1008" s="17">
        <f>VLOOKUP(C1008,[1]Werke!$A$1:$C$168,2,0)</f>
        <v>501</v>
      </c>
      <c r="C1008" s="18">
        <v>15501</v>
      </c>
      <c r="D1008" s="17">
        <f>VLOOKUP(C1008,[1]Maliteslimalan!$A$1:$B$210,2,0)</f>
        <v>8000012800</v>
      </c>
      <c r="E1008" s="19">
        <v>6</v>
      </c>
      <c r="F1008" s="20" t="str">
        <f>VLOOKUP(G1008,$U$1:$V$1730,2,0)</f>
        <v>N   106 283 01</v>
      </c>
      <c r="G1008" s="21">
        <v>933739000</v>
      </c>
      <c r="H1008" s="17">
        <f>VLOOKUP(G1008,Z$2:AA$1905,2,FALSE)</f>
        <v>9.6629999999999994E-2</v>
      </c>
      <c r="I1008" s="20"/>
      <c r="J1008" s="17">
        <f>VLOOKUP(G1008,W$2:X$1905,2,FALSE)</f>
        <v>110</v>
      </c>
      <c r="K1008" s="17">
        <f>I1008/J1008</f>
        <v>0</v>
      </c>
      <c r="L1008" s="22">
        <v>10</v>
      </c>
      <c r="M1008" s="22">
        <v>30</v>
      </c>
      <c r="N1008" s="22">
        <v>111444</v>
      </c>
      <c r="O1008" s="22" t="str">
        <f>VLOOKUP(N1008,$AL$1285:$AM$1310,2,FALSE)</f>
        <v>001006</v>
      </c>
      <c r="P1008" s="22">
        <f>VLOOKUP(N1008,AC$2:AD$1905,2,FALSE)</f>
        <v>34</v>
      </c>
      <c r="Q1008" s="22"/>
      <c r="R1008" s="23" t="s">
        <v>153</v>
      </c>
      <c r="S1008" s="22">
        <f>VLOOKUP(R1008,AC$2:AD$1905,2,FALSE)</f>
        <v>0.56999999999999995</v>
      </c>
      <c r="T1008" s="24">
        <f>(H1008*I1008)+P1008*Q1008+S1008*K1008</f>
        <v>0</v>
      </c>
      <c r="U1008" s="25">
        <f>IF(TRIM(N1008&amp;"")="111444",
    IF(ROUNDUP(MAX(0,K1008-(MAX(1,Q1008)-1)*10)/10,0)=1,3,2),
    IF(TRIM(N1008&amp;"")="VWPAL",
        IF(TRIM(R1008&amp;"")="004147",1,2),
        ""
    )
)</f>
        <v>2</v>
      </c>
      <c r="V1008" s="26" t="str">
        <f>IF(OR(TRIM(N1008&amp;"")="111444",TRIM(N1008&amp;"")="VWPAL"),
    IF(K1008&lt;=0,"",
        IF(
            MIN(3,ROUNDUP(MAX(0,K1008-(MAX(1,Q1008)-1)*IF(TRIM(N1008&amp;"")="111444",10,20))/IF(TRIM(N1008&amp;"")="111444",10,20),0))=1,
            300,
            IF(
                MIN(3,ROUNDUP(MAX(0,K1008-(MAX(1,Q1008)-1)*IF(TRIM(N1008&amp;"")="111444",10,20))/IF(TRIM(N1008&amp;"")="111444",10,20),0))=2,
                450,
                600
            )
        )
    ),
    ""
)</f>
        <v/>
      </c>
    </row>
    <row r="1009" spans="1:22" ht="48" customHeight="1" x14ac:dyDescent="0.25">
      <c r="A1009" s="17">
        <f>VLOOKUP(C1009,[1]Werke!$A$1:$C$168,3,0)</f>
        <v>69</v>
      </c>
      <c r="B1009" s="17" t="str">
        <f>VLOOKUP(C1009,[1]Werke!$A$1:$C$168,2,0)</f>
        <v>C01</v>
      </c>
      <c r="C1009" s="18" t="s">
        <v>327</v>
      </c>
      <c r="D1009" s="17" t="str">
        <f>VLOOKUP(C1009,[1]Maliteslimalan!$A$1:$B$210,2,0)</f>
        <v>8000012640</v>
      </c>
      <c r="E1009" s="19" t="str">
        <f>VLOOKUP(C1009,[1]Bestellnr.!$A$1:$B$174,2,0)</f>
        <v>000006</v>
      </c>
      <c r="F1009" s="20" t="str">
        <f>VLOOKUP(G1009,$U$1:$V$1730,2,0)</f>
        <v>N   106 283 01</v>
      </c>
      <c r="G1009" s="21">
        <v>933739000</v>
      </c>
      <c r="H1009" s="17">
        <f>VLOOKUP(G1009,Z$2:AA$1905,2,FALSE)</f>
        <v>9.6629999999999994E-2</v>
      </c>
      <c r="I1009" s="20"/>
      <c r="J1009" s="17">
        <f>VLOOKUP(G1009,W$2:X$1905,2,FALSE)</f>
        <v>110</v>
      </c>
      <c r="K1009" s="17">
        <f>I1009/J1009</f>
        <v>0</v>
      </c>
      <c r="L1009" s="22">
        <v>20</v>
      </c>
      <c r="M1009" s="22">
        <v>60</v>
      </c>
      <c r="N1009" s="22" t="s">
        <v>155</v>
      </c>
      <c r="O1009" s="22" t="str">
        <f>VLOOKUP(N1009,$AL$1285:$AM$1310,2,FALSE)</f>
        <v>001210</v>
      </c>
      <c r="P1009" s="22">
        <f>VLOOKUP(N1009,AC$2:AD$1905,2,FALSE)</f>
        <v>55</v>
      </c>
      <c r="Q1009" s="22"/>
      <c r="R1009" s="23" t="s">
        <v>153</v>
      </c>
      <c r="S1009" s="22">
        <f>VLOOKUP(R1009,AC$2:AD$1905,2,FALSE)</f>
        <v>0.56999999999999995</v>
      </c>
      <c r="T1009" s="24">
        <f>(H1009*I1009)+P1009*Q1009+S1009*K1009</f>
        <v>0</v>
      </c>
      <c r="U1009" s="25">
        <f>IF(TRIM(N1009&amp;"")="111444",
    IF(ROUNDUP(MAX(0,K1009-(MAX(1,Q1009)-1)*10)/10,0)=1,3,2),
    IF(TRIM(N1009&amp;"")="VWPAL",
        IF(TRIM(R1009&amp;"")="004147",1,2),
        ""
    )
)</f>
        <v>2</v>
      </c>
      <c r="V1009" s="26" t="str">
        <f>IF(OR(TRIM(N1009&amp;"")="111444",TRIM(N1009&amp;"")="VWPAL"),
    IF(K1009&lt;=0,"",
        IF(
            MIN(3,ROUNDUP(MAX(0,K1009-(MAX(1,Q1009)-1)*IF(TRIM(N1009&amp;"")="111444",10,20))/IF(TRIM(N1009&amp;"")="111444",10,20),0))=1,
            300,
            IF(
                MIN(3,ROUNDUP(MAX(0,K1009-(MAX(1,Q1009)-1)*IF(TRIM(N1009&amp;"")="111444",10,20))/IF(TRIM(N1009&amp;"")="111444",10,20),0))=2,
                450,
                600
            )
        )
    ),
    ""
)</f>
        <v/>
      </c>
    </row>
    <row r="1010" spans="1:22" ht="48" customHeight="1" x14ac:dyDescent="0.25">
      <c r="A1010" s="17">
        <f>VLOOKUP(C1010,[1]Werke!$A$1:$C$168,3,0)</f>
        <v>14</v>
      </c>
      <c r="B1010" s="17" t="str">
        <f>VLOOKUP(C1010,[1]Werke!$A$1:$C$168,2,0)</f>
        <v>D85</v>
      </c>
      <c r="C1010" s="18" t="s">
        <v>239</v>
      </c>
      <c r="D1010" s="17" t="str">
        <f>VLOOKUP(C1010,[1]Maliteslimalan!$A$1:$B$210,2,0)</f>
        <v>8000012682</v>
      </c>
      <c r="E1010" s="19">
        <f>VLOOKUP(C1010,[1]Bestellnr.!$A$1:$B$174,2,0)</f>
        <v>0</v>
      </c>
      <c r="F1010" s="20" t="str">
        <f>VLOOKUP(G1010,$U$1:$V$1730,2,0)</f>
        <v>N   106 283 01</v>
      </c>
      <c r="G1010" s="21">
        <v>933739000</v>
      </c>
      <c r="H1010" s="17">
        <f>VLOOKUP(G1010,Z$2:AA$1905,2,FALSE)</f>
        <v>9.6629999999999994E-2</v>
      </c>
      <c r="I1010" s="20"/>
      <c r="J1010" s="17">
        <f>VLOOKUP(G1010,W$2:X$1905,2,FALSE)</f>
        <v>110</v>
      </c>
      <c r="K1010" s="17">
        <f>I1010/J1010</f>
        <v>0</v>
      </c>
      <c r="L1010" s="22">
        <v>10</v>
      </c>
      <c r="M1010" s="22">
        <v>30</v>
      </c>
      <c r="N1010" s="22">
        <v>111444</v>
      </c>
      <c r="O1010" s="22" t="str">
        <f>VLOOKUP(N1010,$AL$1285:$AM$1310,2,FALSE)</f>
        <v>001006</v>
      </c>
      <c r="P1010" s="22">
        <f>VLOOKUP(N1010,AC$2:AD$1905,2,FALSE)</f>
        <v>34</v>
      </c>
      <c r="Q1010" s="22"/>
      <c r="R1010" s="23" t="s">
        <v>153</v>
      </c>
      <c r="S1010" s="22">
        <f>VLOOKUP(R1010,AC$2:AD$1905,2,FALSE)</f>
        <v>0.56999999999999995</v>
      </c>
      <c r="T1010" s="24">
        <f>(H1010*I1010)+P1010*Q1010+S1010*K1010</f>
        <v>0</v>
      </c>
      <c r="U1010" s="25">
        <f>IF(TRIM(N1010&amp;"")="111444",
    IF(ROUNDUP(MAX(0,K1010-(MAX(1,Q1010)-1)*10)/10,0)=1,3,2),
    IF(TRIM(N1010&amp;"")="VWPAL",
        IF(TRIM(R1010&amp;"")="004147",1,2),
        ""
    )
)</f>
        <v>2</v>
      </c>
      <c r="V1010" s="26" t="str">
        <f>IF(OR(TRIM(N1010&amp;"")="111444",TRIM(N1010&amp;"")="VWPAL"),
    IF(K1010&lt;=0,"",
        IF(
            MIN(3,ROUNDUP(MAX(0,K1010-(MAX(1,Q1010)-1)*IF(TRIM(N1010&amp;"")="111444",10,20))/IF(TRIM(N1010&amp;"")="111444",10,20),0))=1,
            300,
            IF(
                MIN(3,ROUNDUP(MAX(0,K1010-(MAX(1,Q1010)-1)*IF(TRIM(N1010&amp;"")="111444",10,20))/IF(TRIM(N1010&amp;"")="111444",10,20),0))=2,
                450,
                600
            )
        )
    ),
    ""
)</f>
        <v/>
      </c>
    </row>
    <row r="1011" spans="1:22" ht="48" customHeight="1" x14ac:dyDescent="0.25">
      <c r="A1011" s="17">
        <f>VLOOKUP(C1011,[1]Werke!$A$1:$C$168,3,0)</f>
        <v>22</v>
      </c>
      <c r="B1011" s="17" t="str">
        <f>VLOOKUP(C1011,[1]Werke!$A$1:$C$168,2,0)</f>
        <v>13P</v>
      </c>
      <c r="C1011" s="18" t="s">
        <v>215</v>
      </c>
      <c r="D1011" s="17" t="str">
        <f>VLOOKUP(C1011,[1]Maliteslimalan!$A$1:$B$210,2,0)</f>
        <v>8000014259</v>
      </c>
      <c r="E1011" s="19" t="str">
        <f>VLOOKUP(C1011,[1]Bestellnr.!$A$1:$B$174,2,0)</f>
        <v>000006</v>
      </c>
      <c r="F1011" s="20" t="str">
        <f>VLOOKUP(G1011,$U$1:$V$1730,2,0)</f>
        <v>N   106 283 01</v>
      </c>
      <c r="G1011" s="21">
        <v>933739000</v>
      </c>
      <c r="H1011" s="17">
        <f>VLOOKUP(G1011,Z$2:AA$1905,2,FALSE)</f>
        <v>9.6629999999999994E-2</v>
      </c>
      <c r="I1011" s="20"/>
      <c r="J1011" s="17">
        <f>VLOOKUP(G1011,W$2:X$1905,2,FALSE)</f>
        <v>110</v>
      </c>
      <c r="K1011" s="17">
        <f>I1011/J1011</f>
        <v>0</v>
      </c>
      <c r="L1011" s="22">
        <v>10</v>
      </c>
      <c r="M1011" s="22">
        <v>30</v>
      </c>
      <c r="N1011" s="22">
        <v>111444</v>
      </c>
      <c r="O1011" s="22" t="str">
        <f>VLOOKUP(N1011,$AL$1285:$AM$1310,2,FALSE)</f>
        <v>001006</v>
      </c>
      <c r="P1011" s="22">
        <f>VLOOKUP(N1011,AC$2:AD$1905,2,FALSE)</f>
        <v>34</v>
      </c>
      <c r="Q1011" s="22"/>
      <c r="R1011" s="23" t="s">
        <v>153</v>
      </c>
      <c r="S1011" s="22">
        <f>VLOOKUP(R1011,AC$2:AD$1905,2,FALSE)</f>
        <v>0.56999999999999995</v>
      </c>
      <c r="T1011" s="24">
        <f>(H1011*I1011)+P1011*Q1011+S1011*K1011</f>
        <v>0</v>
      </c>
      <c r="U1011" s="25">
        <f>IF(TRIM(N1011&amp;"")="111444",
    IF(ROUNDUP(MAX(0,K1011-(MAX(1,Q1011)-1)*10)/10,0)=1,3,2),
    IF(TRIM(N1011&amp;"")="VWPAL",
        IF(TRIM(R1011&amp;"")="004147",1,2),
        ""
    )
)</f>
        <v>2</v>
      </c>
      <c r="V1011" s="26" t="str">
        <f>IF(OR(TRIM(N1011&amp;"")="111444",TRIM(N1011&amp;"")="VWPAL"),
    IF(K1011&lt;=0,"",
        IF(
            MIN(3,ROUNDUP(MAX(0,K1011-(MAX(1,Q1011)-1)*IF(TRIM(N1011&amp;"")="111444",10,20))/IF(TRIM(N1011&amp;"")="111444",10,20),0))=1,
            300,
            IF(
                MIN(3,ROUNDUP(MAX(0,K1011-(MAX(1,Q1011)-1)*IF(TRIM(N1011&amp;"")="111444",10,20))/IF(TRIM(N1011&amp;"")="111444",10,20),0))=2,
                450,
                600
            )
        )
    ),
    ""
)</f>
        <v/>
      </c>
    </row>
    <row r="1012" spans="1:22" ht="48" customHeight="1" x14ac:dyDescent="0.25">
      <c r="A1012" s="17"/>
      <c r="B1012" s="17"/>
      <c r="C1012" s="18"/>
      <c r="D1012" s="17"/>
      <c r="E1012" s="19"/>
      <c r="F1012" s="20"/>
      <c r="G1012" s="21"/>
      <c r="H1012" s="17"/>
      <c r="I1012" s="20"/>
      <c r="J1012" s="17"/>
      <c r="K1012" s="17"/>
      <c r="L1012" s="22"/>
      <c r="M1012" s="22"/>
      <c r="N1012" s="22"/>
      <c r="O1012" s="22"/>
      <c r="P1012" s="22"/>
      <c r="Q1012" s="22"/>
      <c r="R1012" s="23"/>
      <c r="S1012" s="22"/>
      <c r="T1012" s="24"/>
      <c r="U1012" s="25"/>
    </row>
    <row r="1013" spans="1:22" ht="48" customHeight="1" x14ac:dyDescent="0.25">
      <c r="A1013" s="17">
        <f>VLOOKUP(C1013,[1]Werke!$A$1:$C$168,3,0)</f>
        <v>21</v>
      </c>
      <c r="B1013" s="17" t="str">
        <f>VLOOKUP(C1013,[1]Werke!$A$1:$C$168,2,0)</f>
        <v>GZD</v>
      </c>
      <c r="C1013" s="18" t="s">
        <v>154</v>
      </c>
      <c r="D1013" s="17" t="str">
        <f>VLOOKUP(C1013,[1]Maliteslimalan!$A$1:$B$210,2,0)</f>
        <v>8000012572</v>
      </c>
      <c r="E1013" s="19" t="str">
        <f>VLOOKUP(C1013,[1]Bestellnr.!$A$1:$B$174,2,0)</f>
        <v>000006</v>
      </c>
      <c r="F1013" s="20" t="str">
        <f t="shared" ref="F1013:F1045" si="522">VLOOKUP(G1013,$U$1:$V$1730,2,0)</f>
        <v>N   015 082 10</v>
      </c>
      <c r="G1013" s="21">
        <v>970723000</v>
      </c>
      <c r="H1013" s="17">
        <f t="shared" ref="H1013:H1045" si="523">VLOOKUP(G1013,Z$2:AA$1905,2,FALSE)</f>
        <v>3.3800000000000002E-3</v>
      </c>
      <c r="I1013" s="20"/>
      <c r="J1013" s="17">
        <f t="shared" ref="J1013:J1045" si="524">VLOOKUP(G1013,W$2:X$1905,2,FALSE)</f>
        <v>4300</v>
      </c>
      <c r="K1013" s="17">
        <f t="shared" ref="K1013:K1045" si="525">I1013/J1013</f>
        <v>0</v>
      </c>
      <c r="L1013" s="22">
        <v>20</v>
      </c>
      <c r="M1013" s="22">
        <v>60</v>
      </c>
      <c r="N1013" s="22" t="s">
        <v>155</v>
      </c>
      <c r="O1013" s="22" t="str">
        <f t="shared" ref="O1013:O1045" si="526">VLOOKUP(N1013,$AL$1285:$AM$1310,2,FALSE)</f>
        <v>001210</v>
      </c>
      <c r="P1013" s="22">
        <f t="shared" ref="P1013:P1045" si="527">VLOOKUP(N1013,AC$2:AD$1905,2,FALSE)</f>
        <v>55</v>
      </c>
      <c r="Q1013" s="22"/>
      <c r="R1013" s="23" t="s">
        <v>153</v>
      </c>
      <c r="S1013" s="22">
        <f t="shared" ref="S1013:S1045" si="528">VLOOKUP(R1013,AC$2:AD$1905,2,FALSE)</f>
        <v>0.56999999999999995</v>
      </c>
      <c r="T1013" s="24">
        <f t="shared" ref="T1013:T1045" si="529">(H1013*I1013)+P1013*Q1013+S1013*K1013</f>
        <v>0</v>
      </c>
      <c r="U1013" s="25">
        <f t="shared" ref="U1013:U1045" si="530">IF(TRIM(N1013&amp;"")="111444",
    IF(ROUNDUP(MAX(0,K1013-(MAX(1,Q1013)-1)*10)/10,0)=1,3,2),
    IF(TRIM(N1013&amp;"")="VWPAL",
        IF(TRIM(R1013&amp;"")="004147",1,2),
        ""
    )
)</f>
        <v>2</v>
      </c>
      <c r="V1013" s="26" t="str">
        <f t="shared" ref="V1013:V1045" si="531">IF(OR(TRIM(N1013&amp;"")="111444",TRIM(N1013&amp;"")="VWPAL"),
    IF(K1013&lt;=0,"",
        IF(
            MIN(3,ROUNDUP(MAX(0,K1013-(MAX(1,Q1013)-1)*IF(TRIM(N1013&amp;"")="111444",10,20))/IF(TRIM(N1013&amp;"")="111444",10,20),0))=1,
            300,
            IF(
                MIN(3,ROUNDUP(MAX(0,K1013-(MAX(1,Q1013)-1)*IF(TRIM(N1013&amp;"")="111444",10,20))/IF(TRIM(N1013&amp;"")="111444",10,20),0))=2,
                450,
                600
            )
        )
    ),
    ""
)</f>
        <v/>
      </c>
    </row>
    <row r="1014" spans="1:22" ht="48" customHeight="1" x14ac:dyDescent="0.25">
      <c r="A1014" s="17">
        <f>VLOOKUP(C1014,[1]Werke!$A$1:$C$168,3,0)</f>
        <v>35</v>
      </c>
      <c r="B1014" s="17" t="str">
        <f>VLOOKUP(C1014,[1]Werke!$A$1:$C$168,2,0)</f>
        <v>AKL</v>
      </c>
      <c r="C1014" s="18" t="s">
        <v>231</v>
      </c>
      <c r="D1014" s="17" t="str">
        <f>VLOOKUP(C1014,[1]Maliteslimalan!$A$1:$B$210,2,0)</f>
        <v>8000013262</v>
      </c>
      <c r="E1014" s="19" t="str">
        <f>VLOOKUP(C1014,[1]Bestellnr.!$A$1:$B$174,2,0)</f>
        <v>000006</v>
      </c>
      <c r="F1014" s="20" t="str">
        <f t="shared" si="522"/>
        <v>N   015 082 10</v>
      </c>
      <c r="G1014" s="21">
        <v>970723000</v>
      </c>
      <c r="H1014" s="17">
        <f t="shared" si="523"/>
        <v>3.3800000000000002E-3</v>
      </c>
      <c r="I1014" s="20"/>
      <c r="J1014" s="17">
        <f t="shared" si="524"/>
        <v>4300</v>
      </c>
      <c r="K1014" s="17">
        <f t="shared" si="525"/>
        <v>0</v>
      </c>
      <c r="L1014" s="22">
        <v>20</v>
      </c>
      <c r="M1014" s="22">
        <v>20</v>
      </c>
      <c r="N1014" s="22" t="s">
        <v>155</v>
      </c>
      <c r="O1014" s="22" t="str">
        <f t="shared" si="526"/>
        <v>001210</v>
      </c>
      <c r="P1014" s="22">
        <f t="shared" si="527"/>
        <v>55</v>
      </c>
      <c r="Q1014" s="22"/>
      <c r="R1014" s="23" t="s">
        <v>153</v>
      </c>
      <c r="S1014" s="22">
        <f t="shared" si="528"/>
        <v>0.56999999999999995</v>
      </c>
      <c r="T1014" s="24">
        <f t="shared" si="529"/>
        <v>0</v>
      </c>
      <c r="U1014" s="25">
        <f t="shared" si="530"/>
        <v>2</v>
      </c>
      <c r="V1014" s="26" t="str">
        <f t="shared" si="531"/>
        <v/>
      </c>
    </row>
    <row r="1015" spans="1:22" ht="48" customHeight="1" x14ac:dyDescent="0.25">
      <c r="A1015" s="17">
        <f>VLOOKUP(C1015,[1]Werke!$A$1:$C$168,3,0)</f>
        <v>69</v>
      </c>
      <c r="B1015" s="17" t="str">
        <f>VLOOKUP(C1015,[1]Werke!$A$1:$C$168,2,0)</f>
        <v>AKL</v>
      </c>
      <c r="C1015" s="18" t="s">
        <v>238</v>
      </c>
      <c r="D1015" s="17">
        <f>VLOOKUP(C1015,[1]Maliteslimalan!$A$1:$B$210,2,0)</f>
        <v>8000017492</v>
      </c>
      <c r="E1015" s="19">
        <v>6</v>
      </c>
      <c r="F1015" s="20" t="str">
        <f t="shared" si="522"/>
        <v>N   015 082 10</v>
      </c>
      <c r="G1015" s="21">
        <v>970723000</v>
      </c>
      <c r="H1015" s="17">
        <f t="shared" si="523"/>
        <v>3.3800000000000002E-3</v>
      </c>
      <c r="I1015" s="20"/>
      <c r="J1015" s="17">
        <f t="shared" si="524"/>
        <v>4300</v>
      </c>
      <c r="K1015" s="17">
        <f t="shared" si="525"/>
        <v>0</v>
      </c>
      <c r="L1015" s="22">
        <v>10</v>
      </c>
      <c r="M1015" s="22">
        <v>10</v>
      </c>
      <c r="N1015" s="22">
        <v>111444</v>
      </c>
      <c r="O1015" s="22" t="str">
        <f t="shared" si="526"/>
        <v>001006</v>
      </c>
      <c r="P1015" s="22">
        <f t="shared" si="527"/>
        <v>34</v>
      </c>
      <c r="Q1015" s="22"/>
      <c r="R1015" s="23" t="s">
        <v>153</v>
      </c>
      <c r="S1015" s="22">
        <f t="shared" si="528"/>
        <v>0.56999999999999995</v>
      </c>
      <c r="T1015" s="24">
        <f t="shared" si="529"/>
        <v>0</v>
      </c>
      <c r="U1015" s="25">
        <f t="shared" si="530"/>
        <v>2</v>
      </c>
      <c r="V1015" s="26" t="str">
        <f t="shared" si="531"/>
        <v/>
      </c>
    </row>
    <row r="1016" spans="1:22" ht="48" customHeight="1" x14ac:dyDescent="0.25">
      <c r="A1016" s="17" t="str">
        <f>VLOOKUP(C1016,[1]Werke!$A$1:$C$168,3,0)</f>
        <v>HT</v>
      </c>
      <c r="B1016" s="17">
        <f>VLOOKUP(C1016,[1]Werke!$A$1:$C$168,2,0)</f>
        <v>34</v>
      </c>
      <c r="C1016" s="18">
        <v>80245</v>
      </c>
      <c r="D1016" s="17">
        <f>VLOOKUP(C1016,[1]Maliteslimalan!$A$1:$B$210,2,0)</f>
        <v>8000012604</v>
      </c>
      <c r="E1016" s="19">
        <v>6</v>
      </c>
      <c r="F1016" s="20" t="str">
        <f t="shared" si="522"/>
        <v>N   015 082 10</v>
      </c>
      <c r="G1016" s="21">
        <v>970723000</v>
      </c>
      <c r="H1016" s="17">
        <f t="shared" si="523"/>
        <v>3.3800000000000002E-3</v>
      </c>
      <c r="I1016" s="20"/>
      <c r="J1016" s="17">
        <f t="shared" si="524"/>
        <v>4300</v>
      </c>
      <c r="K1016" s="17">
        <f t="shared" si="525"/>
        <v>0</v>
      </c>
      <c r="L1016" s="22">
        <v>10</v>
      </c>
      <c r="M1016" s="22">
        <v>30</v>
      </c>
      <c r="N1016" s="22">
        <v>111444</v>
      </c>
      <c r="O1016" s="22" t="str">
        <f t="shared" si="526"/>
        <v>001006</v>
      </c>
      <c r="P1016" s="22">
        <f t="shared" si="527"/>
        <v>34</v>
      </c>
      <c r="Q1016" s="22"/>
      <c r="R1016" s="23" t="s">
        <v>153</v>
      </c>
      <c r="S1016" s="22">
        <f t="shared" si="528"/>
        <v>0.56999999999999995</v>
      </c>
      <c r="T1016" s="24">
        <f t="shared" si="529"/>
        <v>0</v>
      </c>
      <c r="U1016" s="25">
        <f t="shared" si="530"/>
        <v>2</v>
      </c>
      <c r="V1016" s="26" t="str">
        <f t="shared" si="531"/>
        <v/>
      </c>
    </row>
    <row r="1017" spans="1:22" ht="48" customHeight="1" x14ac:dyDescent="0.25">
      <c r="A1017" s="17" t="str">
        <f>VLOOKUP(C1017,[1]Werke!$A$1:$C$168,3,0)</f>
        <v>LD</v>
      </c>
      <c r="B1017" s="17" t="str">
        <f>VLOOKUP(C1017,[1]Werke!$A$1:$C$168,2,0)</f>
        <v>SLD</v>
      </c>
      <c r="C1017" s="18">
        <v>83630</v>
      </c>
      <c r="D1017" s="17" t="str">
        <f>VLOOKUP(C1017,[1]Maliteslimalan!$A$1:$B$210,2,0)</f>
        <v>8000012862</v>
      </c>
      <c r="E1017" s="19" t="str">
        <f>VLOOKUP(C1017,[1]Bestellnr.!$A$1:$B$174,2,0)</f>
        <v>000006</v>
      </c>
      <c r="F1017" s="20" t="str">
        <f t="shared" si="522"/>
        <v>N   015 082 10</v>
      </c>
      <c r="G1017" s="21">
        <v>970723000</v>
      </c>
      <c r="H1017" s="17">
        <f t="shared" si="523"/>
        <v>3.3800000000000002E-3</v>
      </c>
      <c r="I1017" s="20"/>
      <c r="J1017" s="17">
        <f t="shared" si="524"/>
        <v>4300</v>
      </c>
      <c r="K1017" s="17">
        <f t="shared" si="525"/>
        <v>0</v>
      </c>
      <c r="L1017" s="22">
        <v>10</v>
      </c>
      <c r="M1017" s="22">
        <v>30</v>
      </c>
      <c r="N1017" s="22">
        <v>111444</v>
      </c>
      <c r="O1017" s="22" t="str">
        <f t="shared" si="526"/>
        <v>001006</v>
      </c>
      <c r="P1017" s="22">
        <f t="shared" si="527"/>
        <v>34</v>
      </c>
      <c r="Q1017" s="22"/>
      <c r="R1017" s="23" t="s">
        <v>153</v>
      </c>
      <c r="S1017" s="22">
        <f t="shared" si="528"/>
        <v>0.56999999999999995</v>
      </c>
      <c r="T1017" s="24">
        <f t="shared" si="529"/>
        <v>0</v>
      </c>
      <c r="U1017" s="25">
        <f t="shared" si="530"/>
        <v>2</v>
      </c>
      <c r="V1017" s="26" t="str">
        <f t="shared" si="531"/>
        <v/>
      </c>
    </row>
    <row r="1018" spans="1:22" ht="48" customHeight="1" x14ac:dyDescent="0.25">
      <c r="A1018" s="17">
        <f>VLOOKUP(C1018,[1]Werke!$A$1:$C$168,3,0)</f>
        <v>24</v>
      </c>
      <c r="B1018" s="17" t="str">
        <f>VLOOKUP(C1018,[1]Werke!$A$1:$C$168,2,0)</f>
        <v>CKH</v>
      </c>
      <c r="C1018" s="18" t="s">
        <v>224</v>
      </c>
      <c r="D1018" s="17">
        <f>VLOOKUP(C1018,[1]Maliteslimalan!$A$1:$B$210,2,0)</f>
        <v>8000013551</v>
      </c>
      <c r="E1018" s="19">
        <v>6</v>
      </c>
      <c r="F1018" s="20" t="str">
        <f t="shared" si="522"/>
        <v>N   015 082 10</v>
      </c>
      <c r="G1018" s="21">
        <v>970723000</v>
      </c>
      <c r="H1018" s="17">
        <f t="shared" si="523"/>
        <v>3.3800000000000002E-3</v>
      </c>
      <c r="I1018" s="20"/>
      <c r="J1018" s="17">
        <f t="shared" si="524"/>
        <v>4300</v>
      </c>
      <c r="K1018" s="17">
        <f t="shared" si="525"/>
        <v>0</v>
      </c>
      <c r="L1018" s="22">
        <v>10</v>
      </c>
      <c r="M1018" s="22">
        <v>30</v>
      </c>
      <c r="N1018" s="22">
        <v>111444</v>
      </c>
      <c r="O1018" s="22" t="str">
        <f t="shared" si="526"/>
        <v>001006</v>
      </c>
      <c r="P1018" s="22">
        <f t="shared" si="527"/>
        <v>34</v>
      </c>
      <c r="Q1018" s="22"/>
      <c r="R1018" s="23" t="s">
        <v>153</v>
      </c>
      <c r="S1018" s="22">
        <f t="shared" si="528"/>
        <v>0.56999999999999995</v>
      </c>
      <c r="T1018" s="24">
        <f t="shared" si="529"/>
        <v>0</v>
      </c>
      <c r="U1018" s="25">
        <f t="shared" si="530"/>
        <v>2</v>
      </c>
      <c r="V1018" s="26" t="str">
        <f t="shared" si="531"/>
        <v/>
      </c>
    </row>
    <row r="1019" spans="1:22" ht="48" customHeight="1" x14ac:dyDescent="0.25">
      <c r="A1019" s="17" t="str">
        <f>VLOOKUP(C1019,[1]Werke!$A$1:$C$168,3,0)</f>
        <v>26C</v>
      </c>
      <c r="B1019" s="17" t="str">
        <f>VLOOKUP(C1019,[1]Werke!$A$1:$C$168,2,0)</f>
        <v>CKD</v>
      </c>
      <c r="C1019" s="18" t="s">
        <v>258</v>
      </c>
      <c r="D1019" s="17" t="str">
        <f>VLOOKUP(C1019,[1]Maliteslimalan!$A$1:$B$210,2,0)</f>
        <v>8000012767</v>
      </c>
      <c r="E1019" s="19">
        <f>VLOOKUP(C1019,[1]Bestellnr.!$A$1:$B$174,2,0)</f>
        <v>0</v>
      </c>
      <c r="F1019" s="20" t="str">
        <f t="shared" si="522"/>
        <v>N   015 082 10</v>
      </c>
      <c r="G1019" s="21">
        <v>970723000</v>
      </c>
      <c r="H1019" s="17">
        <f t="shared" si="523"/>
        <v>3.3800000000000002E-3</v>
      </c>
      <c r="I1019" s="20"/>
      <c r="J1019" s="17">
        <f t="shared" si="524"/>
        <v>4300</v>
      </c>
      <c r="K1019" s="17">
        <f t="shared" si="525"/>
        <v>0</v>
      </c>
      <c r="L1019" s="22">
        <v>10</v>
      </c>
      <c r="M1019" s="22">
        <v>30</v>
      </c>
      <c r="N1019" s="22">
        <v>111444</v>
      </c>
      <c r="O1019" s="22" t="str">
        <f t="shared" si="526"/>
        <v>001006</v>
      </c>
      <c r="P1019" s="22">
        <f t="shared" si="527"/>
        <v>34</v>
      </c>
      <c r="Q1019" s="22"/>
      <c r="R1019" s="23" t="s">
        <v>153</v>
      </c>
      <c r="S1019" s="22">
        <f t="shared" si="528"/>
        <v>0.56999999999999995</v>
      </c>
      <c r="T1019" s="24">
        <f t="shared" si="529"/>
        <v>0</v>
      </c>
      <c r="U1019" s="25">
        <f t="shared" si="530"/>
        <v>2</v>
      </c>
      <c r="V1019" s="26" t="str">
        <f t="shared" si="531"/>
        <v/>
      </c>
    </row>
    <row r="1020" spans="1:22" ht="48" customHeight="1" x14ac:dyDescent="0.25">
      <c r="A1020" s="17">
        <f>VLOOKUP(C1020,[1]Werke!$A$1:$C$168,3,0)</f>
        <v>34</v>
      </c>
      <c r="B1020" s="17" t="str">
        <f>VLOOKUP(C1020,[1]Werke!$A$1:$C$168,2,0)</f>
        <v>01</v>
      </c>
      <c r="C1020" s="18" t="s">
        <v>280</v>
      </c>
      <c r="D1020" s="17" t="str">
        <f>VLOOKUP(C1020,[1]Maliteslimalan!$A$1:$B$210,2,0)</f>
        <v>8000012622</v>
      </c>
      <c r="E1020" s="19">
        <f>VLOOKUP(C1020,[1]Bestellnr.!$A$1:$B$174,2,0)</f>
        <v>0</v>
      </c>
      <c r="F1020" s="20" t="str">
        <f t="shared" si="522"/>
        <v>N   015 082 10</v>
      </c>
      <c r="G1020" s="21">
        <v>970723000</v>
      </c>
      <c r="H1020" s="17">
        <f t="shared" si="523"/>
        <v>3.3800000000000002E-3</v>
      </c>
      <c r="I1020" s="20"/>
      <c r="J1020" s="17">
        <f t="shared" si="524"/>
        <v>4300</v>
      </c>
      <c r="K1020" s="17">
        <f t="shared" si="525"/>
        <v>0</v>
      </c>
      <c r="L1020" s="22">
        <v>10</v>
      </c>
      <c r="M1020" s="22">
        <v>30</v>
      </c>
      <c r="N1020" s="22">
        <v>111444</v>
      </c>
      <c r="O1020" s="22" t="str">
        <f t="shared" si="526"/>
        <v>001006</v>
      </c>
      <c r="P1020" s="22">
        <f t="shared" si="527"/>
        <v>34</v>
      </c>
      <c r="Q1020" s="22"/>
      <c r="R1020" s="23" t="s">
        <v>153</v>
      </c>
      <c r="S1020" s="22">
        <f t="shared" si="528"/>
        <v>0.56999999999999995</v>
      </c>
      <c r="T1020" s="24">
        <f t="shared" si="529"/>
        <v>0</v>
      </c>
      <c r="U1020" s="25">
        <f t="shared" si="530"/>
        <v>2</v>
      </c>
      <c r="V1020" s="26" t="str">
        <f t="shared" si="531"/>
        <v/>
      </c>
    </row>
    <row r="1021" spans="1:22" ht="48" customHeight="1" x14ac:dyDescent="0.25">
      <c r="A1021" s="17">
        <f>VLOOKUP(C1021,[1]Werke!$A$1:$C$168,3,0)</f>
        <v>13</v>
      </c>
      <c r="B1021" s="17" t="str">
        <f>VLOOKUP(C1021,[1]Werke!$A$1:$C$168,2,0)</f>
        <v>LZ2</v>
      </c>
      <c r="C1021" s="18" t="s">
        <v>267</v>
      </c>
      <c r="D1021" s="17" t="str">
        <f>VLOOKUP(C1021,[1]Maliteslimalan!$A$1:$B$210,2,0)</f>
        <v>8000012575</v>
      </c>
      <c r="E1021" s="19" t="str">
        <f>VLOOKUP(C1021,[1]Bestellnr.!$A$1:$B$174,2,0)</f>
        <v>000006</v>
      </c>
      <c r="F1021" s="20" t="str">
        <f t="shared" si="522"/>
        <v>N   015 082 10</v>
      </c>
      <c r="G1021" s="21">
        <v>970723000</v>
      </c>
      <c r="H1021" s="17">
        <f t="shared" si="523"/>
        <v>3.3800000000000002E-3</v>
      </c>
      <c r="I1021" s="20"/>
      <c r="J1021" s="17">
        <f t="shared" si="524"/>
        <v>4300</v>
      </c>
      <c r="K1021" s="17">
        <f t="shared" si="525"/>
        <v>0</v>
      </c>
      <c r="L1021" s="22">
        <v>10</v>
      </c>
      <c r="M1021" s="22">
        <v>10</v>
      </c>
      <c r="N1021" s="22">
        <v>111444</v>
      </c>
      <c r="O1021" s="22" t="str">
        <f t="shared" si="526"/>
        <v>001006</v>
      </c>
      <c r="P1021" s="22">
        <f t="shared" si="527"/>
        <v>34</v>
      </c>
      <c r="Q1021" s="22"/>
      <c r="R1021" s="23" t="s">
        <v>153</v>
      </c>
      <c r="S1021" s="22">
        <f t="shared" si="528"/>
        <v>0.56999999999999995</v>
      </c>
      <c r="T1021" s="24">
        <f t="shared" si="529"/>
        <v>0</v>
      </c>
      <c r="U1021" s="25">
        <f t="shared" si="530"/>
        <v>2</v>
      </c>
      <c r="V1021" s="26" t="str">
        <f t="shared" si="531"/>
        <v/>
      </c>
    </row>
    <row r="1022" spans="1:22" ht="48" customHeight="1" x14ac:dyDescent="0.25">
      <c r="A1022" s="17" t="str">
        <f>VLOOKUP(C1022,[1]Werke!$A$1:$C$168,3,0)</f>
        <v>26D</v>
      </c>
      <c r="B1022" s="17" t="str">
        <f>VLOOKUP(C1022,[1]Werke!$A$1:$C$168,2,0)</f>
        <v>G18</v>
      </c>
      <c r="C1022" s="18" t="s">
        <v>272</v>
      </c>
      <c r="D1022" s="17" t="str">
        <f>VLOOKUP(C1022,[1]Maliteslimalan!$A$1:$B$210,2,0)</f>
        <v>8000012580</v>
      </c>
      <c r="E1022" s="19">
        <f>VLOOKUP(C1022,[1]Bestellnr.!$A$1:$B$174,2,0)</f>
        <v>0</v>
      </c>
      <c r="F1022" s="20" t="str">
        <f t="shared" si="522"/>
        <v>N   015 082 10</v>
      </c>
      <c r="G1022" s="21">
        <v>970723000</v>
      </c>
      <c r="H1022" s="17">
        <f t="shared" si="523"/>
        <v>3.3800000000000002E-3</v>
      </c>
      <c r="I1022" s="20"/>
      <c r="J1022" s="17">
        <f t="shared" si="524"/>
        <v>4300</v>
      </c>
      <c r="K1022" s="17">
        <f t="shared" si="525"/>
        <v>0</v>
      </c>
      <c r="L1022" s="22">
        <v>10</v>
      </c>
      <c r="M1022" s="22">
        <v>30</v>
      </c>
      <c r="N1022" s="22">
        <v>111444</v>
      </c>
      <c r="O1022" s="22" t="str">
        <f t="shared" si="526"/>
        <v>001006</v>
      </c>
      <c r="P1022" s="22">
        <f t="shared" si="527"/>
        <v>34</v>
      </c>
      <c r="Q1022" s="22"/>
      <c r="R1022" s="23" t="s">
        <v>153</v>
      </c>
      <c r="S1022" s="22">
        <f t="shared" si="528"/>
        <v>0.56999999999999995</v>
      </c>
      <c r="T1022" s="24">
        <f t="shared" si="529"/>
        <v>0</v>
      </c>
      <c r="U1022" s="25">
        <f t="shared" si="530"/>
        <v>2</v>
      </c>
      <c r="V1022" s="26" t="str">
        <f t="shared" si="531"/>
        <v/>
      </c>
    </row>
    <row r="1023" spans="1:22" ht="48" customHeight="1" x14ac:dyDescent="0.25">
      <c r="A1023" s="17">
        <f>VLOOKUP(C1023,[1]Werke!$A$1:$C$168,3,0)</f>
        <v>27</v>
      </c>
      <c r="B1023" s="17" t="str">
        <f>VLOOKUP(C1023,[1]Werke!$A$1:$C$168,2,0)</f>
        <v>EFL</v>
      </c>
      <c r="C1023" s="18" t="s">
        <v>290</v>
      </c>
      <c r="D1023" s="17" t="str">
        <f>VLOOKUP(C1023,[1]Maliteslimalan!$A$1:$B$210,2,0)</f>
        <v>8000012573</v>
      </c>
      <c r="E1023" s="19" t="str">
        <f>VLOOKUP(C1023,[1]Bestellnr.!$A$1:$B$174,2,0)</f>
        <v>000006</v>
      </c>
      <c r="F1023" s="20" t="str">
        <f t="shared" si="522"/>
        <v>N   015 082 10</v>
      </c>
      <c r="G1023" s="21">
        <v>970723000</v>
      </c>
      <c r="H1023" s="17">
        <f t="shared" si="523"/>
        <v>3.3800000000000002E-3</v>
      </c>
      <c r="I1023" s="20"/>
      <c r="J1023" s="17">
        <f t="shared" si="524"/>
        <v>4300</v>
      </c>
      <c r="K1023" s="17">
        <f t="shared" si="525"/>
        <v>0</v>
      </c>
      <c r="L1023" s="22">
        <v>10</v>
      </c>
      <c r="M1023" s="22">
        <v>30</v>
      </c>
      <c r="N1023" s="22">
        <v>111444</v>
      </c>
      <c r="O1023" s="22" t="str">
        <f t="shared" si="526"/>
        <v>001006</v>
      </c>
      <c r="P1023" s="22">
        <f t="shared" si="527"/>
        <v>34</v>
      </c>
      <c r="Q1023" s="22"/>
      <c r="R1023" s="23" t="s">
        <v>153</v>
      </c>
      <c r="S1023" s="22">
        <f t="shared" si="528"/>
        <v>0.56999999999999995</v>
      </c>
      <c r="T1023" s="24">
        <f t="shared" si="529"/>
        <v>0</v>
      </c>
      <c r="U1023" s="25">
        <f t="shared" si="530"/>
        <v>2</v>
      </c>
      <c r="V1023" s="26" t="str">
        <f t="shared" si="531"/>
        <v/>
      </c>
    </row>
    <row r="1024" spans="1:22" ht="48" customHeight="1" x14ac:dyDescent="0.25">
      <c r="A1024" s="17">
        <f>VLOOKUP(C1024,[1]Werke!$A$1:$C$168,3,0)</f>
        <v>48</v>
      </c>
      <c r="B1024" s="17" t="str">
        <f>VLOOKUP(C1024,[1]Werke!$A$1:$C$168,2,0)</f>
        <v>04</v>
      </c>
      <c r="C1024" s="20" t="s">
        <v>328</v>
      </c>
      <c r="D1024" s="17">
        <f>VLOOKUP(C1024,[1]Maliteslimalan!$A$1:$B$210,2,0)</f>
        <v>8000016286</v>
      </c>
      <c r="E1024" s="19">
        <v>6</v>
      </c>
      <c r="F1024" s="20" t="str">
        <f t="shared" si="522"/>
        <v>N   015 082 10</v>
      </c>
      <c r="G1024" s="21">
        <v>970723000</v>
      </c>
      <c r="H1024" s="17">
        <f t="shared" si="523"/>
        <v>3.3800000000000002E-3</v>
      </c>
      <c r="I1024" s="20"/>
      <c r="J1024" s="17">
        <f t="shared" si="524"/>
        <v>4300</v>
      </c>
      <c r="K1024" s="17">
        <f t="shared" si="525"/>
        <v>0</v>
      </c>
      <c r="L1024" s="22">
        <v>10</v>
      </c>
      <c r="M1024" s="22">
        <v>10</v>
      </c>
      <c r="N1024" s="22">
        <v>111444</v>
      </c>
      <c r="O1024" s="22" t="str">
        <f t="shared" si="526"/>
        <v>001006</v>
      </c>
      <c r="P1024" s="22">
        <f t="shared" si="527"/>
        <v>34</v>
      </c>
      <c r="Q1024" s="22"/>
      <c r="R1024" s="23" t="s">
        <v>153</v>
      </c>
      <c r="S1024" s="22">
        <f t="shared" si="528"/>
        <v>0.56999999999999995</v>
      </c>
      <c r="T1024" s="24">
        <f t="shared" si="529"/>
        <v>0</v>
      </c>
      <c r="U1024" s="25">
        <f t="shared" si="530"/>
        <v>2</v>
      </c>
      <c r="V1024" s="26" t="str">
        <f t="shared" si="531"/>
        <v/>
      </c>
    </row>
    <row r="1025" spans="1:22" ht="48" customHeight="1" x14ac:dyDescent="0.25">
      <c r="A1025" s="17">
        <f>VLOOKUP(C1025,[1]Werke!$A$1:$C$168,3,0)</f>
        <v>49</v>
      </c>
      <c r="B1025" s="17" t="str">
        <f>VLOOKUP(C1025,[1]Werke!$A$1:$C$168,2,0)</f>
        <v>CT</v>
      </c>
      <c r="C1025" s="18" t="s">
        <v>217</v>
      </c>
      <c r="D1025" s="17" t="str">
        <f>VLOOKUP(C1025,[1]Maliteslimalan!$A$1:$B$210,2,0)</f>
        <v>8000012574</v>
      </c>
      <c r="E1025" s="19" t="str">
        <f>VLOOKUP(C1025,[1]Bestellnr.!$A$1:$B$174,2,0)</f>
        <v>000001</v>
      </c>
      <c r="F1025" s="20" t="str">
        <f t="shared" si="522"/>
        <v>N   015 082 10</v>
      </c>
      <c r="G1025" s="21">
        <v>970723000</v>
      </c>
      <c r="H1025" s="17">
        <f t="shared" si="523"/>
        <v>3.3800000000000002E-3</v>
      </c>
      <c r="I1025" s="20"/>
      <c r="J1025" s="17">
        <f t="shared" si="524"/>
        <v>4300</v>
      </c>
      <c r="K1025" s="17">
        <f t="shared" si="525"/>
        <v>0</v>
      </c>
      <c r="L1025" s="22">
        <v>10</v>
      </c>
      <c r="M1025" s="22">
        <v>30</v>
      </c>
      <c r="N1025" s="22">
        <v>111444</v>
      </c>
      <c r="O1025" s="22" t="str">
        <f t="shared" si="526"/>
        <v>001006</v>
      </c>
      <c r="P1025" s="22">
        <f t="shared" si="527"/>
        <v>34</v>
      </c>
      <c r="Q1025" s="22"/>
      <c r="R1025" s="23" t="s">
        <v>153</v>
      </c>
      <c r="S1025" s="22">
        <f t="shared" si="528"/>
        <v>0.56999999999999995</v>
      </c>
      <c r="T1025" s="24">
        <f t="shared" si="529"/>
        <v>0</v>
      </c>
      <c r="U1025" s="25">
        <f t="shared" si="530"/>
        <v>2</v>
      </c>
      <c r="V1025" s="26" t="str">
        <f t="shared" si="531"/>
        <v/>
      </c>
    </row>
    <row r="1026" spans="1:22" ht="48" customHeight="1" x14ac:dyDescent="0.25">
      <c r="A1026" s="17" t="str">
        <f>VLOOKUP(C1026,[1]Werke!$A$1:$C$168,3,0)</f>
        <v>MU</v>
      </c>
      <c r="B1026" s="17">
        <f>VLOOKUP(C1026,[1]Werke!$A$1:$C$168,2,0)</f>
        <v>188</v>
      </c>
      <c r="C1026" s="18" t="s">
        <v>302</v>
      </c>
      <c r="D1026" s="17">
        <f>VLOOKUP(C1026,[1]Maliteslimalan!$A$1:$B$210,2,0)</f>
        <v>8000014056</v>
      </c>
      <c r="E1026" s="19">
        <v>6</v>
      </c>
      <c r="F1026" s="20" t="str">
        <f t="shared" si="522"/>
        <v>N   015 082 10</v>
      </c>
      <c r="G1026" s="21">
        <v>970723000</v>
      </c>
      <c r="H1026" s="17">
        <f t="shared" si="523"/>
        <v>3.3800000000000002E-3</v>
      </c>
      <c r="I1026" s="20"/>
      <c r="J1026" s="17">
        <f t="shared" si="524"/>
        <v>4300</v>
      </c>
      <c r="K1026" s="17">
        <f t="shared" si="525"/>
        <v>0</v>
      </c>
      <c r="L1026" s="22">
        <v>10</v>
      </c>
      <c r="M1026" s="22">
        <v>30</v>
      </c>
      <c r="N1026" s="22">
        <v>111444</v>
      </c>
      <c r="O1026" s="22" t="str">
        <f t="shared" si="526"/>
        <v>001006</v>
      </c>
      <c r="P1026" s="22">
        <f t="shared" si="527"/>
        <v>34</v>
      </c>
      <c r="Q1026" s="22"/>
      <c r="R1026" s="23" t="s">
        <v>153</v>
      </c>
      <c r="S1026" s="22">
        <f t="shared" si="528"/>
        <v>0.56999999999999995</v>
      </c>
      <c r="T1026" s="24">
        <f t="shared" si="529"/>
        <v>0</v>
      </c>
      <c r="U1026" s="25">
        <f t="shared" si="530"/>
        <v>2</v>
      </c>
      <c r="V1026" s="26" t="str">
        <f t="shared" si="531"/>
        <v/>
      </c>
    </row>
    <row r="1027" spans="1:22" ht="48" customHeight="1" x14ac:dyDescent="0.25">
      <c r="A1027" s="17" t="str">
        <f>VLOOKUP(C1027,[1]Werke!$A$1:$C$168,3,0)</f>
        <v>IM</v>
      </c>
      <c r="B1027" s="17">
        <f>VLOOKUP(C1027,[1]Werke!$A$1:$C$168,2,0)</f>
        <v>889</v>
      </c>
      <c r="C1027" s="18" t="s">
        <v>225</v>
      </c>
      <c r="D1027" s="17">
        <f>VLOOKUP(C1027,[1]Maliteslimalan!$A$1:$B$210,2,0)</f>
        <v>8000017117</v>
      </c>
      <c r="E1027" s="19">
        <v>6</v>
      </c>
      <c r="F1027" s="20" t="str">
        <f t="shared" si="522"/>
        <v>N   015 082 10</v>
      </c>
      <c r="G1027" s="21">
        <v>970723000</v>
      </c>
      <c r="H1027" s="17">
        <f t="shared" si="523"/>
        <v>3.3800000000000002E-3</v>
      </c>
      <c r="I1027" s="20"/>
      <c r="J1027" s="17">
        <f t="shared" si="524"/>
        <v>4300</v>
      </c>
      <c r="K1027" s="17">
        <f t="shared" si="525"/>
        <v>0</v>
      </c>
      <c r="L1027" s="22">
        <v>20</v>
      </c>
      <c r="M1027" s="22">
        <v>40</v>
      </c>
      <c r="N1027" s="22" t="s">
        <v>155</v>
      </c>
      <c r="O1027" s="22" t="str">
        <f t="shared" si="526"/>
        <v>001210</v>
      </c>
      <c r="P1027" s="22">
        <f t="shared" si="527"/>
        <v>55</v>
      </c>
      <c r="Q1027" s="22"/>
      <c r="R1027" s="23" t="s">
        <v>153</v>
      </c>
      <c r="S1027" s="22">
        <f t="shared" si="528"/>
        <v>0.56999999999999995</v>
      </c>
      <c r="T1027" s="24">
        <f t="shared" si="529"/>
        <v>0</v>
      </c>
      <c r="U1027" s="25">
        <f t="shared" si="530"/>
        <v>2</v>
      </c>
      <c r="V1027" s="26" t="str">
        <f t="shared" si="531"/>
        <v/>
      </c>
    </row>
    <row r="1028" spans="1:22" ht="48" customHeight="1" x14ac:dyDescent="0.25">
      <c r="A1028" s="17" t="str">
        <f>VLOOKUP(C1028,[1]Werke!$A$1:$C$168,3,0)</f>
        <v>16D</v>
      </c>
      <c r="B1028" s="17">
        <f>VLOOKUP(C1028,[1]Werke!$A$1:$C$168,2,0)</f>
        <v>210</v>
      </c>
      <c r="C1028" s="18" t="s">
        <v>284</v>
      </c>
      <c r="D1028" s="17" t="str">
        <f>VLOOKUP(C1028,[1]Maliteslimalan!$A$1:$B$210,2,0)</f>
        <v>8000012598</v>
      </c>
      <c r="E1028" s="19">
        <f>VLOOKUP(C1028,[1]Bestellnr.!$A$1:$B$174,2,0)</f>
        <v>0</v>
      </c>
      <c r="F1028" s="20" t="str">
        <f t="shared" si="522"/>
        <v>N   015 082 10</v>
      </c>
      <c r="G1028" s="21">
        <v>970723000</v>
      </c>
      <c r="H1028" s="17">
        <f t="shared" si="523"/>
        <v>3.3800000000000002E-3</v>
      </c>
      <c r="I1028" s="20"/>
      <c r="J1028" s="17">
        <f t="shared" si="524"/>
        <v>4300</v>
      </c>
      <c r="K1028" s="17">
        <f t="shared" si="525"/>
        <v>0</v>
      </c>
      <c r="L1028" s="22">
        <v>10</v>
      </c>
      <c r="M1028" s="22">
        <v>30</v>
      </c>
      <c r="N1028" s="22">
        <v>111444</v>
      </c>
      <c r="O1028" s="22" t="str">
        <f t="shared" si="526"/>
        <v>001006</v>
      </c>
      <c r="P1028" s="22">
        <f t="shared" si="527"/>
        <v>34</v>
      </c>
      <c r="Q1028" s="22"/>
      <c r="R1028" s="23" t="s">
        <v>153</v>
      </c>
      <c r="S1028" s="22">
        <f t="shared" si="528"/>
        <v>0.56999999999999995</v>
      </c>
      <c r="T1028" s="24">
        <f t="shared" si="529"/>
        <v>0</v>
      </c>
      <c r="U1028" s="25">
        <f t="shared" si="530"/>
        <v>2</v>
      </c>
      <c r="V1028" s="26" t="str">
        <f t="shared" si="531"/>
        <v/>
      </c>
    </row>
    <row r="1029" spans="1:22" ht="48" customHeight="1" x14ac:dyDescent="0.25">
      <c r="A1029" s="17">
        <f>VLOOKUP(C1029,[1]Werke!$A$1:$C$168,3,0)</f>
        <v>11</v>
      </c>
      <c r="B1029" s="17" t="str">
        <f>VLOOKUP(C1029,[1]Werke!$A$1:$C$168,2,0)</f>
        <v>AKL</v>
      </c>
      <c r="C1029" s="18" t="s">
        <v>227</v>
      </c>
      <c r="D1029" s="17" t="str">
        <f>VLOOKUP(C1029,[1]Maliteslimalan!$A$1:$B$210,2,0)</f>
        <v>8000012570</v>
      </c>
      <c r="E1029" s="19" t="str">
        <f>VLOOKUP(C1029,[1]Bestellnr.!$A$1:$B$174,2,0)</f>
        <v>000006</v>
      </c>
      <c r="F1029" s="20" t="str">
        <f t="shared" si="522"/>
        <v>N   015 082 10</v>
      </c>
      <c r="G1029" s="21">
        <v>970723000</v>
      </c>
      <c r="H1029" s="17">
        <f t="shared" si="523"/>
        <v>3.3800000000000002E-3</v>
      </c>
      <c r="I1029" s="20"/>
      <c r="J1029" s="17">
        <f t="shared" si="524"/>
        <v>4300</v>
      </c>
      <c r="K1029" s="17">
        <f t="shared" si="525"/>
        <v>0</v>
      </c>
      <c r="L1029" s="22">
        <v>20</v>
      </c>
      <c r="M1029" s="22">
        <v>40</v>
      </c>
      <c r="N1029" s="22" t="s">
        <v>155</v>
      </c>
      <c r="O1029" s="22" t="str">
        <f t="shared" si="526"/>
        <v>001210</v>
      </c>
      <c r="P1029" s="22">
        <f t="shared" si="527"/>
        <v>55</v>
      </c>
      <c r="Q1029" s="22"/>
      <c r="R1029" s="23" t="s">
        <v>153</v>
      </c>
      <c r="S1029" s="22">
        <f t="shared" si="528"/>
        <v>0.56999999999999995</v>
      </c>
      <c r="T1029" s="24">
        <f t="shared" si="529"/>
        <v>0</v>
      </c>
      <c r="U1029" s="25">
        <f t="shared" si="530"/>
        <v>2</v>
      </c>
      <c r="V1029" s="26" t="str">
        <f t="shared" si="531"/>
        <v/>
      </c>
    </row>
    <row r="1030" spans="1:22" ht="48" customHeight="1" x14ac:dyDescent="0.25">
      <c r="A1030" s="17">
        <f>VLOOKUP(C1030,[1]Werke!$A$1:$C$168,3,0)</f>
        <v>12</v>
      </c>
      <c r="B1030" s="17" t="str">
        <f>VLOOKUP(C1030,[1]Werke!$A$1:$C$168,2,0)</f>
        <v>AKL</v>
      </c>
      <c r="C1030" s="18" t="s">
        <v>228</v>
      </c>
      <c r="D1030" s="17" t="str">
        <f>VLOOKUP(C1030,[1]Maliteslimalan!$A$1:$B$210,2,0)</f>
        <v>8000012700</v>
      </c>
      <c r="E1030" s="19" t="str">
        <f>VLOOKUP(C1030,[1]Bestellnr.!$A$1:$B$174,2,0)</f>
        <v>000006</v>
      </c>
      <c r="F1030" s="20" t="str">
        <f t="shared" si="522"/>
        <v>N   015 082 10</v>
      </c>
      <c r="G1030" s="21">
        <v>970723000</v>
      </c>
      <c r="H1030" s="17">
        <f t="shared" si="523"/>
        <v>3.3800000000000002E-3</v>
      </c>
      <c r="I1030" s="20"/>
      <c r="J1030" s="17">
        <f t="shared" si="524"/>
        <v>4300</v>
      </c>
      <c r="K1030" s="17">
        <f t="shared" si="525"/>
        <v>0</v>
      </c>
      <c r="L1030" s="22">
        <v>10</v>
      </c>
      <c r="M1030" s="22">
        <v>20</v>
      </c>
      <c r="N1030" s="22">
        <v>111444</v>
      </c>
      <c r="O1030" s="22" t="str">
        <f t="shared" si="526"/>
        <v>001006</v>
      </c>
      <c r="P1030" s="22">
        <f t="shared" si="527"/>
        <v>34</v>
      </c>
      <c r="Q1030" s="22"/>
      <c r="R1030" s="23" t="s">
        <v>153</v>
      </c>
      <c r="S1030" s="22">
        <f t="shared" si="528"/>
        <v>0.56999999999999995</v>
      </c>
      <c r="T1030" s="24">
        <f t="shared" si="529"/>
        <v>0</v>
      </c>
      <c r="U1030" s="25">
        <f t="shared" si="530"/>
        <v>2</v>
      </c>
      <c r="V1030" s="26" t="str">
        <f t="shared" si="531"/>
        <v/>
      </c>
    </row>
    <row r="1031" spans="1:22" ht="48" customHeight="1" x14ac:dyDescent="0.25">
      <c r="A1031" s="17">
        <f>VLOOKUP(C1031,[1]Werke!$A$1:$C$168,3,0)</f>
        <v>28</v>
      </c>
      <c r="B1031" s="17" t="str">
        <f>VLOOKUP(C1031,[1]Werke!$A$1:$C$168,2,0)</f>
        <v>S1</v>
      </c>
      <c r="C1031" s="18" t="s">
        <v>329</v>
      </c>
      <c r="D1031" s="17" t="str">
        <f>VLOOKUP(C1031,[1]Maliteslimalan!$A$1:$B$210,2,0)</f>
        <v>8000012585</v>
      </c>
      <c r="E1031" s="19" t="str">
        <f>VLOOKUP(C1031,[1]Bestellnr.!$A$1:$B$174,2,0)</f>
        <v>000006</v>
      </c>
      <c r="F1031" s="20" t="str">
        <f t="shared" si="522"/>
        <v>N   015 082 10</v>
      </c>
      <c r="G1031" s="21">
        <v>970723000</v>
      </c>
      <c r="H1031" s="17">
        <f t="shared" si="523"/>
        <v>3.3800000000000002E-3</v>
      </c>
      <c r="I1031" s="20"/>
      <c r="J1031" s="17">
        <f t="shared" si="524"/>
        <v>4300</v>
      </c>
      <c r="K1031" s="17">
        <f t="shared" si="525"/>
        <v>0</v>
      </c>
      <c r="L1031" s="22">
        <v>20</v>
      </c>
      <c r="M1031" s="22">
        <v>20</v>
      </c>
      <c r="N1031" s="22" t="s">
        <v>155</v>
      </c>
      <c r="O1031" s="22" t="str">
        <f t="shared" si="526"/>
        <v>001210</v>
      </c>
      <c r="P1031" s="22">
        <f t="shared" si="527"/>
        <v>55</v>
      </c>
      <c r="Q1031" s="22"/>
      <c r="R1031" s="23" t="s">
        <v>153</v>
      </c>
      <c r="S1031" s="22">
        <f t="shared" si="528"/>
        <v>0.56999999999999995</v>
      </c>
      <c r="T1031" s="24">
        <f t="shared" si="529"/>
        <v>0</v>
      </c>
      <c r="U1031" s="25">
        <f t="shared" si="530"/>
        <v>2</v>
      </c>
      <c r="V1031" s="26" t="str">
        <f t="shared" si="531"/>
        <v/>
      </c>
    </row>
    <row r="1032" spans="1:22" ht="48" customHeight="1" x14ac:dyDescent="0.25">
      <c r="A1032" s="17">
        <f>VLOOKUP(C1032,[1]Werke!$A$1:$C$168,3,0)</f>
        <v>22</v>
      </c>
      <c r="B1032" s="17" t="str">
        <f>VLOOKUP(C1032,[1]Werke!$A$1:$C$168,2,0)</f>
        <v>13P</v>
      </c>
      <c r="C1032" s="18" t="s">
        <v>230</v>
      </c>
      <c r="D1032" s="17" t="str">
        <f>VLOOKUP(C1032,[1]Maliteslimalan!$A$1:$B$210,2,0)</f>
        <v>8000013344</v>
      </c>
      <c r="E1032" s="19" t="str">
        <f>VLOOKUP(C1032,[1]Bestellnr.!$A$1:$B$174,2,0)</f>
        <v>000006</v>
      </c>
      <c r="F1032" s="20" t="str">
        <f t="shared" si="522"/>
        <v>N   015 082 10</v>
      </c>
      <c r="G1032" s="21">
        <v>970723000</v>
      </c>
      <c r="H1032" s="17">
        <f t="shared" si="523"/>
        <v>3.3800000000000002E-3</v>
      </c>
      <c r="I1032" s="20"/>
      <c r="J1032" s="17">
        <f t="shared" si="524"/>
        <v>4300</v>
      </c>
      <c r="K1032" s="17">
        <f t="shared" si="525"/>
        <v>0</v>
      </c>
      <c r="L1032" s="22">
        <v>10</v>
      </c>
      <c r="M1032" s="22">
        <v>30</v>
      </c>
      <c r="N1032" s="22">
        <v>111444</v>
      </c>
      <c r="O1032" s="22" t="str">
        <f t="shared" si="526"/>
        <v>001006</v>
      </c>
      <c r="P1032" s="22">
        <f t="shared" si="527"/>
        <v>34</v>
      </c>
      <c r="Q1032" s="22"/>
      <c r="R1032" s="23" t="s">
        <v>153</v>
      </c>
      <c r="S1032" s="22">
        <f t="shared" si="528"/>
        <v>0.56999999999999995</v>
      </c>
      <c r="T1032" s="24">
        <f t="shared" si="529"/>
        <v>0</v>
      </c>
      <c r="U1032" s="25">
        <f t="shared" si="530"/>
        <v>2</v>
      </c>
      <c r="V1032" s="26" t="str">
        <f t="shared" si="531"/>
        <v/>
      </c>
    </row>
    <row r="1033" spans="1:22" ht="48" customHeight="1" x14ac:dyDescent="0.25">
      <c r="A1033" s="17">
        <f>VLOOKUP(C1033,[1]Werke!$A$1:$C$168,3,0)</f>
        <v>37</v>
      </c>
      <c r="B1033" s="17" t="str">
        <f>VLOOKUP(C1033,[1]Werke!$A$1:$C$168,2,0)</f>
        <v>AKL</v>
      </c>
      <c r="C1033" s="18" t="s">
        <v>232</v>
      </c>
      <c r="D1033" s="17" t="str">
        <f>VLOOKUP(C1033,[1]Maliteslimalan!$A$1:$B$210,2,0)</f>
        <v>8000012562</v>
      </c>
      <c r="E1033" s="19" t="str">
        <f>VLOOKUP(C1033,[1]Bestellnr.!$A$1:$B$174,2,0)</f>
        <v>000006</v>
      </c>
      <c r="F1033" s="20" t="str">
        <f t="shared" si="522"/>
        <v>N   015 082 10</v>
      </c>
      <c r="G1033" s="21">
        <v>970723000</v>
      </c>
      <c r="H1033" s="17">
        <f t="shared" si="523"/>
        <v>3.3800000000000002E-3</v>
      </c>
      <c r="I1033" s="20"/>
      <c r="J1033" s="17">
        <f t="shared" si="524"/>
        <v>4300</v>
      </c>
      <c r="K1033" s="17">
        <f t="shared" si="525"/>
        <v>0</v>
      </c>
      <c r="L1033" s="22">
        <v>20</v>
      </c>
      <c r="M1033" s="22">
        <v>60</v>
      </c>
      <c r="N1033" s="22" t="s">
        <v>155</v>
      </c>
      <c r="O1033" s="22" t="str">
        <f t="shared" si="526"/>
        <v>001210</v>
      </c>
      <c r="P1033" s="22">
        <f t="shared" si="527"/>
        <v>55</v>
      </c>
      <c r="Q1033" s="22"/>
      <c r="R1033" s="23" t="s">
        <v>153</v>
      </c>
      <c r="S1033" s="22">
        <f t="shared" si="528"/>
        <v>0.56999999999999995</v>
      </c>
      <c r="T1033" s="24">
        <f t="shared" si="529"/>
        <v>0</v>
      </c>
      <c r="U1033" s="25">
        <f t="shared" si="530"/>
        <v>2</v>
      </c>
      <c r="V1033" s="26" t="str">
        <f t="shared" si="531"/>
        <v/>
      </c>
    </row>
    <row r="1034" spans="1:22" ht="48" customHeight="1" x14ac:dyDescent="0.25">
      <c r="A1034" s="17">
        <f>VLOOKUP(C1034,[1]Werke!$A$1:$C$168,3,0)</f>
        <v>40</v>
      </c>
      <c r="B1034" s="17">
        <f>VLOOKUP(C1034,[1]Werke!$A$1:$C$168,2,0)</f>
        <v>908</v>
      </c>
      <c r="C1034" s="18" t="s">
        <v>236</v>
      </c>
      <c r="D1034" s="17" t="str">
        <f>VLOOKUP(C1034,[1]Maliteslimalan!$A$1:$B$210,2,0)</f>
        <v>8000012582</v>
      </c>
      <c r="E1034" s="19" t="str">
        <f>VLOOKUP(C1034,[1]Bestellnr.!$A$1:$B$174,2,0)</f>
        <v>000001</v>
      </c>
      <c r="F1034" s="20" t="str">
        <f t="shared" si="522"/>
        <v>N   015 082 10</v>
      </c>
      <c r="G1034" s="21">
        <v>970723000</v>
      </c>
      <c r="H1034" s="17">
        <f t="shared" si="523"/>
        <v>3.3800000000000002E-3</v>
      </c>
      <c r="I1034" s="20"/>
      <c r="J1034" s="17">
        <f t="shared" si="524"/>
        <v>4300</v>
      </c>
      <c r="K1034" s="17">
        <f t="shared" si="525"/>
        <v>0</v>
      </c>
      <c r="L1034" s="22">
        <v>10</v>
      </c>
      <c r="M1034" s="22">
        <v>10</v>
      </c>
      <c r="N1034" s="22">
        <v>111444</v>
      </c>
      <c r="O1034" s="22" t="str">
        <f t="shared" si="526"/>
        <v>001006</v>
      </c>
      <c r="P1034" s="22">
        <f t="shared" si="527"/>
        <v>34</v>
      </c>
      <c r="Q1034" s="22"/>
      <c r="R1034" s="23" t="s">
        <v>153</v>
      </c>
      <c r="S1034" s="22">
        <f t="shared" si="528"/>
        <v>0.56999999999999995</v>
      </c>
      <c r="T1034" s="24">
        <f t="shared" si="529"/>
        <v>0</v>
      </c>
      <c r="U1034" s="25">
        <f t="shared" si="530"/>
        <v>2</v>
      </c>
      <c r="V1034" s="26" t="str">
        <f t="shared" si="531"/>
        <v/>
      </c>
    </row>
    <row r="1035" spans="1:22" ht="48" customHeight="1" x14ac:dyDescent="0.25">
      <c r="A1035" s="17">
        <f>VLOOKUP(C1035,[1]Werke!$A$1:$C$168,3,0)</f>
        <v>43</v>
      </c>
      <c r="B1035" s="17" t="str">
        <f>VLOOKUP(C1035,[1]Werke!$A$1:$C$168,2,0)</f>
        <v>FGK</v>
      </c>
      <c r="C1035" s="18" t="s">
        <v>292</v>
      </c>
      <c r="D1035" s="17" t="str">
        <f>VLOOKUP(C1035,[1]Maliteslimalan!$A$1:$B$210,2,0)</f>
        <v>8000012785</v>
      </c>
      <c r="E1035" s="19" t="str">
        <f>VLOOKUP(C1035,[1]Bestellnr.!$A$1:$B$174,2,0)</f>
        <v>000006</v>
      </c>
      <c r="F1035" s="20" t="str">
        <f t="shared" si="522"/>
        <v>N   015 082 10</v>
      </c>
      <c r="G1035" s="21">
        <v>970723000</v>
      </c>
      <c r="H1035" s="17">
        <f t="shared" si="523"/>
        <v>3.3800000000000002E-3</v>
      </c>
      <c r="I1035" s="20"/>
      <c r="J1035" s="17">
        <f t="shared" si="524"/>
        <v>4300</v>
      </c>
      <c r="K1035" s="17">
        <f t="shared" si="525"/>
        <v>0</v>
      </c>
      <c r="L1035" s="22">
        <v>10</v>
      </c>
      <c r="M1035" s="22">
        <v>30</v>
      </c>
      <c r="N1035" s="22">
        <v>111444</v>
      </c>
      <c r="O1035" s="22" t="str">
        <f t="shared" si="526"/>
        <v>001006</v>
      </c>
      <c r="P1035" s="22">
        <f t="shared" si="527"/>
        <v>34</v>
      </c>
      <c r="Q1035" s="22"/>
      <c r="R1035" s="23" t="s">
        <v>153</v>
      </c>
      <c r="S1035" s="22">
        <f t="shared" si="528"/>
        <v>0.56999999999999995</v>
      </c>
      <c r="T1035" s="24">
        <f t="shared" si="529"/>
        <v>0</v>
      </c>
      <c r="U1035" s="25">
        <f t="shared" si="530"/>
        <v>2</v>
      </c>
      <c r="V1035" s="26" t="str">
        <f t="shared" si="531"/>
        <v/>
      </c>
    </row>
    <row r="1036" spans="1:22" ht="48" customHeight="1" x14ac:dyDescent="0.25">
      <c r="A1036" s="17">
        <f>VLOOKUP(C1036,[1]Werke!$A$1:$C$168,3,0)</f>
        <v>15</v>
      </c>
      <c r="B1036" s="17" t="str">
        <f>VLOOKUP(C1036,[1]Werke!$A$1:$C$168,2,0)</f>
        <v>H9A</v>
      </c>
      <c r="C1036" s="18" t="s">
        <v>240</v>
      </c>
      <c r="D1036" s="17">
        <f>VLOOKUP(C1036,[1]Maliteslimalan!$A$1:$B$210,2,0)</f>
        <v>8000017580</v>
      </c>
      <c r="E1036" s="19">
        <v>6</v>
      </c>
      <c r="F1036" s="20" t="str">
        <f t="shared" si="522"/>
        <v>N   015 082 10</v>
      </c>
      <c r="G1036" s="21">
        <v>970723000</v>
      </c>
      <c r="H1036" s="17">
        <f t="shared" si="523"/>
        <v>3.3800000000000002E-3</v>
      </c>
      <c r="I1036" s="20"/>
      <c r="J1036" s="17">
        <f t="shared" si="524"/>
        <v>4300</v>
      </c>
      <c r="K1036" s="17">
        <f t="shared" si="525"/>
        <v>0</v>
      </c>
      <c r="L1036" s="22">
        <v>10</v>
      </c>
      <c r="M1036" s="22">
        <v>30</v>
      </c>
      <c r="N1036" s="22">
        <v>111444</v>
      </c>
      <c r="O1036" s="22" t="str">
        <f t="shared" si="526"/>
        <v>001006</v>
      </c>
      <c r="P1036" s="22">
        <f t="shared" si="527"/>
        <v>34</v>
      </c>
      <c r="Q1036" s="22"/>
      <c r="R1036" s="23" t="s">
        <v>153</v>
      </c>
      <c r="S1036" s="22">
        <f t="shared" si="528"/>
        <v>0.56999999999999995</v>
      </c>
      <c r="T1036" s="24">
        <f t="shared" si="529"/>
        <v>0</v>
      </c>
      <c r="U1036" s="25">
        <f t="shared" si="530"/>
        <v>2</v>
      </c>
      <c r="V1036" s="26" t="str">
        <f t="shared" si="531"/>
        <v/>
      </c>
    </row>
    <row r="1037" spans="1:22" ht="48" customHeight="1" x14ac:dyDescent="0.25">
      <c r="A1037" s="17">
        <f>VLOOKUP(C1037,[1]Werke!$A$1:$C$168,3,0)</f>
        <v>14</v>
      </c>
      <c r="B1037" s="17" t="str">
        <f>VLOOKUP(C1037,[1]Werke!$A$1:$C$168,2,0)</f>
        <v>D72</v>
      </c>
      <c r="C1037" s="18" t="s">
        <v>220</v>
      </c>
      <c r="D1037" s="17" t="str">
        <f>VLOOKUP(C1037,[1]Maliteslimalan!$A$1:$B$210,2,0)</f>
        <v>8000013493</v>
      </c>
      <c r="E1037" s="19">
        <f>VLOOKUP(C1037,[1]Bestellnr.!$A$1:$B$174,2,0)</f>
        <v>0</v>
      </c>
      <c r="F1037" s="20" t="str">
        <f t="shared" si="522"/>
        <v>N   015 082 10</v>
      </c>
      <c r="G1037" s="21">
        <v>970723000</v>
      </c>
      <c r="H1037" s="17">
        <f t="shared" si="523"/>
        <v>3.3800000000000002E-3</v>
      </c>
      <c r="I1037" s="20"/>
      <c r="J1037" s="17">
        <f t="shared" si="524"/>
        <v>4300</v>
      </c>
      <c r="K1037" s="17">
        <f t="shared" si="525"/>
        <v>0</v>
      </c>
      <c r="L1037" s="22">
        <v>10</v>
      </c>
      <c r="M1037" s="22">
        <v>30</v>
      </c>
      <c r="N1037" s="22">
        <v>111444</v>
      </c>
      <c r="O1037" s="22" t="str">
        <f t="shared" si="526"/>
        <v>001006</v>
      </c>
      <c r="P1037" s="22">
        <f t="shared" si="527"/>
        <v>34</v>
      </c>
      <c r="Q1037" s="22"/>
      <c r="R1037" s="23" t="s">
        <v>153</v>
      </c>
      <c r="S1037" s="22">
        <f t="shared" si="528"/>
        <v>0.56999999999999995</v>
      </c>
      <c r="T1037" s="24">
        <f t="shared" si="529"/>
        <v>0</v>
      </c>
      <c r="U1037" s="25">
        <f t="shared" si="530"/>
        <v>2</v>
      </c>
      <c r="V1037" s="26" t="str">
        <f t="shared" si="531"/>
        <v/>
      </c>
    </row>
    <row r="1038" spans="1:22" ht="48" customHeight="1" x14ac:dyDescent="0.25">
      <c r="A1038" s="17">
        <f>VLOOKUP(C1038,[1]Werke!$A$1:$C$168,3,0)</f>
        <v>61</v>
      </c>
      <c r="B1038" s="17" t="str">
        <f>VLOOKUP(C1038,[1]Werke!$A$1:$C$168,2,0)</f>
        <v>U3</v>
      </c>
      <c r="C1038" s="18" t="s">
        <v>330</v>
      </c>
      <c r="D1038" s="17">
        <f>VLOOKUP(C1038,[1]Maliteslimalan!$A$1:$B$210,2,0)</f>
        <v>8000016009</v>
      </c>
      <c r="E1038" s="19">
        <v>6</v>
      </c>
      <c r="F1038" s="20" t="str">
        <f t="shared" si="522"/>
        <v>N   015 082 10</v>
      </c>
      <c r="G1038" s="21">
        <v>970723000</v>
      </c>
      <c r="H1038" s="17">
        <f t="shared" si="523"/>
        <v>3.3800000000000002E-3</v>
      </c>
      <c r="I1038" s="20"/>
      <c r="J1038" s="17">
        <f t="shared" si="524"/>
        <v>4300</v>
      </c>
      <c r="K1038" s="17">
        <f t="shared" si="525"/>
        <v>0</v>
      </c>
      <c r="L1038" s="22">
        <v>10</v>
      </c>
      <c r="M1038" s="22">
        <v>10</v>
      </c>
      <c r="N1038" s="22">
        <v>111444</v>
      </c>
      <c r="O1038" s="22" t="str">
        <f t="shared" si="526"/>
        <v>001006</v>
      </c>
      <c r="P1038" s="22">
        <f t="shared" si="527"/>
        <v>34</v>
      </c>
      <c r="Q1038" s="22"/>
      <c r="R1038" s="23" t="s">
        <v>153</v>
      </c>
      <c r="S1038" s="22">
        <f t="shared" si="528"/>
        <v>0.56999999999999995</v>
      </c>
      <c r="T1038" s="24">
        <f t="shared" si="529"/>
        <v>0</v>
      </c>
      <c r="U1038" s="25">
        <f t="shared" si="530"/>
        <v>2</v>
      </c>
      <c r="V1038" s="26" t="str">
        <f t="shared" si="531"/>
        <v/>
      </c>
    </row>
    <row r="1039" spans="1:22" ht="48" customHeight="1" x14ac:dyDescent="0.25">
      <c r="A1039" s="17">
        <f>VLOOKUP(C1039,[1]Werke!$A$1:$C$168,3,0)</f>
        <v>42</v>
      </c>
      <c r="B1039" s="17" t="str">
        <f>VLOOKUP(C1039,[1]Werke!$A$1:$C$168,2,0)</f>
        <v>CC1</v>
      </c>
      <c r="C1039" s="18" t="s">
        <v>241</v>
      </c>
      <c r="D1039" s="17" t="str">
        <f>VLOOKUP(C1039,[1]Maliteslimalan!$A$1:$B$210,2,0)</f>
        <v>8000012577</v>
      </c>
      <c r="E1039" s="19" t="str">
        <f>VLOOKUP(C1039,[1]Bestellnr.!$A$1:$B$174,2,0)</f>
        <v>000001</v>
      </c>
      <c r="F1039" s="20" t="str">
        <f t="shared" si="522"/>
        <v>N   015 082 10</v>
      </c>
      <c r="G1039" s="21">
        <v>970723000</v>
      </c>
      <c r="H1039" s="17">
        <f t="shared" si="523"/>
        <v>3.3800000000000002E-3</v>
      </c>
      <c r="I1039" s="20"/>
      <c r="J1039" s="17">
        <f t="shared" si="524"/>
        <v>4300</v>
      </c>
      <c r="K1039" s="17">
        <f t="shared" si="525"/>
        <v>0</v>
      </c>
      <c r="L1039" s="22">
        <v>20</v>
      </c>
      <c r="M1039" s="22">
        <v>60</v>
      </c>
      <c r="N1039" s="22" t="s">
        <v>155</v>
      </c>
      <c r="O1039" s="22" t="str">
        <f t="shared" si="526"/>
        <v>001210</v>
      </c>
      <c r="P1039" s="22">
        <f t="shared" si="527"/>
        <v>55</v>
      </c>
      <c r="Q1039" s="22"/>
      <c r="R1039" s="23" t="s">
        <v>153</v>
      </c>
      <c r="S1039" s="22">
        <f t="shared" si="528"/>
        <v>0.56999999999999995</v>
      </c>
      <c r="T1039" s="24">
        <f t="shared" si="529"/>
        <v>0</v>
      </c>
      <c r="U1039" s="25">
        <f t="shared" si="530"/>
        <v>2</v>
      </c>
      <c r="V1039" s="26" t="str">
        <f t="shared" si="531"/>
        <v/>
      </c>
    </row>
    <row r="1040" spans="1:22" ht="48" customHeight="1" x14ac:dyDescent="0.25">
      <c r="A1040" s="17" t="e">
        <f>VLOOKUP(C1040,[1]Werke!$A$1:$C$168,3,0)</f>
        <v>#N/A</v>
      </c>
      <c r="B1040" s="17" t="e">
        <f>VLOOKUP(C1040,[1]Werke!$A$1:$C$168,2,0)</f>
        <v>#N/A</v>
      </c>
      <c r="C1040" s="18">
        <v>65542</v>
      </c>
      <c r="D1040" s="17">
        <f>VLOOKUP(C1040,[1]Maliteslimalan!$A$1:$B$210,2,0)</f>
        <v>8000017751</v>
      </c>
      <c r="E1040" s="19">
        <v>6</v>
      </c>
      <c r="F1040" s="20" t="str">
        <f t="shared" si="522"/>
        <v>N   015 082 10</v>
      </c>
      <c r="G1040" s="21">
        <v>970723000</v>
      </c>
      <c r="H1040" s="17">
        <f t="shared" si="523"/>
        <v>3.3800000000000002E-3</v>
      </c>
      <c r="I1040" s="20"/>
      <c r="J1040" s="17">
        <f t="shared" si="524"/>
        <v>4300</v>
      </c>
      <c r="K1040" s="17">
        <f t="shared" si="525"/>
        <v>0</v>
      </c>
      <c r="L1040" s="22">
        <v>20</v>
      </c>
      <c r="M1040" s="22">
        <v>60</v>
      </c>
      <c r="N1040" s="22" t="s">
        <v>155</v>
      </c>
      <c r="O1040" s="22" t="str">
        <f t="shared" si="526"/>
        <v>001210</v>
      </c>
      <c r="P1040" s="22">
        <f t="shared" si="527"/>
        <v>55</v>
      </c>
      <c r="Q1040" s="22"/>
      <c r="R1040" s="23" t="s">
        <v>153</v>
      </c>
      <c r="S1040" s="22">
        <f t="shared" si="528"/>
        <v>0.56999999999999995</v>
      </c>
      <c r="T1040" s="24">
        <f t="shared" si="529"/>
        <v>0</v>
      </c>
      <c r="U1040" s="25">
        <f t="shared" si="530"/>
        <v>2</v>
      </c>
      <c r="V1040" s="26" t="str">
        <f t="shared" si="531"/>
        <v/>
      </c>
    </row>
    <row r="1041" spans="1:22" ht="48" customHeight="1" x14ac:dyDescent="0.25">
      <c r="A1041" s="17">
        <f>VLOOKUP(C1041,[1]Werke!$A$1:$C$168,3,0)</f>
        <v>24</v>
      </c>
      <c r="B1041" s="17" t="str">
        <f>VLOOKUP(C1041,[1]Werke!$A$1:$C$168,2,0)</f>
        <v>CKS</v>
      </c>
      <c r="C1041" s="18" t="s">
        <v>245</v>
      </c>
      <c r="D1041" s="17" t="str">
        <f>VLOOKUP(C1041,[1]Maliteslimalan!$A$1:$B$210,2,0)</f>
        <v>8000012647</v>
      </c>
      <c r="E1041" s="19" t="str">
        <f>VLOOKUP(C1041,[1]Bestellnr.!$A$1:$B$174,2,0)</f>
        <v>000006</v>
      </c>
      <c r="F1041" s="20" t="str">
        <f t="shared" si="522"/>
        <v>N   015 082 10</v>
      </c>
      <c r="G1041" s="21">
        <v>970723000</v>
      </c>
      <c r="H1041" s="17">
        <f t="shared" si="523"/>
        <v>3.3800000000000002E-3</v>
      </c>
      <c r="I1041" s="20"/>
      <c r="J1041" s="17">
        <f t="shared" si="524"/>
        <v>4300</v>
      </c>
      <c r="K1041" s="17">
        <f t="shared" si="525"/>
        <v>0</v>
      </c>
      <c r="L1041" s="22">
        <v>10</v>
      </c>
      <c r="M1041" s="22">
        <v>30</v>
      </c>
      <c r="N1041" s="22">
        <v>111444</v>
      </c>
      <c r="O1041" s="22" t="str">
        <f t="shared" si="526"/>
        <v>001006</v>
      </c>
      <c r="P1041" s="22">
        <f t="shared" si="527"/>
        <v>34</v>
      </c>
      <c r="Q1041" s="22"/>
      <c r="R1041" s="23" t="s">
        <v>153</v>
      </c>
      <c r="S1041" s="22">
        <f t="shared" si="528"/>
        <v>0.56999999999999995</v>
      </c>
      <c r="T1041" s="24">
        <f t="shared" si="529"/>
        <v>0</v>
      </c>
      <c r="U1041" s="25">
        <f t="shared" si="530"/>
        <v>2</v>
      </c>
      <c r="V1041" s="26" t="str">
        <f t="shared" si="531"/>
        <v/>
      </c>
    </row>
    <row r="1042" spans="1:22" ht="48" customHeight="1" x14ac:dyDescent="0.25">
      <c r="A1042" s="17">
        <f>VLOOKUP(C1042,[1]Werke!$A$1:$C$168,3,0)</f>
        <v>15</v>
      </c>
      <c r="B1042" s="17" t="str">
        <f>VLOOKUP(C1042,[1]Werke!$A$1:$C$168,2,0)</f>
        <v>H9A</v>
      </c>
      <c r="C1042" s="18" t="s">
        <v>331</v>
      </c>
      <c r="D1042" s="17">
        <f>VLOOKUP(C1042,[1]Maliteslimalan!$A$1:$B$210,2,0)</f>
        <v>8000015367</v>
      </c>
      <c r="E1042" s="19">
        <v>6</v>
      </c>
      <c r="F1042" s="20" t="str">
        <f t="shared" si="522"/>
        <v>N   015 082 10</v>
      </c>
      <c r="G1042" s="21">
        <v>970723000</v>
      </c>
      <c r="H1042" s="17">
        <f t="shared" si="523"/>
        <v>3.3800000000000002E-3</v>
      </c>
      <c r="I1042" s="20"/>
      <c r="J1042" s="17">
        <f t="shared" si="524"/>
        <v>4300</v>
      </c>
      <c r="K1042" s="17">
        <f t="shared" si="525"/>
        <v>0</v>
      </c>
      <c r="L1042" s="22">
        <v>10</v>
      </c>
      <c r="M1042" s="22">
        <v>30</v>
      </c>
      <c r="N1042" s="22">
        <v>111444</v>
      </c>
      <c r="O1042" s="22" t="str">
        <f t="shared" si="526"/>
        <v>001006</v>
      </c>
      <c r="P1042" s="22">
        <f t="shared" si="527"/>
        <v>34</v>
      </c>
      <c r="Q1042" s="22"/>
      <c r="R1042" s="23" t="s">
        <v>153</v>
      </c>
      <c r="S1042" s="22">
        <f t="shared" si="528"/>
        <v>0.56999999999999995</v>
      </c>
      <c r="T1042" s="24">
        <f t="shared" si="529"/>
        <v>0</v>
      </c>
      <c r="U1042" s="25">
        <f t="shared" si="530"/>
        <v>2</v>
      </c>
      <c r="V1042" s="26" t="str">
        <f t="shared" si="531"/>
        <v/>
      </c>
    </row>
    <row r="1043" spans="1:22" ht="48" customHeight="1" x14ac:dyDescent="0.25">
      <c r="A1043" s="17">
        <f>VLOOKUP(C1043,[1]Werke!$A$1:$C$168,3,0)</f>
        <v>15</v>
      </c>
      <c r="B1043" s="17" t="str">
        <f>VLOOKUP(C1043,[1]Werke!$A$1:$C$168,2,0)</f>
        <v>H16</v>
      </c>
      <c r="C1043" s="18">
        <v>50156</v>
      </c>
      <c r="D1043" s="17">
        <v>8000012681</v>
      </c>
      <c r="E1043" s="19">
        <v>6</v>
      </c>
      <c r="F1043" s="20" t="str">
        <f t="shared" si="522"/>
        <v>N   015 082 10</v>
      </c>
      <c r="G1043" s="21">
        <v>970723000</v>
      </c>
      <c r="H1043" s="17">
        <f t="shared" si="523"/>
        <v>3.3800000000000002E-3</v>
      </c>
      <c r="I1043" s="20"/>
      <c r="J1043" s="17">
        <f t="shared" si="524"/>
        <v>4300</v>
      </c>
      <c r="K1043" s="17">
        <f t="shared" si="525"/>
        <v>0</v>
      </c>
      <c r="L1043" s="22">
        <v>10</v>
      </c>
      <c r="M1043" s="22">
        <v>30</v>
      </c>
      <c r="N1043" s="22">
        <v>111444</v>
      </c>
      <c r="O1043" s="22" t="str">
        <f t="shared" si="526"/>
        <v>001006</v>
      </c>
      <c r="P1043" s="22">
        <f t="shared" si="527"/>
        <v>34</v>
      </c>
      <c r="Q1043" s="22"/>
      <c r="R1043" s="23" t="s">
        <v>153</v>
      </c>
      <c r="S1043" s="22">
        <f t="shared" si="528"/>
        <v>0.56999999999999995</v>
      </c>
      <c r="T1043" s="24">
        <f t="shared" si="529"/>
        <v>0</v>
      </c>
      <c r="U1043" s="25">
        <f t="shared" si="530"/>
        <v>2</v>
      </c>
      <c r="V1043" s="26" t="str">
        <f t="shared" si="531"/>
        <v/>
      </c>
    </row>
    <row r="1044" spans="1:22" ht="48" customHeight="1" x14ac:dyDescent="0.25">
      <c r="A1044" s="17" t="e">
        <f>VLOOKUP(C1044,[1]Werke!$A$1:$C$168,3,0)</f>
        <v>#N/A</v>
      </c>
      <c r="B1044" s="17" t="e">
        <f>VLOOKUP(C1044,[1]Werke!$A$1:$C$168,2,0)</f>
        <v>#N/A</v>
      </c>
      <c r="C1044" s="18" t="s">
        <v>332</v>
      </c>
      <c r="D1044" s="17" t="str">
        <f>VLOOKUP(C1044,[1]Maliteslimalan!$A$1:$B$210,2,0)</f>
        <v>8000014342</v>
      </c>
      <c r="E1044" s="19" t="str">
        <f>VLOOKUP(C1044,[1]Bestellnr.!$A$1:$B$174,2,0)</f>
        <v>000006</v>
      </c>
      <c r="F1044" s="20" t="str">
        <f t="shared" si="522"/>
        <v>N   015 082 10</v>
      </c>
      <c r="G1044" s="21">
        <v>970723000</v>
      </c>
      <c r="H1044" s="17">
        <f t="shared" si="523"/>
        <v>3.3800000000000002E-3</v>
      </c>
      <c r="I1044" s="20"/>
      <c r="J1044" s="17">
        <f t="shared" si="524"/>
        <v>4300</v>
      </c>
      <c r="K1044" s="17">
        <f t="shared" si="525"/>
        <v>0</v>
      </c>
      <c r="L1044" s="22">
        <v>10</v>
      </c>
      <c r="M1044" s="22">
        <v>30</v>
      </c>
      <c r="N1044" s="22">
        <v>111444</v>
      </c>
      <c r="O1044" s="22" t="str">
        <f t="shared" si="526"/>
        <v>001006</v>
      </c>
      <c r="P1044" s="22">
        <f t="shared" si="527"/>
        <v>34</v>
      </c>
      <c r="Q1044" s="22"/>
      <c r="R1044" s="23" t="s">
        <v>153</v>
      </c>
      <c r="S1044" s="22">
        <f t="shared" si="528"/>
        <v>0.56999999999999995</v>
      </c>
      <c r="T1044" s="24">
        <f t="shared" si="529"/>
        <v>0</v>
      </c>
      <c r="U1044" s="25">
        <f t="shared" si="530"/>
        <v>2</v>
      </c>
      <c r="V1044" s="26" t="str">
        <f t="shared" si="531"/>
        <v/>
      </c>
    </row>
    <row r="1045" spans="1:22" ht="48" customHeight="1" x14ac:dyDescent="0.25">
      <c r="A1045" s="17">
        <f>VLOOKUP(C1045,[1]Werke!$A$1:$C$168,3,0)</f>
        <v>88</v>
      </c>
      <c r="B1045" s="17" t="str">
        <f>VLOOKUP(C1045,[1]Werke!$A$1:$C$168,2,0)</f>
        <v>02</v>
      </c>
      <c r="C1045" s="20" t="s">
        <v>167</v>
      </c>
      <c r="D1045" s="17" t="str">
        <f>VLOOKUP(C1045,[1]Maliteslimalan!$A$1:$B$210,2,0)</f>
        <v>8000012643</v>
      </c>
      <c r="E1045" s="19" t="str">
        <f>VLOOKUP(C1045,[1]Bestellnr.!$A$1:$B$174,2,0)</f>
        <v>000088</v>
      </c>
      <c r="F1045" s="20" t="str">
        <f t="shared" si="522"/>
        <v>N   015 082 10</v>
      </c>
      <c r="G1045" s="21">
        <v>970723000</v>
      </c>
      <c r="H1045" s="17">
        <f t="shared" si="523"/>
        <v>3.3800000000000002E-3</v>
      </c>
      <c r="I1045" s="20"/>
      <c r="J1045" s="17">
        <f t="shared" si="524"/>
        <v>4300</v>
      </c>
      <c r="K1045" s="17">
        <f t="shared" si="525"/>
        <v>0</v>
      </c>
      <c r="L1045" s="22">
        <v>10</v>
      </c>
      <c r="M1045" s="22">
        <v>30</v>
      </c>
      <c r="N1045" s="22">
        <v>111444</v>
      </c>
      <c r="O1045" s="22" t="str">
        <f t="shared" si="526"/>
        <v>001006</v>
      </c>
      <c r="P1045" s="22">
        <f t="shared" si="527"/>
        <v>34</v>
      </c>
      <c r="Q1045" s="22"/>
      <c r="R1045" s="23" t="s">
        <v>153</v>
      </c>
      <c r="S1045" s="22">
        <f t="shared" si="528"/>
        <v>0.56999999999999995</v>
      </c>
      <c r="T1045" s="24">
        <f t="shared" si="529"/>
        <v>0</v>
      </c>
      <c r="U1045" s="25">
        <f t="shared" si="530"/>
        <v>2</v>
      </c>
      <c r="V1045" s="26" t="str">
        <f t="shared" si="531"/>
        <v/>
      </c>
    </row>
    <row r="1046" spans="1:22" ht="48" customHeight="1" x14ac:dyDescent="0.25">
      <c r="A1046" s="17"/>
      <c r="B1046" s="17"/>
      <c r="C1046" s="18"/>
      <c r="D1046" s="17"/>
      <c r="E1046" s="19"/>
      <c r="F1046" s="20"/>
      <c r="G1046" s="21"/>
      <c r="H1046" s="17"/>
      <c r="I1046" s="20"/>
      <c r="J1046" s="17"/>
      <c r="K1046" s="17"/>
      <c r="L1046" s="22"/>
      <c r="M1046" s="22"/>
      <c r="N1046" s="22"/>
      <c r="O1046" s="22"/>
      <c r="P1046" s="22"/>
      <c r="Q1046" s="22"/>
      <c r="R1046" s="23"/>
      <c r="S1046" s="22"/>
      <c r="T1046" s="24"/>
      <c r="U1046" s="25"/>
    </row>
    <row r="1047" spans="1:22" ht="48" customHeight="1" x14ac:dyDescent="0.25">
      <c r="A1047" s="17"/>
      <c r="B1047" s="17"/>
      <c r="C1047" s="18"/>
      <c r="D1047" s="17"/>
      <c r="E1047" s="19"/>
      <c r="F1047" s="20"/>
      <c r="G1047" s="21"/>
      <c r="H1047" s="17"/>
      <c r="I1047" s="20"/>
      <c r="J1047" s="17"/>
      <c r="K1047" s="17"/>
      <c r="L1047" s="22"/>
      <c r="M1047" s="22"/>
      <c r="N1047" s="22"/>
      <c r="O1047" s="22"/>
      <c r="P1047" s="22"/>
      <c r="Q1047" s="22"/>
      <c r="R1047" s="23"/>
      <c r="S1047" s="22"/>
      <c r="T1047" s="24"/>
      <c r="U1047" s="25"/>
    </row>
    <row r="1048" spans="1:22" ht="48" customHeight="1" x14ac:dyDescent="0.25">
      <c r="A1048" s="17"/>
      <c r="B1048" s="17"/>
      <c r="C1048" s="18"/>
      <c r="D1048" s="17"/>
      <c r="E1048" s="19"/>
      <c r="F1048" s="20"/>
      <c r="G1048" s="21"/>
      <c r="H1048" s="17"/>
      <c r="I1048" s="20"/>
      <c r="J1048" s="17"/>
      <c r="K1048" s="17"/>
      <c r="L1048" s="22"/>
      <c r="M1048" s="22"/>
      <c r="N1048" s="22"/>
      <c r="O1048" s="22"/>
      <c r="P1048" s="22"/>
      <c r="Q1048" s="22"/>
      <c r="R1048" s="23"/>
      <c r="S1048" s="22"/>
      <c r="T1048" s="24"/>
      <c r="U1048" s="25"/>
    </row>
    <row r="1049" spans="1:22" ht="48" customHeight="1" x14ac:dyDescent="0.25">
      <c r="A1049" s="17" t="str">
        <f>VLOOKUP(C1049,[1]Werke!$A$1:$C$168,3,0)</f>
        <v>3U</v>
      </c>
      <c r="B1049" s="17" t="str">
        <f>VLOOKUP(C1049,[1]Werke!$A$1:$C$168,2,0)</f>
        <v>BZ2</v>
      </c>
      <c r="C1049" s="18" t="s">
        <v>235</v>
      </c>
      <c r="D1049" s="17" t="str">
        <f>VLOOKUP(C1049,[1]Maliteslimalan!$A$1:$B$210,2,0)</f>
        <v>8000012860</v>
      </c>
      <c r="E1049" s="19" t="str">
        <f>VLOOKUP(C1049,[1]Bestellnr.!$A$1:$B$174,2,0)</f>
        <v>000055</v>
      </c>
      <c r="F1049" s="20" t="str">
        <f>VLOOKUP(G1049,$U$1:$V$1730,2,0)</f>
        <v>N   912 282 01</v>
      </c>
      <c r="G1049" s="21">
        <v>932125000</v>
      </c>
      <c r="H1049" s="17">
        <f>VLOOKUP(G1049,Z$2:AA$1905,2,FALSE)</f>
        <v>1.9730000000000001E-2</v>
      </c>
      <c r="I1049" s="20"/>
      <c r="J1049" s="17">
        <f>VLOOKUP(G1049,W$2:X$1905,2,FALSE)</f>
        <v>500</v>
      </c>
      <c r="K1049" s="17">
        <f>I1049/J1049</f>
        <v>0</v>
      </c>
      <c r="L1049" s="22">
        <v>10</v>
      </c>
      <c r="M1049" s="22">
        <v>30</v>
      </c>
      <c r="N1049" s="22">
        <v>111444</v>
      </c>
      <c r="O1049" s="22" t="str">
        <f>VLOOKUP(N1049,$AL$1285:$AM$1310,2,FALSE)</f>
        <v>001006</v>
      </c>
      <c r="P1049" s="22">
        <f>VLOOKUP(N1049,AC$2:AD$1905,2,FALSE)</f>
        <v>34</v>
      </c>
      <c r="Q1049" s="22"/>
      <c r="R1049" s="23" t="s">
        <v>153</v>
      </c>
      <c r="S1049" s="22">
        <f>VLOOKUP(R1049,AC$2:AD$1905,2,FALSE)</f>
        <v>0.56999999999999995</v>
      </c>
      <c r="T1049" s="24">
        <f>(H1049*I1049)+P1049*Q1049+S1049*K1049</f>
        <v>0</v>
      </c>
      <c r="U1049" s="25">
        <f>IF(TRIM(N1049&amp;"")="111444",
    IF(ROUNDUP(MAX(0,K1049-(MAX(1,Q1049)-1)*10)/10,0)=1,3,2),
    IF(TRIM(N1049&amp;"")="VWPAL",
        IF(TRIM(R1049&amp;"")="004147",1,2),
        ""
    )
)</f>
        <v>2</v>
      </c>
      <c r="V1049" s="26" t="str">
        <f>IF(OR(TRIM(N1049&amp;"")="111444",TRIM(N1049&amp;"")="VWPAL"),
    IF(K1049&lt;=0,"",
        IF(
            MIN(3,ROUNDUP(MAX(0,K1049-(MAX(1,Q1049)-1)*IF(TRIM(N1049&amp;"")="111444",10,20))/IF(TRIM(N1049&amp;"")="111444",10,20),0))=1,
            300,
            IF(
                MIN(3,ROUNDUP(MAX(0,K1049-(MAX(1,Q1049)-1)*IF(TRIM(N1049&amp;"")="111444",10,20))/IF(TRIM(N1049&amp;"")="111444",10,20),0))=2,
                450,
                600
            )
        )
    ),
    ""
)</f>
        <v/>
      </c>
    </row>
    <row r="1050" spans="1:22" ht="48" customHeight="1" x14ac:dyDescent="0.25">
      <c r="A1050" s="17">
        <f>VLOOKUP(C1050,[1]Werke!$A$1:$C$168,3,0)</f>
        <v>37</v>
      </c>
      <c r="B1050" s="17" t="str">
        <f>VLOOKUP(C1050,[1]Werke!$A$1:$C$168,2,0)</f>
        <v>AKL</v>
      </c>
      <c r="C1050" s="18" t="s">
        <v>232</v>
      </c>
      <c r="D1050" s="17" t="str">
        <f>VLOOKUP(C1050,[1]Maliteslimalan!$A$1:$B$210,2,0)</f>
        <v>8000012562</v>
      </c>
      <c r="E1050" s="19" t="str">
        <f>VLOOKUP(C1050,[1]Bestellnr.!$A$1:$B$174,2,0)</f>
        <v>000006</v>
      </c>
      <c r="F1050" s="20" t="str">
        <f>VLOOKUP(G1050,$U$1:$V$1730,2,0)</f>
        <v>N   912 282 01</v>
      </c>
      <c r="G1050" s="21">
        <v>932125000</v>
      </c>
      <c r="H1050" s="17">
        <f>VLOOKUP(G1050,Z$2:AA$1905,2,FALSE)</f>
        <v>1.9730000000000001E-2</v>
      </c>
      <c r="I1050" s="20"/>
      <c r="J1050" s="17">
        <f>VLOOKUP(G1050,W$2:X$1905,2,FALSE)</f>
        <v>500</v>
      </c>
      <c r="K1050" s="17">
        <f>I1050/J1050</f>
        <v>0</v>
      </c>
      <c r="L1050" s="22">
        <v>10</v>
      </c>
      <c r="M1050" s="22">
        <v>30</v>
      </c>
      <c r="N1050" s="22">
        <v>111444</v>
      </c>
      <c r="O1050" s="22" t="str">
        <f>VLOOKUP(N1050,$AL$1285:$AM$1310,2,FALSE)</f>
        <v>001006</v>
      </c>
      <c r="P1050" s="22">
        <f>VLOOKUP(N1050,AC$2:AD$1905,2,FALSE)</f>
        <v>34</v>
      </c>
      <c r="Q1050" s="22"/>
      <c r="R1050" s="23" t="s">
        <v>153</v>
      </c>
      <c r="S1050" s="22">
        <f>VLOOKUP(R1050,AC$2:AD$1905,2,FALSE)</f>
        <v>0.56999999999999995</v>
      </c>
      <c r="T1050" s="24">
        <f>(H1050*I1050)+P1050*Q1050+S1050*K1050</f>
        <v>0</v>
      </c>
      <c r="U1050" s="25">
        <f>IF(TRIM(N1050&amp;"")="111444",
    IF(ROUNDUP(MAX(0,K1050-(MAX(1,Q1050)-1)*10)/10,0)=1,3,2),
    IF(TRIM(N1050&amp;"")="VWPAL",
        IF(TRIM(R1050&amp;"")="004147",1,2),
        ""
    )
)</f>
        <v>2</v>
      </c>
      <c r="V1050" s="26" t="str">
        <f>IF(OR(TRIM(N1050&amp;"")="111444",TRIM(N1050&amp;"")="VWPAL"),
    IF(K1050&lt;=0,"",
        IF(
            MIN(3,ROUNDUP(MAX(0,K1050-(MAX(1,Q1050)-1)*IF(TRIM(N1050&amp;"")="111444",10,20))/IF(TRIM(N1050&amp;"")="111444",10,20),0))=1,
            300,
            IF(
                MIN(3,ROUNDUP(MAX(0,K1050-(MAX(1,Q1050)-1)*IF(TRIM(N1050&amp;"")="111444",10,20))/IF(TRIM(N1050&amp;"")="111444",10,20),0))=2,
                450,
                600
            )
        )
    ),
    ""
)</f>
        <v/>
      </c>
    </row>
    <row r="1051" spans="1:22" ht="48" customHeight="1" x14ac:dyDescent="0.25">
      <c r="A1051" s="17">
        <f>VLOOKUP(C1051,[1]Werke!$A$1:$C$168,3,0)</f>
        <v>24</v>
      </c>
      <c r="B1051" s="17" t="str">
        <f>VLOOKUP(C1051,[1]Werke!$A$1:$C$168,2,0)</f>
        <v>CKH</v>
      </c>
      <c r="C1051" s="18" t="s">
        <v>224</v>
      </c>
      <c r="D1051" s="17">
        <f>VLOOKUP(C1051,[1]Maliteslimalan!$A$1:$B$210,2,0)</f>
        <v>8000013551</v>
      </c>
      <c r="E1051" s="19">
        <v>6</v>
      </c>
      <c r="F1051" s="20" t="str">
        <f>VLOOKUP(G1051,$U$1:$V$1730,2,0)</f>
        <v>N   912 282 01</v>
      </c>
      <c r="G1051" s="21">
        <v>932125000</v>
      </c>
      <c r="H1051" s="17">
        <f>VLOOKUP(G1051,Z$2:AA$1905,2,FALSE)</f>
        <v>1.9730000000000001E-2</v>
      </c>
      <c r="I1051" s="20"/>
      <c r="J1051" s="17">
        <f>VLOOKUP(G1051,W$2:X$1905,2,FALSE)</f>
        <v>500</v>
      </c>
      <c r="K1051" s="17">
        <f>I1051/J1051</f>
        <v>0</v>
      </c>
      <c r="L1051" s="22">
        <v>10</v>
      </c>
      <c r="M1051" s="22">
        <v>30</v>
      </c>
      <c r="N1051" s="22">
        <v>111444</v>
      </c>
      <c r="O1051" s="22" t="str">
        <f>VLOOKUP(N1051,$AL$1285:$AM$1310,2,FALSE)</f>
        <v>001006</v>
      </c>
      <c r="P1051" s="22">
        <f>VLOOKUP(N1051,AC$2:AD$1905,2,FALSE)</f>
        <v>34</v>
      </c>
      <c r="Q1051" s="22"/>
      <c r="R1051" s="23" t="s">
        <v>153</v>
      </c>
      <c r="S1051" s="22">
        <f>VLOOKUP(R1051,AC$2:AD$1905,2,FALSE)</f>
        <v>0.56999999999999995</v>
      </c>
      <c r="T1051" s="24">
        <f>(H1051*I1051)+P1051*Q1051+S1051*K1051</f>
        <v>0</v>
      </c>
      <c r="U1051" s="25">
        <f>IF(TRIM(N1051&amp;"")="111444",
    IF(ROUNDUP(MAX(0,K1051-(MAX(1,Q1051)-1)*10)/10,0)=1,3,2),
    IF(TRIM(N1051&amp;"")="VWPAL",
        IF(TRIM(R1051&amp;"")="004147",1,2),
        ""
    )
)</f>
        <v>2</v>
      </c>
      <c r="V1051" s="26" t="str">
        <f>IF(OR(TRIM(N1051&amp;"")="111444",TRIM(N1051&amp;"")="VWPAL"),
    IF(K1051&lt;=0,"",
        IF(
            MIN(3,ROUNDUP(MAX(0,K1051-(MAX(1,Q1051)-1)*IF(TRIM(N1051&amp;"")="111444",10,20))/IF(TRIM(N1051&amp;"")="111444",10,20),0))=1,
            300,
            IF(
                MIN(3,ROUNDUP(MAX(0,K1051-(MAX(1,Q1051)-1)*IF(TRIM(N1051&amp;"")="111444",10,20))/IF(TRIM(N1051&amp;"")="111444",10,20),0))=2,
                450,
                600
            )
        )
    ),
    ""
)</f>
        <v/>
      </c>
    </row>
    <row r="1052" spans="1:22" ht="48" customHeight="1" x14ac:dyDescent="0.25">
      <c r="A1052" s="17">
        <f>VLOOKUP(C1052,[1]Werke!$A$1:$C$168,3,0)</f>
        <v>24</v>
      </c>
      <c r="B1052" s="17" t="str">
        <f>VLOOKUP(C1052,[1]Werke!$A$1:$C$168,2,0)</f>
        <v>CKS</v>
      </c>
      <c r="C1052" s="18" t="s">
        <v>245</v>
      </c>
      <c r="D1052" s="17" t="str">
        <f>VLOOKUP(C1052,[1]Maliteslimalan!$A$1:$B$210,2,0)</f>
        <v>8000012647</v>
      </c>
      <c r="E1052" s="19" t="str">
        <f>VLOOKUP(C1052,[1]Bestellnr.!$A$1:$B$174,2,0)</f>
        <v>000006</v>
      </c>
      <c r="F1052" s="20" t="str">
        <f>VLOOKUP(G1052,$U$1:$V$1730,2,0)</f>
        <v>N   912 282 01</v>
      </c>
      <c r="G1052" s="21">
        <v>932125000</v>
      </c>
      <c r="H1052" s="17">
        <f>VLOOKUP(G1052,Z$2:AA$1905,2,FALSE)</f>
        <v>1.9730000000000001E-2</v>
      </c>
      <c r="I1052" s="20"/>
      <c r="J1052" s="17">
        <f>VLOOKUP(G1052,W$2:X$1905,2,FALSE)</f>
        <v>500</v>
      </c>
      <c r="K1052" s="17">
        <f>I1052/J1052</f>
        <v>0</v>
      </c>
      <c r="L1052" s="22">
        <v>10</v>
      </c>
      <c r="M1052" s="22">
        <v>30</v>
      </c>
      <c r="N1052" s="22">
        <v>111444</v>
      </c>
      <c r="O1052" s="22" t="str">
        <f>VLOOKUP(N1052,$AL$1285:$AM$1310,2,FALSE)</f>
        <v>001006</v>
      </c>
      <c r="P1052" s="22">
        <f>VLOOKUP(N1052,AC$2:AD$1905,2,FALSE)</f>
        <v>34</v>
      </c>
      <c r="Q1052" s="22"/>
      <c r="R1052" s="23" t="s">
        <v>153</v>
      </c>
      <c r="S1052" s="22">
        <f>VLOOKUP(R1052,AC$2:AD$1905,2,FALSE)</f>
        <v>0.56999999999999995</v>
      </c>
      <c r="T1052" s="24">
        <f>(H1052*I1052)+P1052*Q1052+S1052*K1052</f>
        <v>0</v>
      </c>
      <c r="U1052" s="25">
        <f>IF(TRIM(N1052&amp;"")="111444",
    IF(ROUNDUP(MAX(0,K1052-(MAX(1,Q1052)-1)*10)/10,0)=1,3,2),
    IF(TRIM(N1052&amp;"")="VWPAL",
        IF(TRIM(R1052&amp;"")="004147",1,2),
        ""
    )
)</f>
        <v>2</v>
      </c>
      <c r="V1052" s="26" t="str">
        <f>IF(OR(TRIM(N1052&amp;"")="111444",TRIM(N1052&amp;"")="VWPAL"),
    IF(K1052&lt;=0,"",
        IF(
            MIN(3,ROUNDUP(MAX(0,K1052-(MAX(1,Q1052)-1)*IF(TRIM(N1052&amp;"")="111444",10,20))/IF(TRIM(N1052&amp;"")="111444",10,20),0))=1,
            300,
            IF(
                MIN(3,ROUNDUP(MAX(0,K1052-(MAX(1,Q1052)-1)*IF(TRIM(N1052&amp;"")="111444",10,20))/IF(TRIM(N1052&amp;"")="111444",10,20),0))=2,
                450,
                600
            )
        )
    ),
    ""
)</f>
        <v/>
      </c>
    </row>
    <row r="1053" spans="1:22" ht="48" customHeight="1" x14ac:dyDescent="0.25">
      <c r="A1053" s="17">
        <f>VLOOKUP(C1053,[1]Werke!$A$1:$C$168,3,0)</f>
        <v>14</v>
      </c>
      <c r="B1053" s="17" t="str">
        <f>VLOOKUP(C1053,[1]Werke!$A$1:$C$168,2,0)</f>
        <v>D66</v>
      </c>
      <c r="C1053" s="18" t="s">
        <v>248</v>
      </c>
      <c r="D1053" s="17" t="str">
        <f>VLOOKUP(C1053,[1]Maliteslimalan!$A$1:$B$210,2,0)</f>
        <v>8000012561</v>
      </c>
      <c r="E1053" s="19">
        <f>VLOOKUP(C1053,[1]Bestellnr.!$A$1:$B$174,2,0)</f>
        <v>0</v>
      </c>
      <c r="F1053" s="20" t="str">
        <f>VLOOKUP(G1053,$U$1:$V$1730,2,0)</f>
        <v>N   912 282 01</v>
      </c>
      <c r="G1053" s="21">
        <v>932125000</v>
      </c>
      <c r="H1053" s="17">
        <f>VLOOKUP(G1053,Z$2:AA$1905,2,FALSE)</f>
        <v>1.9730000000000001E-2</v>
      </c>
      <c r="I1053" s="20"/>
      <c r="J1053" s="17">
        <v>500</v>
      </c>
      <c r="K1053" s="17">
        <f>I1053/J1053</f>
        <v>0</v>
      </c>
      <c r="L1053" s="22">
        <v>10</v>
      </c>
      <c r="M1053" s="22">
        <v>10</v>
      </c>
      <c r="N1053" s="22">
        <v>111444</v>
      </c>
      <c r="O1053" s="22" t="str">
        <f>VLOOKUP(N1053,$AL$1285:$AM$1310,2,FALSE)</f>
        <v>001006</v>
      </c>
      <c r="P1053" s="22">
        <f>VLOOKUP(N1053,AC$2:AD$1905,2,FALSE)</f>
        <v>34</v>
      </c>
      <c r="Q1053" s="22"/>
      <c r="R1053" s="23" t="s">
        <v>153</v>
      </c>
      <c r="S1053" s="22">
        <f>VLOOKUP(R1053,AC$2:AD$1905,2,FALSE)</f>
        <v>0.56999999999999995</v>
      </c>
      <c r="T1053" s="24">
        <f>(H1053*I1053)+P1053*Q1053+S1053*K1053</f>
        <v>0</v>
      </c>
      <c r="U1053" s="25">
        <f>IF(TRIM(N1053&amp;"")="111444",
    IF(ROUNDUP(MAX(0,K1053-(MAX(1,Q1053)-1)*10)/10,0)=1,3,2),
    IF(TRIM(N1053&amp;"")="VWPAL",
        IF(TRIM(R1053&amp;"")="004147",1,2),
        ""
    )
)</f>
        <v>2</v>
      </c>
      <c r="V1053" s="26" t="str">
        <f>IF(OR(TRIM(N1053&amp;"")="111444",TRIM(N1053&amp;"")="VWPAL"),
    IF(K1053&lt;=0,"",
        IF(
            MIN(3,ROUNDUP(MAX(0,K1053-(MAX(1,Q1053)-1)*IF(TRIM(N1053&amp;"")="111444",10,20))/IF(TRIM(N1053&amp;"")="111444",10,20),0))=1,
            300,
            IF(
                MIN(3,ROUNDUP(MAX(0,K1053-(MAX(1,Q1053)-1)*IF(TRIM(N1053&amp;"")="111444",10,20))/IF(TRIM(N1053&amp;"")="111444",10,20),0))=2,
                450,
                600
            )
        )
    ),
    ""
)</f>
        <v/>
      </c>
    </row>
    <row r="1054" spans="1:22" ht="48" customHeight="1" x14ac:dyDescent="0.25">
      <c r="A1054" s="17"/>
      <c r="B1054" s="17"/>
      <c r="C1054" s="18"/>
      <c r="D1054" s="17"/>
      <c r="E1054" s="19"/>
      <c r="F1054" s="20"/>
      <c r="G1054" s="21"/>
      <c r="H1054" s="17"/>
      <c r="I1054" s="20"/>
      <c r="J1054" s="17"/>
      <c r="K1054" s="17"/>
      <c r="L1054" s="22"/>
      <c r="M1054" s="22"/>
      <c r="N1054" s="22"/>
      <c r="O1054" s="22"/>
      <c r="P1054" s="22"/>
      <c r="Q1054" s="22"/>
      <c r="R1054" s="23"/>
      <c r="S1054" s="22"/>
      <c r="T1054" s="24"/>
      <c r="U1054" s="25"/>
    </row>
    <row r="1055" spans="1:22" ht="48" customHeight="1" x14ac:dyDescent="0.25">
      <c r="A1055" s="17" t="str">
        <f>VLOOKUP(C1055,[1]Werke!$A$1:$C$168,3,0)</f>
        <v>LD</v>
      </c>
      <c r="B1055" s="17" t="str">
        <f>VLOOKUP(C1055,[1]Werke!$A$1:$C$168,2,0)</f>
        <v>SLD</v>
      </c>
      <c r="C1055" s="18">
        <v>83630</v>
      </c>
      <c r="D1055" s="17" t="str">
        <f>VLOOKUP(C1055,[1]Maliteslimalan!$A$1:$B$210,2,0)</f>
        <v>8000012862</v>
      </c>
      <c r="E1055" s="19" t="str">
        <f>VLOOKUP(C1055,[1]Bestellnr.!$A$1:$B$174,2,0)</f>
        <v>000006</v>
      </c>
      <c r="F1055" s="20" t="str">
        <f>VLOOKUP(G1055,$U$1:$V$1730,2,0)</f>
        <v>N   902 955 02</v>
      </c>
      <c r="G1055" s="21">
        <v>970693000</v>
      </c>
      <c r="H1055" s="17">
        <f>VLOOKUP(G1055,Z$2:AA$1905,2,FALSE)</f>
        <v>6.9199999999999999E-3</v>
      </c>
      <c r="I1055" s="20"/>
      <c r="J1055" s="17">
        <f>VLOOKUP(G1055,W$2:X$1905,2,FALSE)</f>
        <v>2100</v>
      </c>
      <c r="K1055" s="17">
        <f>I1055/J1055</f>
        <v>0</v>
      </c>
      <c r="L1055" s="22">
        <v>10</v>
      </c>
      <c r="M1055" s="22">
        <v>30</v>
      </c>
      <c r="N1055" s="22">
        <v>111444</v>
      </c>
      <c r="O1055" s="22" t="str">
        <f>VLOOKUP(N1055,$AL$1285:$AM$1310,2,FALSE)</f>
        <v>001006</v>
      </c>
      <c r="P1055" s="22">
        <f>VLOOKUP(N1055,AC$2:AD$1905,2,FALSE)</f>
        <v>34</v>
      </c>
      <c r="Q1055" s="22"/>
      <c r="R1055" s="23" t="s">
        <v>153</v>
      </c>
      <c r="S1055" s="22">
        <f>VLOOKUP(R1055,AC$2:AD$1905,2,FALSE)</f>
        <v>0.56999999999999995</v>
      </c>
      <c r="T1055" s="24">
        <f>(H1055*I1055)+P1055*Q1055+S1055*K1055</f>
        <v>0</v>
      </c>
      <c r="U1055" s="25">
        <f>IF(TRIM(N1055&amp;"")="111444",
    IF(ROUNDUP(MAX(0,K1055-(MAX(1,Q1055)-1)*10)/10,0)=1,3,2),
    IF(TRIM(N1055&amp;"")="VWPAL",
        IF(TRIM(R1055&amp;"")="004147",1,2),
        ""
    )
)</f>
        <v>2</v>
      </c>
      <c r="V1055" s="26" t="str">
        <f>IF(OR(TRIM(N1055&amp;"")="111444",TRIM(N1055&amp;"")="VWPAL"),
    IF(K1055&lt;=0,"",
        IF(
            MIN(3,ROUNDUP(MAX(0,K1055-(MAX(1,Q1055)-1)*IF(TRIM(N1055&amp;"")="111444",10,20))/IF(TRIM(N1055&amp;"")="111444",10,20),0))=1,
            300,
            IF(
                MIN(3,ROUNDUP(MAX(0,K1055-(MAX(1,Q1055)-1)*IF(TRIM(N1055&amp;"")="111444",10,20))/IF(TRIM(N1055&amp;"")="111444",10,20),0))=2,
                450,
                600
            )
        )
    ),
    ""
)</f>
        <v/>
      </c>
    </row>
    <row r="1056" spans="1:22" ht="48" customHeight="1" x14ac:dyDescent="0.25">
      <c r="A1056" s="17">
        <f>VLOOKUP(C1056,[1]Werke!$A$1:$C$168,3,0)</f>
        <v>14</v>
      </c>
      <c r="B1056" s="17" t="str">
        <f>VLOOKUP(C1056,[1]Werke!$A$1:$C$168,2,0)</f>
        <v>D86</v>
      </c>
      <c r="C1056" s="18" t="s">
        <v>251</v>
      </c>
      <c r="D1056" s="17" t="str">
        <f>VLOOKUP(C1056,[1]Maliteslimalan!$A$1:$B$210,2,0)</f>
        <v>8000012642</v>
      </c>
      <c r="E1056" s="19">
        <f>VLOOKUP(C1056,[1]Bestellnr.!$A$1:$B$174,2,0)</f>
        <v>0</v>
      </c>
      <c r="F1056" s="20" t="str">
        <f>VLOOKUP(G1056,$U$1:$V$1730,2,0)</f>
        <v>N   902 955 02</v>
      </c>
      <c r="G1056" s="21">
        <v>970693000</v>
      </c>
      <c r="H1056" s="17">
        <f>VLOOKUP(G1056,Z$2:AA$1905,2,FALSE)</f>
        <v>6.9199999999999999E-3</v>
      </c>
      <c r="I1056" s="20"/>
      <c r="J1056" s="17">
        <f>VLOOKUP(G1056,W$2:X$1905,2,FALSE)</f>
        <v>2100</v>
      </c>
      <c r="K1056" s="17">
        <f>I1056/J1056</f>
        <v>0</v>
      </c>
      <c r="L1056" s="22">
        <v>10</v>
      </c>
      <c r="M1056" s="22">
        <v>30</v>
      </c>
      <c r="N1056" s="22">
        <v>111444</v>
      </c>
      <c r="O1056" s="22" t="str">
        <f>VLOOKUP(N1056,$AL$1285:$AM$1310,2,FALSE)</f>
        <v>001006</v>
      </c>
      <c r="P1056" s="22">
        <f>VLOOKUP(N1056,AC$2:AD$1905,2,FALSE)</f>
        <v>34</v>
      </c>
      <c r="Q1056" s="22"/>
      <c r="R1056" s="23" t="s">
        <v>153</v>
      </c>
      <c r="S1056" s="22">
        <f>VLOOKUP(R1056,AC$2:AD$1905,2,FALSE)</f>
        <v>0.56999999999999995</v>
      </c>
      <c r="T1056" s="24">
        <f>(H1056*I1056)+P1056*Q1056+S1056*K1056</f>
        <v>0</v>
      </c>
      <c r="U1056" s="25">
        <f>IF(TRIM(N1056&amp;"")="111444",
    IF(ROUNDUP(MAX(0,K1056-(MAX(1,Q1056)-1)*10)/10,0)=1,3,2),
    IF(TRIM(N1056&amp;"")="VWPAL",
        IF(TRIM(R1056&amp;"")="004147",1,2),
        ""
    )
)</f>
        <v>2</v>
      </c>
      <c r="V1056" s="26" t="str">
        <f>IF(OR(TRIM(N1056&amp;"")="111444",TRIM(N1056&amp;"")="VWPAL"),
    IF(K1056&lt;=0,"",
        IF(
            MIN(3,ROUNDUP(MAX(0,K1056-(MAX(1,Q1056)-1)*IF(TRIM(N1056&amp;"")="111444",10,20))/IF(TRIM(N1056&amp;"")="111444",10,20),0))=1,
            300,
            IF(
                MIN(3,ROUNDUP(MAX(0,K1056-(MAX(1,Q1056)-1)*IF(TRIM(N1056&amp;"")="111444",10,20))/IF(TRIM(N1056&amp;"")="111444",10,20),0))=2,
                450,
                600
            )
        )
    ),
    ""
)</f>
        <v/>
      </c>
    </row>
    <row r="1057" spans="1:22" ht="48" customHeight="1" x14ac:dyDescent="0.25">
      <c r="A1057" s="17">
        <f>VLOOKUP(C1057,[1]Werke!$A$1:$C$168,3,0)</f>
        <v>24</v>
      </c>
      <c r="B1057" s="17" t="str">
        <f>VLOOKUP(C1057,[1]Werke!$A$1:$C$168,2,0)</f>
        <v>CKH</v>
      </c>
      <c r="C1057" s="18" t="s">
        <v>224</v>
      </c>
      <c r="D1057" s="17">
        <f>VLOOKUP(C1057,[1]Maliteslimalan!$A$1:$B$210,2,0)</f>
        <v>8000013551</v>
      </c>
      <c r="E1057" s="19">
        <v>6</v>
      </c>
      <c r="F1057" s="20" t="str">
        <f>VLOOKUP(G1057,$U$1:$V$1730,2,0)</f>
        <v>N   902 955 02</v>
      </c>
      <c r="G1057" s="21">
        <v>970693000</v>
      </c>
      <c r="H1057" s="17">
        <f>VLOOKUP(G1057,Z$2:AA$1905,2,FALSE)</f>
        <v>6.9199999999999999E-3</v>
      </c>
      <c r="I1057" s="20"/>
      <c r="J1057" s="17">
        <f>VLOOKUP(G1057,W$2:X$1905,2,FALSE)</f>
        <v>2100</v>
      </c>
      <c r="K1057" s="17">
        <f>I1057/J1057</f>
        <v>0</v>
      </c>
      <c r="L1057" s="22">
        <v>10</v>
      </c>
      <c r="M1057" s="22">
        <v>30</v>
      </c>
      <c r="N1057" s="22">
        <v>111444</v>
      </c>
      <c r="O1057" s="22" t="str">
        <f>VLOOKUP(N1057,$AL$1285:$AM$1310,2,FALSE)</f>
        <v>001006</v>
      </c>
      <c r="P1057" s="22">
        <f>VLOOKUP(N1057,AC$2:AD$1905,2,FALSE)</f>
        <v>34</v>
      </c>
      <c r="Q1057" s="22"/>
      <c r="R1057" s="23" t="s">
        <v>153</v>
      </c>
      <c r="S1057" s="22">
        <f>VLOOKUP(R1057,AC$2:AD$1905,2,FALSE)</f>
        <v>0.56999999999999995</v>
      </c>
      <c r="T1057" s="24">
        <f>(H1057*I1057)+P1057*Q1057+S1057*K1057</f>
        <v>0</v>
      </c>
      <c r="U1057" s="25">
        <f>IF(TRIM(N1057&amp;"")="111444",
    IF(ROUNDUP(MAX(0,K1057-(MAX(1,Q1057)-1)*10)/10,0)=1,3,2),
    IF(TRIM(N1057&amp;"")="VWPAL",
        IF(TRIM(R1057&amp;"")="004147",1,2),
        ""
    )
)</f>
        <v>2</v>
      </c>
      <c r="V1057" s="26" t="str">
        <f>IF(OR(TRIM(N1057&amp;"")="111444",TRIM(N1057&amp;"")="VWPAL"),
    IF(K1057&lt;=0,"",
        IF(
            MIN(3,ROUNDUP(MAX(0,K1057-(MAX(1,Q1057)-1)*IF(TRIM(N1057&amp;"")="111444",10,20))/IF(TRIM(N1057&amp;"")="111444",10,20),0))=1,
            300,
            IF(
                MIN(3,ROUNDUP(MAX(0,K1057-(MAX(1,Q1057)-1)*IF(TRIM(N1057&amp;"")="111444",10,20))/IF(TRIM(N1057&amp;"")="111444",10,20),0))=2,
                450,
                600
            )
        )
    ),
    ""
)</f>
        <v/>
      </c>
    </row>
    <row r="1058" spans="1:22" ht="48" customHeight="1" x14ac:dyDescent="0.25">
      <c r="A1058" s="17">
        <f>VLOOKUP(C1058,[1]Werke!$A$1:$C$168,3,0)</f>
        <v>24</v>
      </c>
      <c r="B1058" s="17" t="str">
        <f>VLOOKUP(C1058,[1]Werke!$A$1:$C$168,2,0)</f>
        <v>CKS</v>
      </c>
      <c r="C1058" s="18" t="s">
        <v>245</v>
      </c>
      <c r="D1058" s="17" t="str">
        <f>VLOOKUP(C1058,[1]Maliteslimalan!$A$1:$B$210,2,0)</f>
        <v>8000012647</v>
      </c>
      <c r="E1058" s="19" t="str">
        <f>VLOOKUP(C1058,[1]Bestellnr.!$A$1:$B$174,2,0)</f>
        <v>000006</v>
      </c>
      <c r="F1058" s="20" t="str">
        <f>VLOOKUP(G1058,$U$1:$V$1730,2,0)</f>
        <v>N   902 955 02</v>
      </c>
      <c r="G1058" s="21">
        <v>970693000</v>
      </c>
      <c r="H1058" s="17">
        <f>VLOOKUP(G1058,Z$2:AA$1905,2,FALSE)</f>
        <v>6.9199999999999999E-3</v>
      </c>
      <c r="I1058" s="20"/>
      <c r="J1058" s="17">
        <f>VLOOKUP(G1058,W$2:X$1905,2,FALSE)</f>
        <v>2100</v>
      </c>
      <c r="K1058" s="17">
        <f>I1058/J1058</f>
        <v>0</v>
      </c>
      <c r="L1058" s="22">
        <v>10</v>
      </c>
      <c r="M1058" s="22">
        <v>30</v>
      </c>
      <c r="N1058" s="22">
        <v>111444</v>
      </c>
      <c r="O1058" s="22" t="str">
        <f>VLOOKUP(N1058,$AL$1285:$AM$1310,2,FALSE)</f>
        <v>001006</v>
      </c>
      <c r="P1058" s="22">
        <f>VLOOKUP(N1058,AC$2:AD$1905,2,FALSE)</f>
        <v>34</v>
      </c>
      <c r="Q1058" s="22"/>
      <c r="R1058" s="23" t="s">
        <v>153</v>
      </c>
      <c r="S1058" s="22">
        <f>VLOOKUP(R1058,AC$2:AD$1905,2,FALSE)</f>
        <v>0.56999999999999995</v>
      </c>
      <c r="T1058" s="24">
        <f>(H1058*I1058)+P1058*Q1058+S1058*K1058</f>
        <v>0</v>
      </c>
      <c r="U1058" s="25">
        <f>IF(TRIM(N1058&amp;"")="111444",
    IF(ROUNDUP(MAX(0,K1058-(MAX(1,Q1058)-1)*10)/10,0)=1,3,2),
    IF(TRIM(N1058&amp;"")="VWPAL",
        IF(TRIM(R1058&amp;"")="004147",1,2),
        ""
    )
)</f>
        <v>2</v>
      </c>
      <c r="V1058" s="26" t="str">
        <f>IF(OR(TRIM(N1058&amp;"")="111444",TRIM(N1058&amp;"")="VWPAL"),
    IF(K1058&lt;=0,"",
        IF(
            MIN(3,ROUNDUP(MAX(0,K1058-(MAX(1,Q1058)-1)*IF(TRIM(N1058&amp;"")="111444",10,20))/IF(TRIM(N1058&amp;"")="111444",10,20),0))=1,
            300,
            IF(
                MIN(3,ROUNDUP(MAX(0,K1058-(MAX(1,Q1058)-1)*IF(TRIM(N1058&amp;"")="111444",10,20))/IF(TRIM(N1058&amp;"")="111444",10,20),0))=2,
                450,
                600
            )
        )
    ),
    ""
)</f>
        <v/>
      </c>
    </row>
    <row r="1059" spans="1:22" ht="48" customHeight="1" x14ac:dyDescent="0.25">
      <c r="A1059" s="17"/>
      <c r="B1059" s="17"/>
      <c r="C1059" s="18"/>
      <c r="D1059" s="17"/>
      <c r="E1059" s="19"/>
      <c r="F1059" s="20"/>
      <c r="G1059" s="21"/>
      <c r="H1059" s="17"/>
      <c r="I1059" s="20"/>
      <c r="J1059" s="17"/>
      <c r="K1059" s="17"/>
      <c r="L1059" s="22"/>
      <c r="M1059" s="22"/>
      <c r="N1059" s="22"/>
      <c r="O1059" s="22"/>
      <c r="P1059" s="22"/>
      <c r="Q1059" s="22"/>
      <c r="R1059" s="23"/>
      <c r="S1059" s="22"/>
      <c r="T1059" s="24"/>
      <c r="U1059" s="25"/>
    </row>
    <row r="1060" spans="1:22" ht="48" customHeight="1" x14ac:dyDescent="0.25">
      <c r="A1060" s="17" t="str">
        <f>VLOOKUP(C1060,[1]Werke!$A$1:$C$168,3,0)</f>
        <v>HT</v>
      </c>
      <c r="B1060" s="17">
        <f>VLOOKUP(C1060,[1]Werke!$A$1:$C$168,2,0)</f>
        <v>34</v>
      </c>
      <c r="C1060" s="18">
        <v>80245</v>
      </c>
      <c r="D1060" s="17">
        <f>VLOOKUP(C1060,[1]Maliteslimalan!$A$1:$B$210,2,0)</f>
        <v>8000012604</v>
      </c>
      <c r="E1060" s="19">
        <v>6</v>
      </c>
      <c r="F1060" s="20" t="str">
        <f>VLOOKUP(G1060,$U$1:$V$1730,2,0)</f>
        <v>N   901 838 03</v>
      </c>
      <c r="G1060" s="21">
        <v>967156000</v>
      </c>
      <c r="H1060" s="17">
        <f>VLOOKUP(G1060,Z$2:AA$1905,2,FALSE)</f>
        <v>9.0399999999999994E-3</v>
      </c>
      <c r="I1060" s="20"/>
      <c r="J1060" s="17">
        <f>VLOOKUP(G1060,W$2:X$1905,2,FALSE)</f>
        <v>1500</v>
      </c>
      <c r="K1060" s="17">
        <f>I1060/J1060</f>
        <v>0</v>
      </c>
      <c r="L1060" s="22">
        <v>20</v>
      </c>
      <c r="M1060" s="22">
        <v>20</v>
      </c>
      <c r="N1060" s="22" t="s">
        <v>155</v>
      </c>
      <c r="O1060" s="22" t="str">
        <f>VLOOKUP(N1060,$AL$1285:$AM$1310,2,FALSE)</f>
        <v>001210</v>
      </c>
      <c r="P1060" s="22">
        <f>VLOOKUP(N1060,AC$2:AD$1905,2,FALSE)</f>
        <v>55</v>
      </c>
      <c r="Q1060" s="22"/>
      <c r="R1060" s="23" t="s">
        <v>153</v>
      </c>
      <c r="S1060" s="22">
        <f>VLOOKUP(R1060,AC$2:AD$1905,2,FALSE)</f>
        <v>0.56999999999999995</v>
      </c>
      <c r="T1060" s="24">
        <f>(H1060*I1060)+P1060*Q1060+S1060*K1060</f>
        <v>0</v>
      </c>
      <c r="U1060" s="25">
        <f>IF(TRIM(N1060&amp;"")="111444",
    IF(ROUNDUP(MAX(0,K1060-(MAX(1,Q1060)-1)*10)/10,0)=1,3,2),
    IF(TRIM(N1060&amp;"")="VWPAL",
        IF(TRIM(R1060&amp;"")="004147",1,2),
        ""
    )
)</f>
        <v>2</v>
      </c>
      <c r="V1060" s="26" t="str">
        <f>IF(OR(TRIM(N1060&amp;"")="111444",TRIM(N1060&amp;"")="VWPAL"),
    IF(K1060&lt;=0,"",
        IF(
            MIN(3,ROUNDUP(MAX(0,K1060-(MAX(1,Q1060)-1)*IF(TRIM(N1060&amp;"")="111444",10,20))/IF(TRIM(N1060&amp;"")="111444",10,20),0))=1,
            300,
            IF(
                MIN(3,ROUNDUP(MAX(0,K1060-(MAX(1,Q1060)-1)*IF(TRIM(N1060&amp;"")="111444",10,20))/IF(TRIM(N1060&amp;"")="111444",10,20),0))=2,
                450,
                600
            )
        )
    ),
    ""
)</f>
        <v/>
      </c>
    </row>
    <row r="1061" spans="1:22" ht="48" customHeight="1" x14ac:dyDescent="0.25">
      <c r="A1061" s="17">
        <f>VLOOKUP(C1061,[1]Werke!$A$1:$C$168,3,0)</f>
        <v>22</v>
      </c>
      <c r="B1061" s="17" t="str">
        <f>VLOOKUP(C1061,[1]Werke!$A$1:$C$168,2,0)</f>
        <v>13P</v>
      </c>
      <c r="C1061" s="18" t="s">
        <v>230</v>
      </c>
      <c r="D1061" s="17" t="str">
        <f>VLOOKUP(C1061,[1]Maliteslimalan!$A$1:$B$210,2,0)</f>
        <v>8000013344</v>
      </c>
      <c r="E1061" s="19" t="str">
        <f>VLOOKUP(C1061,[1]Bestellnr.!$A$1:$B$174,2,0)</f>
        <v>000006</v>
      </c>
      <c r="F1061" s="20" t="str">
        <f>VLOOKUP(G1061,$U$1:$V$1730,2,0)</f>
        <v>N   901 838 03</v>
      </c>
      <c r="G1061" s="21">
        <v>967156000</v>
      </c>
      <c r="H1061" s="17">
        <f>VLOOKUP(G1061,Z$2:AA$1905,2,FALSE)</f>
        <v>9.0399999999999994E-3</v>
      </c>
      <c r="I1061" s="20"/>
      <c r="J1061" s="17">
        <f>VLOOKUP(G1061,W$2:X$1905,2,FALSE)</f>
        <v>1500</v>
      </c>
      <c r="K1061" s="17">
        <f>I1061/J1061</f>
        <v>0</v>
      </c>
      <c r="L1061" s="22">
        <v>10</v>
      </c>
      <c r="M1061" s="22">
        <v>30</v>
      </c>
      <c r="N1061" s="22">
        <v>111444</v>
      </c>
      <c r="O1061" s="22" t="str">
        <f>VLOOKUP(N1061,$AL$1285:$AM$1310,2,FALSE)</f>
        <v>001006</v>
      </c>
      <c r="P1061" s="22">
        <f>VLOOKUP(N1061,AC$2:AD$1905,2,FALSE)</f>
        <v>34</v>
      </c>
      <c r="Q1061" s="22"/>
      <c r="R1061" s="23" t="s">
        <v>153</v>
      </c>
      <c r="S1061" s="22">
        <f>VLOOKUP(R1061,AC$2:AD$1905,2,FALSE)</f>
        <v>0.56999999999999995</v>
      </c>
      <c r="T1061" s="24">
        <f>(H1061*I1061)+P1061*Q1061+S1061*K1061</f>
        <v>0</v>
      </c>
      <c r="U1061" s="25">
        <f>IF(TRIM(N1061&amp;"")="111444",
    IF(ROUNDUP(MAX(0,K1061-(MAX(1,Q1061)-1)*10)/10,0)=1,3,2),
    IF(TRIM(N1061&amp;"")="VWPAL",
        IF(TRIM(R1061&amp;"")="004147",1,2),
        ""
    )
)</f>
        <v>2</v>
      </c>
      <c r="V1061" s="26" t="str">
        <f>IF(OR(TRIM(N1061&amp;"")="111444",TRIM(N1061&amp;"")="VWPAL"),
    IF(K1061&lt;=0,"",
        IF(
            MIN(3,ROUNDUP(MAX(0,K1061-(MAX(1,Q1061)-1)*IF(TRIM(N1061&amp;"")="111444",10,20))/IF(TRIM(N1061&amp;"")="111444",10,20),0))=1,
            300,
            IF(
                MIN(3,ROUNDUP(MAX(0,K1061-(MAX(1,Q1061)-1)*IF(TRIM(N1061&amp;"")="111444",10,20))/IF(TRIM(N1061&amp;"")="111444",10,20),0))=2,
                450,
                600
            )
        )
    ),
    ""
)</f>
        <v/>
      </c>
    </row>
    <row r="1062" spans="1:22" ht="48" customHeight="1" x14ac:dyDescent="0.25">
      <c r="A1062" s="17" t="str">
        <f>VLOOKUP(C1062,[1]Werke!$A$1:$C$168,3,0)</f>
        <v>3P</v>
      </c>
      <c r="B1062" s="17" t="str">
        <f>VLOOKUP(C1062,[1]Werke!$A$1:$C$168,2,0)</f>
        <v>BP4</v>
      </c>
      <c r="C1062" s="18" t="s">
        <v>234</v>
      </c>
      <c r="D1062" s="17" t="str">
        <f>VLOOKUP(C1062,[1]Maliteslimalan!$A$1:$B$210,2,0)</f>
        <v>8000012617</v>
      </c>
      <c r="E1062" s="19" t="str">
        <f>VLOOKUP(C1062,[1]Bestellnr.!$A$1:$B$174,2,0)</f>
        <v>000055</v>
      </c>
      <c r="F1062" s="20" t="str">
        <f>VLOOKUP(G1062,$U$1:$V$1730,2,0)</f>
        <v>N   901 838 03</v>
      </c>
      <c r="G1062" s="21">
        <v>967156000</v>
      </c>
      <c r="H1062" s="17">
        <f>VLOOKUP(G1062,Z$2:AA$1905,2,FALSE)</f>
        <v>9.0399999999999994E-3</v>
      </c>
      <c r="I1062" s="20"/>
      <c r="J1062" s="17">
        <f>VLOOKUP(G1062,W$2:X$1905,2,FALSE)</f>
        <v>1500</v>
      </c>
      <c r="K1062" s="17">
        <f>I1062/J1062</f>
        <v>0</v>
      </c>
      <c r="L1062" s="22">
        <v>10</v>
      </c>
      <c r="M1062" s="22">
        <v>30</v>
      </c>
      <c r="N1062" s="22">
        <v>111444</v>
      </c>
      <c r="O1062" s="22" t="str">
        <f>VLOOKUP(N1062,$AL$1285:$AM$1310,2,FALSE)</f>
        <v>001006</v>
      </c>
      <c r="P1062" s="22">
        <f>VLOOKUP(N1062,AC$2:AD$1905,2,FALSE)</f>
        <v>34</v>
      </c>
      <c r="Q1062" s="22"/>
      <c r="R1062" s="23" t="s">
        <v>153</v>
      </c>
      <c r="S1062" s="22">
        <f>VLOOKUP(R1062,AC$2:AD$1905,2,FALSE)</f>
        <v>0.56999999999999995</v>
      </c>
      <c r="T1062" s="24">
        <f>(H1062*I1062)+P1062*Q1062+S1062*K1062</f>
        <v>0</v>
      </c>
      <c r="U1062" s="25">
        <f>IF(TRIM(N1062&amp;"")="111444",
    IF(ROUNDUP(MAX(0,K1062-(MAX(1,Q1062)-1)*10)/10,0)=1,3,2),
    IF(TRIM(N1062&amp;"")="VWPAL",
        IF(TRIM(R1062&amp;"")="004147",1,2),
        ""
    )
)</f>
        <v>2</v>
      </c>
      <c r="V1062" s="26" t="str">
        <f>IF(OR(TRIM(N1062&amp;"")="111444",TRIM(N1062&amp;"")="VWPAL"),
    IF(K1062&lt;=0,"",
        IF(
            MIN(3,ROUNDUP(MAX(0,K1062-(MAX(1,Q1062)-1)*IF(TRIM(N1062&amp;"")="111444",10,20))/IF(TRIM(N1062&amp;"")="111444",10,20),0))=1,
            300,
            IF(
                MIN(3,ROUNDUP(MAX(0,K1062-(MAX(1,Q1062)-1)*IF(TRIM(N1062&amp;"")="111444",10,20))/IF(TRIM(N1062&amp;"")="111444",10,20),0))=2,
                450,
                600
            )
        )
    ),
    ""
)</f>
        <v/>
      </c>
    </row>
    <row r="1063" spans="1:22" ht="48" customHeight="1" x14ac:dyDescent="0.25">
      <c r="A1063" s="17"/>
      <c r="B1063" s="17"/>
      <c r="C1063" s="18"/>
      <c r="D1063" s="17"/>
      <c r="E1063" s="19"/>
      <c r="F1063" s="20"/>
      <c r="G1063" s="21"/>
      <c r="H1063" s="17"/>
      <c r="I1063" s="20"/>
      <c r="J1063" s="17"/>
      <c r="K1063" s="17"/>
      <c r="L1063" s="22"/>
      <c r="M1063" s="22"/>
      <c r="N1063" s="22"/>
      <c r="O1063" s="22"/>
      <c r="P1063" s="22"/>
      <c r="Q1063" s="22"/>
      <c r="R1063" s="23"/>
      <c r="S1063" s="22"/>
      <c r="T1063" s="24"/>
      <c r="U1063" s="25"/>
    </row>
    <row r="1064" spans="1:22" ht="48" customHeight="1" x14ac:dyDescent="0.25">
      <c r="A1064" s="17">
        <f>VLOOKUP(C1064,[1]Werke!$A$1:$C$168,3,0)</f>
        <v>21</v>
      </c>
      <c r="B1064" s="17" t="str">
        <f>VLOOKUP(C1064,[1]Werke!$A$1:$C$168,2,0)</f>
        <v>GZD</v>
      </c>
      <c r="C1064" s="18" t="s">
        <v>154</v>
      </c>
      <c r="D1064" s="17" t="str">
        <f>VLOOKUP(C1064,[1]Maliteslimalan!$A$1:$B$210,2,0)</f>
        <v>8000012572</v>
      </c>
      <c r="E1064" s="19" t="str">
        <f>VLOOKUP(C1064,[1]Bestellnr.!$A$1:$B$174,2,0)</f>
        <v>000006</v>
      </c>
      <c r="F1064" s="20" t="str">
        <f t="shared" ref="F1064:F1092" si="532">VLOOKUP(G1064,$U$1:$V$1730,2,0)</f>
        <v>N   107 511 01</v>
      </c>
      <c r="G1064" s="21">
        <v>100327000</v>
      </c>
      <c r="H1064" s="17">
        <f t="shared" ref="H1064:H1092" si="533">VLOOKUP(G1064,Z$2:AA$1905,2,FALSE)</f>
        <v>7.1399999999999996E-3</v>
      </c>
      <c r="I1064" s="20"/>
      <c r="J1064" s="17">
        <f t="shared" ref="J1064:J1092" si="534">VLOOKUP(G1064,W$2:X$1905,2,FALSE)</f>
        <v>2100</v>
      </c>
      <c r="K1064" s="17">
        <f t="shared" ref="K1064:K1092" si="535">I1064/J1064</f>
        <v>0</v>
      </c>
      <c r="L1064" s="22">
        <v>20</v>
      </c>
      <c r="M1064" s="22">
        <v>20</v>
      </c>
      <c r="N1064" s="22" t="s">
        <v>155</v>
      </c>
      <c r="O1064" s="22" t="str">
        <f t="shared" ref="O1064:O1092" si="536">VLOOKUP(N1064,$AL$1285:$AM$1310,2,FALSE)</f>
        <v>001210</v>
      </c>
      <c r="P1064" s="22">
        <f t="shared" ref="P1064:P1092" si="537">VLOOKUP(N1064,AC$2:AD$1905,2,FALSE)</f>
        <v>55</v>
      </c>
      <c r="Q1064" s="22"/>
      <c r="R1064" s="23" t="s">
        <v>153</v>
      </c>
      <c r="S1064" s="22">
        <f t="shared" ref="S1064:S1092" si="538">VLOOKUP(R1064,AC$2:AD$1905,2,FALSE)</f>
        <v>0.56999999999999995</v>
      </c>
      <c r="T1064" s="24">
        <f t="shared" ref="T1064:T1092" si="539">(H1064*I1064)+P1064*Q1064+S1064*K1064</f>
        <v>0</v>
      </c>
      <c r="U1064" s="25">
        <f t="shared" ref="U1064:U1092" si="540">IF(TRIM(N1064&amp;"")="111444",
    IF(ROUNDUP(MAX(0,K1064-(MAX(1,Q1064)-1)*10)/10,0)=1,3,2),
    IF(TRIM(N1064&amp;"")="VWPAL",
        IF(TRIM(R1064&amp;"")="004147",1,2),
        ""
    )
)</f>
        <v>2</v>
      </c>
      <c r="V1064" s="26" t="str">
        <f t="shared" ref="V1064:V1092" si="541">IF(OR(TRIM(N1064&amp;"")="111444",TRIM(N1064&amp;"")="VWPAL"),
    IF(K1064&lt;=0,"",
        IF(
            MIN(3,ROUNDUP(MAX(0,K1064-(MAX(1,Q1064)-1)*IF(TRIM(N1064&amp;"")="111444",10,20))/IF(TRIM(N1064&amp;"")="111444",10,20),0))=1,
            300,
            IF(
                MIN(3,ROUNDUP(MAX(0,K1064-(MAX(1,Q1064)-1)*IF(TRIM(N1064&amp;"")="111444",10,20))/IF(TRIM(N1064&amp;"")="111444",10,20),0))=2,
                450,
                600
            )
        )
    ),
    ""
)</f>
        <v/>
      </c>
    </row>
    <row r="1065" spans="1:22" ht="48" customHeight="1" x14ac:dyDescent="0.25">
      <c r="A1065" s="17">
        <v>35</v>
      </c>
      <c r="B1065" s="17" t="str">
        <f>VLOOKUP(C1065,[1]Werke!$A$1:$C$168,2,0)</f>
        <v>G02</v>
      </c>
      <c r="C1065" s="18" t="s">
        <v>333</v>
      </c>
      <c r="D1065" s="17">
        <f>VLOOKUP(C1065,[1]Maliteslimalan!$A$1:$B$210,2,0)</f>
        <v>8000018022</v>
      </c>
      <c r="E1065" s="19">
        <v>6</v>
      </c>
      <c r="F1065" s="20" t="str">
        <f t="shared" si="532"/>
        <v>N   107 511 01</v>
      </c>
      <c r="G1065" s="21">
        <v>100327000</v>
      </c>
      <c r="H1065" s="17">
        <f t="shared" si="533"/>
        <v>7.1399999999999996E-3</v>
      </c>
      <c r="I1065" s="20"/>
      <c r="J1065" s="17">
        <f t="shared" si="534"/>
        <v>2100</v>
      </c>
      <c r="K1065" s="17">
        <f t="shared" si="535"/>
        <v>0</v>
      </c>
      <c r="L1065" s="22">
        <v>10</v>
      </c>
      <c r="M1065" s="22">
        <v>30</v>
      </c>
      <c r="N1065" s="22">
        <v>111444</v>
      </c>
      <c r="O1065" s="22" t="str">
        <f t="shared" si="536"/>
        <v>001006</v>
      </c>
      <c r="P1065" s="22">
        <f t="shared" si="537"/>
        <v>34</v>
      </c>
      <c r="Q1065" s="22"/>
      <c r="R1065" s="23" t="s">
        <v>153</v>
      </c>
      <c r="S1065" s="22">
        <f t="shared" si="538"/>
        <v>0.56999999999999995</v>
      </c>
      <c r="T1065" s="24">
        <f t="shared" si="539"/>
        <v>0</v>
      </c>
      <c r="U1065" s="25">
        <f t="shared" si="540"/>
        <v>2</v>
      </c>
      <c r="V1065" s="26" t="str">
        <f t="shared" si="541"/>
        <v/>
      </c>
    </row>
    <row r="1066" spans="1:22" ht="48" customHeight="1" x14ac:dyDescent="0.25">
      <c r="A1066" s="17">
        <f>VLOOKUP(C1066,[1]Werke!$A$1:$C$168,3,0)</f>
        <v>13</v>
      </c>
      <c r="B1066" s="17" t="str">
        <f>VLOOKUP(C1066,[1]Werke!$A$1:$C$168,2,0)</f>
        <v>LZ1</v>
      </c>
      <c r="C1066" s="18" t="s">
        <v>334</v>
      </c>
      <c r="D1066" s="17">
        <f>VLOOKUP(C1066,[1]Maliteslimalan!$A$1:$B$210,2,0)</f>
        <v>8000016520</v>
      </c>
      <c r="E1066" s="19">
        <v>6</v>
      </c>
      <c r="F1066" s="20" t="str">
        <f t="shared" si="532"/>
        <v>N   107 511 01</v>
      </c>
      <c r="G1066" s="21">
        <v>100327000</v>
      </c>
      <c r="H1066" s="17">
        <f t="shared" si="533"/>
        <v>7.1399999999999996E-3</v>
      </c>
      <c r="I1066" s="20"/>
      <c r="J1066" s="17">
        <f t="shared" si="534"/>
        <v>2100</v>
      </c>
      <c r="K1066" s="17">
        <f t="shared" si="535"/>
        <v>0</v>
      </c>
      <c r="L1066" s="22">
        <v>20</v>
      </c>
      <c r="M1066" s="22">
        <v>60</v>
      </c>
      <c r="N1066" s="22" t="s">
        <v>155</v>
      </c>
      <c r="O1066" s="22" t="str">
        <f t="shared" si="536"/>
        <v>001210</v>
      </c>
      <c r="P1066" s="22">
        <f t="shared" si="537"/>
        <v>55</v>
      </c>
      <c r="Q1066" s="22"/>
      <c r="R1066" s="23" t="s">
        <v>153</v>
      </c>
      <c r="S1066" s="22">
        <f t="shared" si="538"/>
        <v>0.56999999999999995</v>
      </c>
      <c r="T1066" s="24">
        <f t="shared" si="539"/>
        <v>0</v>
      </c>
      <c r="U1066" s="25">
        <f t="shared" si="540"/>
        <v>2</v>
      </c>
      <c r="V1066" s="26" t="str">
        <f t="shared" si="541"/>
        <v/>
      </c>
    </row>
    <row r="1067" spans="1:22" ht="48" customHeight="1" x14ac:dyDescent="0.25">
      <c r="A1067" s="17" t="str">
        <f>VLOOKUP(C1067,[1]Werke!$A$1:$C$168,3,0)</f>
        <v>3U</v>
      </c>
      <c r="B1067" s="17" t="str">
        <f>VLOOKUP(C1067,[1]Werke!$A$1:$C$168,2,0)</f>
        <v>BZ2</v>
      </c>
      <c r="C1067" s="18" t="s">
        <v>235</v>
      </c>
      <c r="D1067" s="17" t="str">
        <f>VLOOKUP(C1067,[1]Maliteslimalan!$A$1:$B$210,2,0)</f>
        <v>8000012860</v>
      </c>
      <c r="E1067" s="19" t="str">
        <f>VLOOKUP(C1067,[1]Bestellnr.!$A$1:$B$174,2,0)</f>
        <v>000055</v>
      </c>
      <c r="F1067" s="20" t="str">
        <f t="shared" si="532"/>
        <v>N   107 511 01</v>
      </c>
      <c r="G1067" s="21">
        <v>100327000</v>
      </c>
      <c r="H1067" s="17">
        <f t="shared" si="533"/>
        <v>7.1399999999999996E-3</v>
      </c>
      <c r="I1067" s="20"/>
      <c r="J1067" s="17">
        <f t="shared" si="534"/>
        <v>2100</v>
      </c>
      <c r="K1067" s="17">
        <f t="shared" si="535"/>
        <v>0</v>
      </c>
      <c r="L1067" s="22">
        <v>10</v>
      </c>
      <c r="M1067" s="22">
        <v>30</v>
      </c>
      <c r="N1067" s="22">
        <v>111444</v>
      </c>
      <c r="O1067" s="22" t="str">
        <f t="shared" si="536"/>
        <v>001006</v>
      </c>
      <c r="P1067" s="22">
        <f t="shared" si="537"/>
        <v>34</v>
      </c>
      <c r="Q1067" s="22"/>
      <c r="R1067" s="23" t="s">
        <v>153</v>
      </c>
      <c r="S1067" s="22">
        <f t="shared" si="538"/>
        <v>0.56999999999999995</v>
      </c>
      <c r="T1067" s="24">
        <f t="shared" si="539"/>
        <v>0</v>
      </c>
      <c r="U1067" s="25">
        <f t="shared" si="540"/>
        <v>2</v>
      </c>
      <c r="V1067" s="26" t="str">
        <f t="shared" si="541"/>
        <v/>
      </c>
    </row>
    <row r="1068" spans="1:22" ht="48" customHeight="1" x14ac:dyDescent="0.25">
      <c r="A1068" s="17" t="str">
        <f>VLOOKUP(C1068,[1]Werke!$A$1:$C$168,3,0)</f>
        <v>LD</v>
      </c>
      <c r="B1068" s="17" t="str">
        <f>VLOOKUP(C1068,[1]Werke!$A$1:$C$168,2,0)</f>
        <v>SLD</v>
      </c>
      <c r="C1068" s="18">
        <v>83630</v>
      </c>
      <c r="D1068" s="17" t="str">
        <f>VLOOKUP(C1068,[1]Maliteslimalan!$A$1:$B$210,2,0)</f>
        <v>8000012862</v>
      </c>
      <c r="E1068" s="19" t="str">
        <f>VLOOKUP(C1068,[1]Bestellnr.!$A$1:$B$174,2,0)</f>
        <v>000006</v>
      </c>
      <c r="F1068" s="20" t="str">
        <f t="shared" si="532"/>
        <v>N   107 511 01</v>
      </c>
      <c r="G1068" s="21">
        <v>100327000</v>
      </c>
      <c r="H1068" s="17">
        <f t="shared" si="533"/>
        <v>7.1399999999999996E-3</v>
      </c>
      <c r="I1068" s="20"/>
      <c r="J1068" s="17">
        <f t="shared" si="534"/>
        <v>2100</v>
      </c>
      <c r="K1068" s="17">
        <f t="shared" si="535"/>
        <v>0</v>
      </c>
      <c r="L1068" s="22">
        <v>10</v>
      </c>
      <c r="M1068" s="22">
        <v>30</v>
      </c>
      <c r="N1068" s="22">
        <v>111444</v>
      </c>
      <c r="O1068" s="22" t="str">
        <f t="shared" si="536"/>
        <v>001006</v>
      </c>
      <c r="P1068" s="22">
        <f t="shared" si="537"/>
        <v>34</v>
      </c>
      <c r="Q1068" s="22"/>
      <c r="R1068" s="23" t="s">
        <v>153</v>
      </c>
      <c r="S1068" s="22">
        <f t="shared" si="538"/>
        <v>0.56999999999999995</v>
      </c>
      <c r="T1068" s="24">
        <f t="shared" si="539"/>
        <v>0</v>
      </c>
      <c r="U1068" s="25">
        <f t="shared" si="540"/>
        <v>2</v>
      </c>
      <c r="V1068" s="26" t="str">
        <f t="shared" si="541"/>
        <v/>
      </c>
    </row>
    <row r="1069" spans="1:22" ht="48" customHeight="1" x14ac:dyDescent="0.25">
      <c r="A1069" s="17">
        <f>VLOOKUP(C1069,[1]Werke!$A$1:$C$168,3,0)</f>
        <v>24</v>
      </c>
      <c r="B1069" s="17" t="str">
        <f>VLOOKUP(C1069,[1]Werke!$A$1:$C$168,2,0)</f>
        <v>CKH</v>
      </c>
      <c r="C1069" s="18" t="s">
        <v>224</v>
      </c>
      <c r="D1069" s="17">
        <f>VLOOKUP(C1069,[1]Maliteslimalan!$A$1:$B$210,2,0)</f>
        <v>8000013551</v>
      </c>
      <c r="E1069" s="19">
        <v>6</v>
      </c>
      <c r="F1069" s="20" t="str">
        <f t="shared" si="532"/>
        <v>N   107 511 01</v>
      </c>
      <c r="G1069" s="21">
        <v>100327000</v>
      </c>
      <c r="H1069" s="17">
        <f t="shared" si="533"/>
        <v>7.1399999999999996E-3</v>
      </c>
      <c r="I1069" s="20"/>
      <c r="J1069" s="17">
        <f t="shared" si="534"/>
        <v>2100</v>
      </c>
      <c r="K1069" s="17">
        <f t="shared" si="535"/>
        <v>0</v>
      </c>
      <c r="L1069" s="22">
        <v>10</v>
      </c>
      <c r="M1069" s="22">
        <v>30</v>
      </c>
      <c r="N1069" s="22">
        <v>111444</v>
      </c>
      <c r="O1069" s="22" t="str">
        <f t="shared" si="536"/>
        <v>001006</v>
      </c>
      <c r="P1069" s="22">
        <f t="shared" si="537"/>
        <v>34</v>
      </c>
      <c r="Q1069" s="22"/>
      <c r="R1069" s="23" t="s">
        <v>153</v>
      </c>
      <c r="S1069" s="22">
        <f t="shared" si="538"/>
        <v>0.56999999999999995</v>
      </c>
      <c r="T1069" s="24">
        <f t="shared" si="539"/>
        <v>0</v>
      </c>
      <c r="U1069" s="25">
        <f t="shared" si="540"/>
        <v>2</v>
      </c>
      <c r="V1069" s="26" t="str">
        <f t="shared" si="541"/>
        <v/>
      </c>
    </row>
    <row r="1070" spans="1:22" ht="48" customHeight="1" x14ac:dyDescent="0.25">
      <c r="A1070" s="17">
        <f>VLOOKUP(C1070,[1]Werke!$A$1:$C$168,3,0)</f>
        <v>48</v>
      </c>
      <c r="B1070" s="17" t="str">
        <f>VLOOKUP(C1070,[1]Werke!$A$1:$C$168,2,0)</f>
        <v>04</v>
      </c>
      <c r="C1070" s="20" t="s">
        <v>328</v>
      </c>
      <c r="D1070" s="17">
        <f>VLOOKUP(C1070,[1]Maliteslimalan!$A$1:$B$210,2,0)</f>
        <v>8000016286</v>
      </c>
      <c r="E1070" s="19">
        <v>6</v>
      </c>
      <c r="F1070" s="20" t="str">
        <f t="shared" si="532"/>
        <v>N   107 511 01</v>
      </c>
      <c r="G1070" s="21">
        <v>100327000</v>
      </c>
      <c r="H1070" s="17">
        <f t="shared" si="533"/>
        <v>7.1399999999999996E-3</v>
      </c>
      <c r="I1070" s="20"/>
      <c r="J1070" s="17">
        <f t="shared" si="534"/>
        <v>2100</v>
      </c>
      <c r="K1070" s="17">
        <f t="shared" si="535"/>
        <v>0</v>
      </c>
      <c r="L1070" s="22">
        <v>10</v>
      </c>
      <c r="M1070" s="22">
        <v>30</v>
      </c>
      <c r="N1070" s="22">
        <v>111444</v>
      </c>
      <c r="O1070" s="22" t="str">
        <f t="shared" si="536"/>
        <v>001006</v>
      </c>
      <c r="P1070" s="22">
        <f t="shared" si="537"/>
        <v>34</v>
      </c>
      <c r="Q1070" s="22"/>
      <c r="R1070" s="23" t="s">
        <v>153</v>
      </c>
      <c r="S1070" s="22">
        <f t="shared" si="538"/>
        <v>0.56999999999999995</v>
      </c>
      <c r="T1070" s="24">
        <f t="shared" si="539"/>
        <v>0</v>
      </c>
      <c r="U1070" s="25">
        <f t="shared" si="540"/>
        <v>2</v>
      </c>
      <c r="V1070" s="26" t="str">
        <f t="shared" si="541"/>
        <v/>
      </c>
    </row>
    <row r="1071" spans="1:22" ht="48" customHeight="1" x14ac:dyDescent="0.25">
      <c r="A1071" s="17">
        <f>VLOOKUP(C1071,[1]Werke!$A$1:$C$168,3,0)</f>
        <v>49</v>
      </c>
      <c r="B1071" s="17" t="str">
        <f>VLOOKUP(C1071,[1]Werke!$A$1:$C$168,2,0)</f>
        <v>CT</v>
      </c>
      <c r="C1071" s="18" t="s">
        <v>217</v>
      </c>
      <c r="D1071" s="17" t="str">
        <f>VLOOKUP(C1071,[1]Maliteslimalan!$A$1:$B$210,2,0)</f>
        <v>8000012574</v>
      </c>
      <c r="E1071" s="19" t="str">
        <f>VLOOKUP(C1071,[1]Bestellnr.!$A$1:$B$174,2,0)</f>
        <v>000001</v>
      </c>
      <c r="F1071" s="20" t="str">
        <f t="shared" si="532"/>
        <v>N   107 511 01</v>
      </c>
      <c r="G1071" s="21">
        <v>100327000</v>
      </c>
      <c r="H1071" s="17">
        <f t="shared" si="533"/>
        <v>7.1399999999999996E-3</v>
      </c>
      <c r="I1071" s="20"/>
      <c r="J1071" s="17">
        <f t="shared" si="534"/>
        <v>2100</v>
      </c>
      <c r="K1071" s="17">
        <f t="shared" si="535"/>
        <v>0</v>
      </c>
      <c r="L1071" s="22">
        <v>10</v>
      </c>
      <c r="M1071" s="22">
        <v>10</v>
      </c>
      <c r="N1071" s="22">
        <v>111444</v>
      </c>
      <c r="O1071" s="22" t="str">
        <f t="shared" si="536"/>
        <v>001006</v>
      </c>
      <c r="P1071" s="22">
        <f t="shared" si="537"/>
        <v>34</v>
      </c>
      <c r="Q1071" s="22"/>
      <c r="R1071" s="23" t="s">
        <v>153</v>
      </c>
      <c r="S1071" s="22">
        <f t="shared" si="538"/>
        <v>0.56999999999999995</v>
      </c>
      <c r="T1071" s="24">
        <f t="shared" si="539"/>
        <v>0</v>
      </c>
      <c r="U1071" s="25">
        <f t="shared" si="540"/>
        <v>2</v>
      </c>
      <c r="V1071" s="26" t="str">
        <f t="shared" si="541"/>
        <v/>
      </c>
    </row>
    <row r="1072" spans="1:22" ht="48" customHeight="1" x14ac:dyDescent="0.25">
      <c r="A1072" s="17" t="str">
        <f>VLOOKUP(C1072,[1]Werke!$A$1:$C$168,3,0)</f>
        <v>MU</v>
      </c>
      <c r="B1072" s="17">
        <f>VLOOKUP(C1072,[1]Werke!$A$1:$C$168,2,0)</f>
        <v>188</v>
      </c>
      <c r="C1072" s="18" t="s">
        <v>302</v>
      </c>
      <c r="D1072" s="17">
        <f>VLOOKUP(C1072,[1]Maliteslimalan!$A$1:$B$210,2,0)</f>
        <v>8000014056</v>
      </c>
      <c r="E1072" s="19">
        <v>6</v>
      </c>
      <c r="F1072" s="20" t="str">
        <f t="shared" si="532"/>
        <v>N   107 511 01</v>
      </c>
      <c r="G1072" s="21">
        <v>100327000</v>
      </c>
      <c r="H1072" s="17">
        <f t="shared" si="533"/>
        <v>7.1399999999999996E-3</v>
      </c>
      <c r="I1072" s="20"/>
      <c r="J1072" s="17">
        <f t="shared" si="534"/>
        <v>2100</v>
      </c>
      <c r="K1072" s="17">
        <f t="shared" si="535"/>
        <v>0</v>
      </c>
      <c r="L1072" s="22">
        <v>10</v>
      </c>
      <c r="M1072" s="22">
        <v>30</v>
      </c>
      <c r="N1072" s="22">
        <v>111444</v>
      </c>
      <c r="O1072" s="22" t="str">
        <f t="shared" si="536"/>
        <v>001006</v>
      </c>
      <c r="P1072" s="22">
        <f t="shared" si="537"/>
        <v>34</v>
      </c>
      <c r="Q1072" s="22"/>
      <c r="R1072" s="23" t="s">
        <v>153</v>
      </c>
      <c r="S1072" s="22">
        <f t="shared" si="538"/>
        <v>0.56999999999999995</v>
      </c>
      <c r="T1072" s="24">
        <f t="shared" si="539"/>
        <v>0</v>
      </c>
      <c r="U1072" s="25">
        <f t="shared" si="540"/>
        <v>2</v>
      </c>
      <c r="V1072" s="26" t="str">
        <f t="shared" si="541"/>
        <v/>
      </c>
    </row>
    <row r="1073" spans="1:22" ht="48" customHeight="1" x14ac:dyDescent="0.25">
      <c r="A1073" s="17" t="str">
        <f>VLOOKUP(C1073,[1]Werke!$A$1:$C$168,3,0)</f>
        <v>HT</v>
      </c>
      <c r="B1073" s="17">
        <f>VLOOKUP(C1073,[1]Werke!$A$1:$C$168,2,0)</f>
        <v>34</v>
      </c>
      <c r="C1073" s="18">
        <v>80245</v>
      </c>
      <c r="D1073" s="17">
        <f>VLOOKUP(C1073,[1]Maliteslimalan!$A$1:$B$210,2,0)</f>
        <v>8000012604</v>
      </c>
      <c r="E1073" s="19">
        <v>6</v>
      </c>
      <c r="F1073" s="20" t="str">
        <f t="shared" si="532"/>
        <v>N   107 511 01</v>
      </c>
      <c r="G1073" s="21">
        <v>100327000</v>
      </c>
      <c r="H1073" s="17">
        <f t="shared" si="533"/>
        <v>7.1399999999999996E-3</v>
      </c>
      <c r="I1073" s="20"/>
      <c r="J1073" s="17">
        <f t="shared" si="534"/>
        <v>2100</v>
      </c>
      <c r="K1073" s="17">
        <f t="shared" si="535"/>
        <v>0</v>
      </c>
      <c r="L1073" s="22">
        <v>10</v>
      </c>
      <c r="M1073" s="22">
        <v>30</v>
      </c>
      <c r="N1073" s="22">
        <v>111444</v>
      </c>
      <c r="O1073" s="22" t="str">
        <f t="shared" si="536"/>
        <v>001006</v>
      </c>
      <c r="P1073" s="22">
        <f t="shared" si="537"/>
        <v>34</v>
      </c>
      <c r="Q1073" s="22"/>
      <c r="R1073" s="23" t="s">
        <v>153</v>
      </c>
      <c r="S1073" s="22">
        <f t="shared" si="538"/>
        <v>0.56999999999999995</v>
      </c>
      <c r="T1073" s="24">
        <f t="shared" si="539"/>
        <v>0</v>
      </c>
      <c r="U1073" s="25">
        <f t="shared" si="540"/>
        <v>2</v>
      </c>
      <c r="V1073" s="26" t="str">
        <f t="shared" si="541"/>
        <v/>
      </c>
    </row>
    <row r="1074" spans="1:22" ht="48" customHeight="1" x14ac:dyDescent="0.25">
      <c r="A1074" s="17">
        <f>VLOOKUP(C1074,[1]Werke!$A$1:$C$168,3,0)</f>
        <v>11</v>
      </c>
      <c r="B1074" s="17" t="str">
        <f>VLOOKUP(C1074,[1]Werke!$A$1:$C$168,2,0)</f>
        <v>AKL</v>
      </c>
      <c r="C1074" s="18" t="s">
        <v>227</v>
      </c>
      <c r="D1074" s="17" t="str">
        <f>VLOOKUP(C1074,[1]Maliteslimalan!$A$1:$B$210,2,0)</f>
        <v>8000012570</v>
      </c>
      <c r="E1074" s="19" t="str">
        <f>VLOOKUP(C1074,[1]Bestellnr.!$A$1:$B$174,2,0)</f>
        <v>000006</v>
      </c>
      <c r="F1074" s="20" t="str">
        <f t="shared" si="532"/>
        <v>N   107 511 01</v>
      </c>
      <c r="G1074" s="21">
        <v>100327000</v>
      </c>
      <c r="H1074" s="17">
        <f t="shared" si="533"/>
        <v>7.1399999999999996E-3</v>
      </c>
      <c r="I1074" s="20"/>
      <c r="J1074" s="17">
        <f t="shared" si="534"/>
        <v>2100</v>
      </c>
      <c r="K1074" s="17">
        <f t="shared" si="535"/>
        <v>0</v>
      </c>
      <c r="L1074" s="22">
        <v>20</v>
      </c>
      <c r="M1074" s="22">
        <v>20</v>
      </c>
      <c r="N1074" s="22" t="s">
        <v>155</v>
      </c>
      <c r="O1074" s="22" t="str">
        <f t="shared" si="536"/>
        <v>001210</v>
      </c>
      <c r="P1074" s="22">
        <f t="shared" si="537"/>
        <v>55</v>
      </c>
      <c r="Q1074" s="22"/>
      <c r="R1074" s="23" t="s">
        <v>153</v>
      </c>
      <c r="S1074" s="22">
        <f t="shared" si="538"/>
        <v>0.56999999999999995</v>
      </c>
      <c r="T1074" s="24">
        <f t="shared" si="539"/>
        <v>0</v>
      </c>
      <c r="U1074" s="25">
        <f t="shared" si="540"/>
        <v>2</v>
      </c>
      <c r="V1074" s="26" t="str">
        <f t="shared" si="541"/>
        <v/>
      </c>
    </row>
    <row r="1075" spans="1:22" ht="48" customHeight="1" x14ac:dyDescent="0.25">
      <c r="A1075" s="17">
        <f>VLOOKUP(C1075,[1]Werke!$A$1:$C$168,3,0)</f>
        <v>12</v>
      </c>
      <c r="B1075" s="17" t="str">
        <f>VLOOKUP(C1075,[1]Werke!$A$1:$C$168,2,0)</f>
        <v>AKL</v>
      </c>
      <c r="C1075" s="18" t="s">
        <v>312</v>
      </c>
      <c r="D1075" s="17" t="str">
        <f>VLOOKUP(C1075,[1]Maliteslimalan!$A$1:$B$210,2,0)</f>
        <v>8000012897</v>
      </c>
      <c r="E1075" s="19" t="str">
        <f>VLOOKUP(C1075,[1]Bestellnr.!$A$1:$B$174,2,0)</f>
        <v>000006</v>
      </c>
      <c r="F1075" s="20" t="str">
        <f t="shared" si="532"/>
        <v>N   107 511 01</v>
      </c>
      <c r="G1075" s="21">
        <v>100327000</v>
      </c>
      <c r="H1075" s="17">
        <f t="shared" si="533"/>
        <v>7.1399999999999996E-3</v>
      </c>
      <c r="I1075" s="20"/>
      <c r="J1075" s="17">
        <f t="shared" si="534"/>
        <v>2100</v>
      </c>
      <c r="K1075" s="17">
        <f t="shared" si="535"/>
        <v>0</v>
      </c>
      <c r="L1075" s="22">
        <v>10</v>
      </c>
      <c r="M1075" s="22">
        <v>30</v>
      </c>
      <c r="N1075" s="22">
        <v>111444</v>
      </c>
      <c r="O1075" s="22" t="str">
        <f t="shared" si="536"/>
        <v>001006</v>
      </c>
      <c r="P1075" s="22">
        <f t="shared" si="537"/>
        <v>34</v>
      </c>
      <c r="Q1075" s="22"/>
      <c r="R1075" s="23" t="s">
        <v>153</v>
      </c>
      <c r="S1075" s="22">
        <f t="shared" si="538"/>
        <v>0.56999999999999995</v>
      </c>
      <c r="T1075" s="24">
        <f t="shared" si="539"/>
        <v>0</v>
      </c>
      <c r="U1075" s="25">
        <f t="shared" si="540"/>
        <v>2</v>
      </c>
      <c r="V1075" s="26" t="str">
        <f t="shared" si="541"/>
        <v/>
      </c>
    </row>
    <row r="1076" spans="1:22" ht="48" customHeight="1" x14ac:dyDescent="0.25">
      <c r="A1076" s="17">
        <f>VLOOKUP(C1076,[1]Werke!$A$1:$C$168,3,0)</f>
        <v>28</v>
      </c>
      <c r="B1076" s="17" t="str">
        <f>VLOOKUP(C1076,[1]Werke!$A$1:$C$168,2,0)</f>
        <v>S1</v>
      </c>
      <c r="C1076" s="18" t="s">
        <v>229</v>
      </c>
      <c r="D1076" s="17" t="str">
        <f>VLOOKUP(C1076,[1]Maliteslimalan!$A$1:$B$210,2,0)</f>
        <v>8000012596</v>
      </c>
      <c r="E1076" s="19" t="str">
        <f>VLOOKUP(C1076,[1]Bestellnr.!$A$1:$B$174,2,0)</f>
        <v>000006</v>
      </c>
      <c r="F1076" s="20" t="str">
        <f t="shared" si="532"/>
        <v>N   107 511 01</v>
      </c>
      <c r="G1076" s="21">
        <v>100327000</v>
      </c>
      <c r="H1076" s="17">
        <f t="shared" si="533"/>
        <v>7.1399999999999996E-3</v>
      </c>
      <c r="I1076" s="20"/>
      <c r="J1076" s="17">
        <f t="shared" si="534"/>
        <v>2100</v>
      </c>
      <c r="K1076" s="17">
        <f t="shared" si="535"/>
        <v>0</v>
      </c>
      <c r="L1076" s="22">
        <v>10</v>
      </c>
      <c r="M1076" s="22">
        <v>10</v>
      </c>
      <c r="N1076" s="22">
        <v>111444</v>
      </c>
      <c r="O1076" s="22" t="str">
        <f t="shared" si="536"/>
        <v>001006</v>
      </c>
      <c r="P1076" s="22">
        <f t="shared" si="537"/>
        <v>34</v>
      </c>
      <c r="Q1076" s="22"/>
      <c r="R1076" s="23" t="s">
        <v>153</v>
      </c>
      <c r="S1076" s="22">
        <f t="shared" si="538"/>
        <v>0.56999999999999995</v>
      </c>
      <c r="T1076" s="24">
        <f t="shared" si="539"/>
        <v>0</v>
      </c>
      <c r="U1076" s="25">
        <f t="shared" si="540"/>
        <v>2</v>
      </c>
      <c r="V1076" s="26" t="str">
        <f t="shared" si="541"/>
        <v/>
      </c>
    </row>
    <row r="1077" spans="1:22" ht="48" customHeight="1" x14ac:dyDescent="0.25">
      <c r="A1077" s="17">
        <f>VLOOKUP(C1077,[1]Werke!$A$1:$C$168,3,0)</f>
        <v>22</v>
      </c>
      <c r="B1077" s="17" t="str">
        <f>VLOOKUP(C1077,[1]Werke!$A$1:$C$168,2,0)</f>
        <v>13P</v>
      </c>
      <c r="C1077" s="18" t="s">
        <v>230</v>
      </c>
      <c r="D1077" s="17" t="str">
        <f>VLOOKUP(C1077,[1]Maliteslimalan!$A$1:$B$210,2,0)</f>
        <v>8000013344</v>
      </c>
      <c r="E1077" s="19" t="str">
        <f>VLOOKUP(C1077,[1]Bestellnr.!$A$1:$B$174,2,0)</f>
        <v>000006</v>
      </c>
      <c r="F1077" s="20" t="str">
        <f t="shared" si="532"/>
        <v>N   107 511 01</v>
      </c>
      <c r="G1077" s="21">
        <v>100327000</v>
      </c>
      <c r="H1077" s="17">
        <f t="shared" si="533"/>
        <v>7.1399999999999996E-3</v>
      </c>
      <c r="I1077" s="20"/>
      <c r="J1077" s="17">
        <f t="shared" si="534"/>
        <v>2100</v>
      </c>
      <c r="K1077" s="17">
        <f t="shared" si="535"/>
        <v>0</v>
      </c>
      <c r="L1077" s="22">
        <v>10</v>
      </c>
      <c r="M1077" s="22">
        <v>10</v>
      </c>
      <c r="N1077" s="22">
        <v>111444</v>
      </c>
      <c r="O1077" s="22" t="str">
        <f t="shared" si="536"/>
        <v>001006</v>
      </c>
      <c r="P1077" s="22">
        <f t="shared" si="537"/>
        <v>34</v>
      </c>
      <c r="Q1077" s="22"/>
      <c r="R1077" s="23" t="s">
        <v>153</v>
      </c>
      <c r="S1077" s="22">
        <f t="shared" si="538"/>
        <v>0.56999999999999995</v>
      </c>
      <c r="T1077" s="24">
        <f t="shared" si="539"/>
        <v>0</v>
      </c>
      <c r="U1077" s="25">
        <f t="shared" si="540"/>
        <v>2</v>
      </c>
      <c r="V1077" s="26" t="str">
        <f t="shared" si="541"/>
        <v/>
      </c>
    </row>
    <row r="1078" spans="1:22" ht="48" customHeight="1" x14ac:dyDescent="0.25">
      <c r="A1078" s="17">
        <f>VLOOKUP(C1078,[1]Werke!$A$1:$C$168,3,0)</f>
        <v>37</v>
      </c>
      <c r="B1078" s="17" t="str">
        <f>VLOOKUP(C1078,[1]Werke!$A$1:$C$168,2,0)</f>
        <v>AKL</v>
      </c>
      <c r="C1078" s="18" t="s">
        <v>232</v>
      </c>
      <c r="D1078" s="17" t="str">
        <f>VLOOKUP(C1078,[1]Maliteslimalan!$A$1:$B$210,2,0)</f>
        <v>8000012562</v>
      </c>
      <c r="E1078" s="19" t="str">
        <f>VLOOKUP(C1078,[1]Bestellnr.!$A$1:$B$174,2,0)</f>
        <v>000006</v>
      </c>
      <c r="F1078" s="20" t="str">
        <f t="shared" si="532"/>
        <v>N   107 511 01</v>
      </c>
      <c r="G1078" s="21">
        <v>100327000</v>
      </c>
      <c r="H1078" s="17">
        <f t="shared" si="533"/>
        <v>7.1399999999999996E-3</v>
      </c>
      <c r="I1078" s="20"/>
      <c r="J1078" s="17">
        <f t="shared" si="534"/>
        <v>2100</v>
      </c>
      <c r="K1078" s="17">
        <f t="shared" si="535"/>
        <v>0</v>
      </c>
      <c r="L1078" s="22">
        <v>10</v>
      </c>
      <c r="M1078" s="22">
        <v>10</v>
      </c>
      <c r="N1078" s="22">
        <v>111444</v>
      </c>
      <c r="O1078" s="22" t="str">
        <f t="shared" si="536"/>
        <v>001006</v>
      </c>
      <c r="P1078" s="22">
        <f t="shared" si="537"/>
        <v>34</v>
      </c>
      <c r="Q1078" s="22"/>
      <c r="R1078" s="23" t="s">
        <v>153</v>
      </c>
      <c r="S1078" s="22">
        <f t="shared" si="538"/>
        <v>0.56999999999999995</v>
      </c>
      <c r="T1078" s="24">
        <f t="shared" si="539"/>
        <v>0</v>
      </c>
      <c r="U1078" s="25">
        <f t="shared" si="540"/>
        <v>2</v>
      </c>
      <c r="V1078" s="26" t="str">
        <f t="shared" si="541"/>
        <v/>
      </c>
    </row>
    <row r="1079" spans="1:22" ht="48" customHeight="1" x14ac:dyDescent="0.25">
      <c r="A1079" s="17">
        <f>VLOOKUP(C1079,[1]Werke!$A$1:$C$168,3,0)</f>
        <v>33</v>
      </c>
      <c r="B1079" s="17" t="str">
        <f>VLOOKUP(C1079,[1]Werke!$A$1:$C$168,2,0)</f>
        <v>KK2</v>
      </c>
      <c r="C1079" s="18" t="s">
        <v>233</v>
      </c>
      <c r="D1079" s="17" t="str">
        <f>VLOOKUP(C1079,[1]Maliteslimalan!$A$1:$B$210,2,0)</f>
        <v>8000012709</v>
      </c>
      <c r="E1079" s="19" t="str">
        <f>VLOOKUP(C1079,[1]Bestellnr.!$A$1:$B$174,2,0)</f>
        <v>000055</v>
      </c>
      <c r="F1079" s="20" t="str">
        <f t="shared" si="532"/>
        <v>N   107 511 01</v>
      </c>
      <c r="G1079" s="21">
        <v>100327000</v>
      </c>
      <c r="H1079" s="17">
        <f t="shared" si="533"/>
        <v>7.1399999999999996E-3</v>
      </c>
      <c r="I1079" s="20"/>
      <c r="J1079" s="17">
        <f t="shared" si="534"/>
        <v>2100</v>
      </c>
      <c r="K1079" s="17">
        <f t="shared" si="535"/>
        <v>0</v>
      </c>
      <c r="L1079" s="22">
        <v>20</v>
      </c>
      <c r="M1079" s="22">
        <v>20</v>
      </c>
      <c r="N1079" s="22" t="s">
        <v>155</v>
      </c>
      <c r="O1079" s="22" t="str">
        <f t="shared" si="536"/>
        <v>001210</v>
      </c>
      <c r="P1079" s="22">
        <f t="shared" si="537"/>
        <v>55</v>
      </c>
      <c r="Q1079" s="22"/>
      <c r="R1079" s="23" t="s">
        <v>153</v>
      </c>
      <c r="S1079" s="22">
        <f t="shared" si="538"/>
        <v>0.56999999999999995</v>
      </c>
      <c r="T1079" s="24">
        <f t="shared" si="539"/>
        <v>0</v>
      </c>
      <c r="U1079" s="25">
        <f t="shared" si="540"/>
        <v>2</v>
      </c>
      <c r="V1079" s="26" t="str">
        <f t="shared" si="541"/>
        <v/>
      </c>
    </row>
    <row r="1080" spans="1:22" ht="48" customHeight="1" x14ac:dyDescent="0.25">
      <c r="A1080" s="17" t="str">
        <f>VLOOKUP(C1080,[1]Werke!$A$1:$C$168,3,0)</f>
        <v>3P</v>
      </c>
      <c r="B1080" s="17" t="str">
        <f>VLOOKUP(C1080,[1]Werke!$A$1:$C$168,2,0)</f>
        <v>BP4</v>
      </c>
      <c r="C1080" s="18" t="s">
        <v>234</v>
      </c>
      <c r="D1080" s="17" t="str">
        <f>VLOOKUP(C1080,[1]Maliteslimalan!$A$1:$B$210,2,0)</f>
        <v>8000012617</v>
      </c>
      <c r="E1080" s="19" t="str">
        <f>VLOOKUP(C1080,[1]Bestellnr.!$A$1:$B$174,2,0)</f>
        <v>000055</v>
      </c>
      <c r="F1080" s="20" t="str">
        <f t="shared" si="532"/>
        <v>N   107 511 01</v>
      </c>
      <c r="G1080" s="21">
        <v>100327000</v>
      </c>
      <c r="H1080" s="17">
        <f t="shared" si="533"/>
        <v>7.1399999999999996E-3</v>
      </c>
      <c r="I1080" s="20"/>
      <c r="J1080" s="17">
        <f t="shared" si="534"/>
        <v>2100</v>
      </c>
      <c r="K1080" s="17">
        <f t="shared" si="535"/>
        <v>0</v>
      </c>
      <c r="L1080" s="22">
        <v>10</v>
      </c>
      <c r="M1080" s="22">
        <v>10</v>
      </c>
      <c r="N1080" s="22">
        <v>111444</v>
      </c>
      <c r="O1080" s="22" t="str">
        <f t="shared" si="536"/>
        <v>001006</v>
      </c>
      <c r="P1080" s="22">
        <f t="shared" si="537"/>
        <v>34</v>
      </c>
      <c r="Q1080" s="22"/>
      <c r="R1080" s="23" t="s">
        <v>153</v>
      </c>
      <c r="S1080" s="22">
        <f t="shared" si="538"/>
        <v>0.56999999999999995</v>
      </c>
      <c r="T1080" s="24">
        <f t="shared" si="539"/>
        <v>0</v>
      </c>
      <c r="U1080" s="25">
        <f t="shared" si="540"/>
        <v>2</v>
      </c>
      <c r="V1080" s="26" t="str">
        <f t="shared" si="541"/>
        <v/>
      </c>
    </row>
    <row r="1081" spans="1:22" ht="48" customHeight="1" x14ac:dyDescent="0.25">
      <c r="A1081" s="17">
        <f>VLOOKUP(C1081,[1]Werke!$A$1:$C$168,3,0)</f>
        <v>40</v>
      </c>
      <c r="B1081" s="17">
        <f>VLOOKUP(C1081,[1]Werke!$A$1:$C$168,2,0)</f>
        <v>908</v>
      </c>
      <c r="C1081" s="18" t="s">
        <v>236</v>
      </c>
      <c r="D1081" s="17" t="str">
        <f>VLOOKUP(C1081,[1]Maliteslimalan!$A$1:$B$210,2,0)</f>
        <v>8000012582</v>
      </c>
      <c r="E1081" s="19" t="str">
        <f>VLOOKUP(C1081,[1]Bestellnr.!$A$1:$B$174,2,0)</f>
        <v>000001</v>
      </c>
      <c r="F1081" s="20" t="str">
        <f t="shared" si="532"/>
        <v>N   107 511 01</v>
      </c>
      <c r="G1081" s="21">
        <v>100327000</v>
      </c>
      <c r="H1081" s="17">
        <f t="shared" si="533"/>
        <v>7.1399999999999996E-3</v>
      </c>
      <c r="I1081" s="20"/>
      <c r="J1081" s="17">
        <f t="shared" si="534"/>
        <v>2100</v>
      </c>
      <c r="K1081" s="17">
        <f t="shared" si="535"/>
        <v>0</v>
      </c>
      <c r="L1081" s="22">
        <v>10</v>
      </c>
      <c r="M1081" s="22">
        <v>30</v>
      </c>
      <c r="N1081" s="22">
        <v>111444</v>
      </c>
      <c r="O1081" s="22" t="str">
        <f t="shared" si="536"/>
        <v>001006</v>
      </c>
      <c r="P1081" s="22">
        <f t="shared" si="537"/>
        <v>34</v>
      </c>
      <c r="Q1081" s="22"/>
      <c r="R1081" s="23" t="s">
        <v>153</v>
      </c>
      <c r="S1081" s="22">
        <f t="shared" si="538"/>
        <v>0.56999999999999995</v>
      </c>
      <c r="T1081" s="24">
        <f t="shared" si="539"/>
        <v>0</v>
      </c>
      <c r="U1081" s="25">
        <f t="shared" si="540"/>
        <v>2</v>
      </c>
      <c r="V1081" s="26" t="str">
        <f t="shared" si="541"/>
        <v/>
      </c>
    </row>
    <row r="1082" spans="1:22" ht="48" customHeight="1" x14ac:dyDescent="0.25">
      <c r="A1082" s="17">
        <f>VLOOKUP(C1082,[1]Werke!$A$1:$C$168,3,0)</f>
        <v>43</v>
      </c>
      <c r="B1082" s="17" t="str">
        <f>VLOOKUP(C1082,[1]Werke!$A$1:$C$168,2,0)</f>
        <v>FCK</v>
      </c>
      <c r="C1082" s="18" t="s">
        <v>237</v>
      </c>
      <c r="D1082" s="17" t="str">
        <f>VLOOKUP(C1082,[1]Maliteslimalan!$A$1:$B$210,2,0)</f>
        <v>8000012579</v>
      </c>
      <c r="E1082" s="19" t="str">
        <f>VLOOKUP(C1082,[1]Bestellnr.!$A$1:$B$174,2,0)</f>
        <v>000006</v>
      </c>
      <c r="F1082" s="20" t="str">
        <f t="shared" si="532"/>
        <v>N   107 511 01</v>
      </c>
      <c r="G1082" s="21">
        <v>100327000</v>
      </c>
      <c r="H1082" s="17">
        <f t="shared" si="533"/>
        <v>7.1399999999999996E-3</v>
      </c>
      <c r="I1082" s="20"/>
      <c r="J1082" s="17">
        <f t="shared" si="534"/>
        <v>2100</v>
      </c>
      <c r="K1082" s="17">
        <f t="shared" si="535"/>
        <v>0</v>
      </c>
      <c r="L1082" s="22">
        <v>10</v>
      </c>
      <c r="M1082" s="22">
        <v>30</v>
      </c>
      <c r="N1082" s="22">
        <v>111444</v>
      </c>
      <c r="O1082" s="22" t="str">
        <f t="shared" si="536"/>
        <v>001006</v>
      </c>
      <c r="P1082" s="22">
        <f t="shared" si="537"/>
        <v>34</v>
      </c>
      <c r="Q1082" s="22"/>
      <c r="R1082" s="23" t="s">
        <v>153</v>
      </c>
      <c r="S1082" s="22">
        <f t="shared" si="538"/>
        <v>0.56999999999999995</v>
      </c>
      <c r="T1082" s="24">
        <f t="shared" si="539"/>
        <v>0</v>
      </c>
      <c r="U1082" s="25">
        <f t="shared" si="540"/>
        <v>2</v>
      </c>
      <c r="V1082" s="26" t="str">
        <f t="shared" si="541"/>
        <v/>
      </c>
    </row>
    <row r="1083" spans="1:22" ht="48" customHeight="1" x14ac:dyDescent="0.25">
      <c r="A1083" s="17">
        <f>VLOOKUP(C1083,[1]Werke!$A$1:$C$168,3,0)</f>
        <v>88</v>
      </c>
      <c r="B1083" s="17" t="str">
        <f>VLOOKUP(C1083,[1]Werke!$A$1:$C$168,2,0)</f>
        <v>02</v>
      </c>
      <c r="C1083" s="20" t="s">
        <v>167</v>
      </c>
      <c r="D1083" s="17" t="str">
        <f>VLOOKUP(C1083,[1]Maliteslimalan!$A$1:$B$210,2,0)</f>
        <v>8000012643</v>
      </c>
      <c r="E1083" s="19" t="str">
        <f>VLOOKUP(C1083,[1]Bestellnr.!$A$1:$B$174,2,0)</f>
        <v>000088</v>
      </c>
      <c r="F1083" s="20" t="str">
        <f t="shared" si="532"/>
        <v>N   107 511 01</v>
      </c>
      <c r="G1083" s="21">
        <v>100327000</v>
      </c>
      <c r="H1083" s="17">
        <f t="shared" si="533"/>
        <v>7.1399999999999996E-3</v>
      </c>
      <c r="I1083" s="20"/>
      <c r="J1083" s="17">
        <f t="shared" si="534"/>
        <v>2100</v>
      </c>
      <c r="K1083" s="17">
        <f t="shared" si="535"/>
        <v>0</v>
      </c>
      <c r="L1083" s="22">
        <v>10</v>
      </c>
      <c r="M1083" s="22">
        <v>30</v>
      </c>
      <c r="N1083" s="22">
        <v>111444</v>
      </c>
      <c r="O1083" s="22" t="str">
        <f t="shared" si="536"/>
        <v>001006</v>
      </c>
      <c r="P1083" s="22">
        <f t="shared" si="537"/>
        <v>34</v>
      </c>
      <c r="Q1083" s="22"/>
      <c r="R1083" s="23" t="s">
        <v>153</v>
      </c>
      <c r="S1083" s="22">
        <f t="shared" si="538"/>
        <v>0.56999999999999995</v>
      </c>
      <c r="T1083" s="24">
        <f t="shared" si="539"/>
        <v>0</v>
      </c>
      <c r="U1083" s="25">
        <f t="shared" si="540"/>
        <v>2</v>
      </c>
      <c r="V1083" s="26" t="str">
        <f t="shared" si="541"/>
        <v/>
      </c>
    </row>
    <row r="1084" spans="1:22" ht="48" customHeight="1" x14ac:dyDescent="0.25">
      <c r="A1084" s="17">
        <f>VLOOKUP(C1084,[1]Werke!$A$1:$C$168,3,0)</f>
        <v>14</v>
      </c>
      <c r="B1084" s="17" t="str">
        <f>VLOOKUP(C1084,[1]Werke!$A$1:$C$168,2,0)</f>
        <v>D72</v>
      </c>
      <c r="C1084" s="18" t="s">
        <v>220</v>
      </c>
      <c r="D1084" s="17" t="str">
        <f>VLOOKUP(C1084,[1]Maliteslimalan!$A$1:$B$210,2,0)</f>
        <v>8000013493</v>
      </c>
      <c r="E1084" s="19">
        <f>VLOOKUP(C1084,[1]Bestellnr.!$A$1:$B$174,2,0)</f>
        <v>0</v>
      </c>
      <c r="F1084" s="20" t="str">
        <f t="shared" si="532"/>
        <v>N   107 511 01</v>
      </c>
      <c r="G1084" s="21">
        <v>100327000</v>
      </c>
      <c r="H1084" s="17">
        <f t="shared" si="533"/>
        <v>7.1399999999999996E-3</v>
      </c>
      <c r="I1084" s="20"/>
      <c r="J1084" s="17">
        <f t="shared" si="534"/>
        <v>2100</v>
      </c>
      <c r="K1084" s="17">
        <f t="shared" si="535"/>
        <v>0</v>
      </c>
      <c r="L1084" s="22">
        <v>10</v>
      </c>
      <c r="M1084" s="22">
        <v>30</v>
      </c>
      <c r="N1084" s="22">
        <v>111444</v>
      </c>
      <c r="O1084" s="22" t="str">
        <f t="shared" si="536"/>
        <v>001006</v>
      </c>
      <c r="P1084" s="22">
        <f t="shared" si="537"/>
        <v>34</v>
      </c>
      <c r="Q1084" s="22"/>
      <c r="R1084" s="23" t="s">
        <v>153</v>
      </c>
      <c r="S1084" s="22">
        <f t="shared" si="538"/>
        <v>0.56999999999999995</v>
      </c>
      <c r="T1084" s="24">
        <f t="shared" si="539"/>
        <v>0</v>
      </c>
      <c r="U1084" s="25">
        <f t="shared" si="540"/>
        <v>2</v>
      </c>
      <c r="V1084" s="26" t="str">
        <f t="shared" si="541"/>
        <v/>
      </c>
    </row>
    <row r="1085" spans="1:22" ht="48" customHeight="1" x14ac:dyDescent="0.25">
      <c r="A1085" s="17">
        <f>VLOOKUP(C1085,[1]Werke!$A$1:$C$168,3,0)</f>
        <v>15</v>
      </c>
      <c r="B1085" s="17" t="str">
        <f>VLOOKUP(C1085,[1]Werke!$A$1:$C$168,2,0)</f>
        <v>H9A</v>
      </c>
      <c r="C1085" s="18" t="s">
        <v>240</v>
      </c>
      <c r="D1085" s="17">
        <f>VLOOKUP(C1085,[1]Maliteslimalan!$A$1:$B$210,2,0)</f>
        <v>8000017580</v>
      </c>
      <c r="E1085" s="19">
        <v>6</v>
      </c>
      <c r="F1085" s="20" t="str">
        <f t="shared" si="532"/>
        <v>N   107 511 01</v>
      </c>
      <c r="G1085" s="21">
        <v>100327000</v>
      </c>
      <c r="H1085" s="17">
        <f t="shared" si="533"/>
        <v>7.1399999999999996E-3</v>
      </c>
      <c r="I1085" s="20"/>
      <c r="J1085" s="17">
        <f t="shared" si="534"/>
        <v>2100</v>
      </c>
      <c r="K1085" s="17">
        <f t="shared" si="535"/>
        <v>0</v>
      </c>
      <c r="L1085" s="22">
        <v>10</v>
      </c>
      <c r="M1085" s="22">
        <v>10</v>
      </c>
      <c r="N1085" s="22">
        <v>111444</v>
      </c>
      <c r="O1085" s="22" t="str">
        <f t="shared" si="536"/>
        <v>001006</v>
      </c>
      <c r="P1085" s="22">
        <f t="shared" si="537"/>
        <v>34</v>
      </c>
      <c r="Q1085" s="22"/>
      <c r="R1085" s="23" t="s">
        <v>153</v>
      </c>
      <c r="S1085" s="22">
        <f t="shared" si="538"/>
        <v>0.56999999999999995</v>
      </c>
      <c r="T1085" s="24">
        <f t="shared" si="539"/>
        <v>0</v>
      </c>
      <c r="U1085" s="25">
        <f t="shared" si="540"/>
        <v>2</v>
      </c>
      <c r="V1085" s="26" t="str">
        <f t="shared" si="541"/>
        <v/>
      </c>
    </row>
    <row r="1086" spans="1:22" ht="48" customHeight="1" x14ac:dyDescent="0.25">
      <c r="A1086" s="17">
        <f>VLOOKUP(C1086,[1]Werke!$A$1:$C$168,3,0)</f>
        <v>31</v>
      </c>
      <c r="B1086" s="17" t="str">
        <f>VLOOKUP(C1086,[1]Werke!$A$1:$C$168,2,0)</f>
        <v>BB7</v>
      </c>
      <c r="C1086" s="18" t="s">
        <v>335</v>
      </c>
      <c r="D1086" s="17" t="str">
        <f>VLOOKUP(C1086,[1]Maliteslimalan!$A$1:$B$210,2,0)</f>
        <v>8000014343</v>
      </c>
      <c r="E1086" s="19" t="str">
        <f>VLOOKUP(C1086,[1]Bestellnr.!$A$1:$B$174,2,0)</f>
        <v>000006</v>
      </c>
      <c r="F1086" s="20" t="str">
        <f t="shared" si="532"/>
        <v>N   107 511 01</v>
      </c>
      <c r="G1086" s="21">
        <v>100327000</v>
      </c>
      <c r="H1086" s="17">
        <f t="shared" si="533"/>
        <v>7.1399999999999996E-3</v>
      </c>
      <c r="I1086" s="20"/>
      <c r="J1086" s="17">
        <f t="shared" si="534"/>
        <v>2100</v>
      </c>
      <c r="K1086" s="17">
        <f t="shared" si="535"/>
        <v>0</v>
      </c>
      <c r="L1086" s="22">
        <v>20</v>
      </c>
      <c r="M1086" s="22">
        <v>20</v>
      </c>
      <c r="N1086" s="22" t="s">
        <v>155</v>
      </c>
      <c r="O1086" s="22" t="str">
        <f t="shared" si="536"/>
        <v>001210</v>
      </c>
      <c r="P1086" s="22">
        <f t="shared" si="537"/>
        <v>55</v>
      </c>
      <c r="Q1086" s="22"/>
      <c r="R1086" s="23" t="s">
        <v>153</v>
      </c>
      <c r="S1086" s="22">
        <f t="shared" si="538"/>
        <v>0.56999999999999995</v>
      </c>
      <c r="T1086" s="24">
        <f t="shared" si="539"/>
        <v>0</v>
      </c>
      <c r="U1086" s="25">
        <f t="shared" si="540"/>
        <v>2</v>
      </c>
      <c r="V1086" s="26" t="str">
        <f t="shared" si="541"/>
        <v/>
      </c>
    </row>
    <row r="1087" spans="1:22" ht="48" customHeight="1" x14ac:dyDescent="0.25">
      <c r="A1087" s="17">
        <f>VLOOKUP(C1087,[1]Werke!$A$1:$C$168,3,0)</f>
        <v>42</v>
      </c>
      <c r="B1087" s="17" t="str">
        <f>VLOOKUP(C1087,[1]Werke!$A$1:$C$168,2,0)</f>
        <v>CC1</v>
      </c>
      <c r="C1087" s="18" t="s">
        <v>241</v>
      </c>
      <c r="D1087" s="17" t="str">
        <f>VLOOKUP(C1087,[1]Maliteslimalan!$A$1:$B$210,2,0)</f>
        <v>8000012577</v>
      </c>
      <c r="E1087" s="19" t="str">
        <f>VLOOKUP(C1087,[1]Bestellnr.!$A$1:$B$174,2,0)</f>
        <v>000001</v>
      </c>
      <c r="F1087" s="20" t="str">
        <f t="shared" si="532"/>
        <v>N   107 511 01</v>
      </c>
      <c r="G1087" s="21">
        <v>100327000</v>
      </c>
      <c r="H1087" s="17">
        <f t="shared" si="533"/>
        <v>7.1399999999999996E-3</v>
      </c>
      <c r="I1087" s="20"/>
      <c r="J1087" s="17">
        <f t="shared" si="534"/>
        <v>2100</v>
      </c>
      <c r="K1087" s="17">
        <f t="shared" si="535"/>
        <v>0</v>
      </c>
      <c r="L1087" s="22">
        <v>20</v>
      </c>
      <c r="M1087" s="22">
        <v>20</v>
      </c>
      <c r="N1087" s="22" t="s">
        <v>155</v>
      </c>
      <c r="O1087" s="22" t="str">
        <f t="shared" si="536"/>
        <v>001210</v>
      </c>
      <c r="P1087" s="22">
        <f t="shared" si="537"/>
        <v>55</v>
      </c>
      <c r="Q1087" s="22"/>
      <c r="R1087" s="23" t="s">
        <v>153</v>
      </c>
      <c r="S1087" s="22">
        <f t="shared" si="538"/>
        <v>0.56999999999999995</v>
      </c>
      <c r="T1087" s="24">
        <f t="shared" si="539"/>
        <v>0</v>
      </c>
      <c r="U1087" s="25">
        <f t="shared" si="540"/>
        <v>2</v>
      </c>
      <c r="V1087" s="26" t="str">
        <f t="shared" si="541"/>
        <v/>
      </c>
    </row>
    <row r="1088" spans="1:22" ht="48" customHeight="1" x14ac:dyDescent="0.25">
      <c r="A1088" s="17" t="str">
        <f>VLOOKUP(C1088,[1]Werke!$A$1:$C$168,3,0)</f>
        <v>IM</v>
      </c>
      <c r="B1088" s="17">
        <f>VLOOKUP(C1088,[1]Werke!$A$1:$C$168,2,0)</f>
        <v>889</v>
      </c>
      <c r="C1088" s="18" t="s">
        <v>225</v>
      </c>
      <c r="D1088" s="17">
        <f>VLOOKUP(C1088,[1]Maliteslimalan!$A$1:$B$210,2,0)</f>
        <v>8000017117</v>
      </c>
      <c r="E1088" s="19">
        <v>6</v>
      </c>
      <c r="F1088" s="20" t="str">
        <f t="shared" si="532"/>
        <v>N   107 511 01</v>
      </c>
      <c r="G1088" s="21">
        <v>100327000</v>
      </c>
      <c r="H1088" s="17">
        <f t="shared" si="533"/>
        <v>7.1399999999999996E-3</v>
      </c>
      <c r="I1088" s="20"/>
      <c r="J1088" s="17">
        <f t="shared" si="534"/>
        <v>2100</v>
      </c>
      <c r="K1088" s="17">
        <f t="shared" si="535"/>
        <v>0</v>
      </c>
      <c r="L1088" s="22">
        <v>20</v>
      </c>
      <c r="M1088" s="22">
        <v>20</v>
      </c>
      <c r="N1088" s="22" t="s">
        <v>155</v>
      </c>
      <c r="O1088" s="22" t="str">
        <f t="shared" si="536"/>
        <v>001210</v>
      </c>
      <c r="P1088" s="22">
        <f t="shared" si="537"/>
        <v>55</v>
      </c>
      <c r="Q1088" s="22"/>
      <c r="R1088" s="23" t="s">
        <v>153</v>
      </c>
      <c r="S1088" s="22">
        <f t="shared" si="538"/>
        <v>0.56999999999999995</v>
      </c>
      <c r="T1088" s="24">
        <f t="shared" si="539"/>
        <v>0</v>
      </c>
      <c r="U1088" s="25">
        <f t="shared" si="540"/>
        <v>2</v>
      </c>
      <c r="V1088" s="26" t="str">
        <f t="shared" si="541"/>
        <v/>
      </c>
    </row>
    <row r="1089" spans="1:22" ht="48" customHeight="1" x14ac:dyDescent="0.25">
      <c r="A1089" s="17" t="str">
        <f>VLOOKUP(C1089,[1]Werke!$A$1:$C$168,3,0)</f>
        <v>3T</v>
      </c>
      <c r="B1089" s="17" t="str">
        <f>VLOOKUP(C1089,[1]Werke!$A$1:$C$168,2,0)</f>
        <v>BZ5</v>
      </c>
      <c r="C1089" s="18" t="s">
        <v>242</v>
      </c>
      <c r="D1089" s="17">
        <f>VLOOKUP(C1089,[1]Maliteslimalan!$A$1:$B$210,2,0)</f>
        <v>8000012711</v>
      </c>
      <c r="E1089" s="19">
        <v>6</v>
      </c>
      <c r="F1089" s="20" t="str">
        <f t="shared" si="532"/>
        <v>N   107 511 01</v>
      </c>
      <c r="G1089" s="21">
        <v>100327000</v>
      </c>
      <c r="H1089" s="17">
        <f t="shared" si="533"/>
        <v>7.1399999999999996E-3</v>
      </c>
      <c r="I1089" s="20"/>
      <c r="J1089" s="17">
        <f t="shared" si="534"/>
        <v>2100</v>
      </c>
      <c r="K1089" s="17">
        <f t="shared" si="535"/>
        <v>0</v>
      </c>
      <c r="L1089" s="22">
        <v>10</v>
      </c>
      <c r="M1089" s="22">
        <v>10</v>
      </c>
      <c r="N1089" s="22">
        <v>111444</v>
      </c>
      <c r="O1089" s="22" t="str">
        <f t="shared" si="536"/>
        <v>001006</v>
      </c>
      <c r="P1089" s="22">
        <f t="shared" si="537"/>
        <v>34</v>
      </c>
      <c r="Q1089" s="22"/>
      <c r="R1089" s="23" t="s">
        <v>153</v>
      </c>
      <c r="S1089" s="22">
        <f t="shared" si="538"/>
        <v>0.56999999999999995</v>
      </c>
      <c r="T1089" s="24">
        <f t="shared" si="539"/>
        <v>0</v>
      </c>
      <c r="U1089" s="25">
        <f t="shared" si="540"/>
        <v>2</v>
      </c>
      <c r="V1089" s="26" t="str">
        <f t="shared" si="541"/>
        <v/>
      </c>
    </row>
    <row r="1090" spans="1:22" ht="48" customHeight="1" x14ac:dyDescent="0.25">
      <c r="A1090" s="17" t="str">
        <f>VLOOKUP(C1090,[1]Werke!$A$1:$C$168,3,0)</f>
        <v>3G</v>
      </c>
      <c r="B1090" s="17" t="str">
        <f>VLOOKUP(C1090,[1]Werke!$A$1:$C$168,2,0)</f>
        <v>1AB</v>
      </c>
      <c r="C1090" s="18" t="s">
        <v>336</v>
      </c>
      <c r="D1090" s="17">
        <f>VLOOKUP(C1090,[1]Maliteslimalan!$A$1:$B$210,2,0)</f>
        <v>8000017649</v>
      </c>
      <c r="E1090" s="19">
        <v>6</v>
      </c>
      <c r="F1090" s="20" t="str">
        <f t="shared" si="532"/>
        <v>N   107 511 01</v>
      </c>
      <c r="G1090" s="21">
        <v>100327000</v>
      </c>
      <c r="H1090" s="17">
        <f t="shared" si="533"/>
        <v>7.1399999999999996E-3</v>
      </c>
      <c r="I1090" s="20"/>
      <c r="J1090" s="17">
        <f t="shared" si="534"/>
        <v>2100</v>
      </c>
      <c r="K1090" s="17">
        <f t="shared" si="535"/>
        <v>0</v>
      </c>
      <c r="L1090" s="22">
        <v>20</v>
      </c>
      <c r="M1090" s="22">
        <v>20</v>
      </c>
      <c r="N1090" s="22" t="s">
        <v>155</v>
      </c>
      <c r="O1090" s="22" t="str">
        <f t="shared" si="536"/>
        <v>001210</v>
      </c>
      <c r="P1090" s="22">
        <f t="shared" si="537"/>
        <v>55</v>
      </c>
      <c r="Q1090" s="22"/>
      <c r="R1090" s="23" t="s">
        <v>153</v>
      </c>
      <c r="S1090" s="22">
        <f t="shared" si="538"/>
        <v>0.56999999999999995</v>
      </c>
      <c r="T1090" s="24">
        <f t="shared" si="539"/>
        <v>0</v>
      </c>
      <c r="U1090" s="25">
        <f t="shared" si="540"/>
        <v>2</v>
      </c>
      <c r="V1090" s="26" t="str">
        <f t="shared" si="541"/>
        <v/>
      </c>
    </row>
    <row r="1091" spans="1:22" ht="48" customHeight="1" x14ac:dyDescent="0.25">
      <c r="A1091" s="17">
        <v>21</v>
      </c>
      <c r="B1091" s="17" t="e">
        <f>VLOOKUP(C1091,[1]Werke!$A$1:$C$168,2,0)</f>
        <v>#N/A</v>
      </c>
      <c r="C1091" s="18">
        <v>65542</v>
      </c>
      <c r="D1091" s="17">
        <f>VLOOKUP(C1091,[1]Maliteslimalan!$A$1:$B$210,2,0)</f>
        <v>8000017751</v>
      </c>
      <c r="E1091" s="19">
        <v>6</v>
      </c>
      <c r="F1091" s="20" t="str">
        <f t="shared" si="532"/>
        <v>N   107 511 01</v>
      </c>
      <c r="G1091" s="21">
        <v>100327000</v>
      </c>
      <c r="H1091" s="17">
        <f t="shared" si="533"/>
        <v>7.1399999999999996E-3</v>
      </c>
      <c r="I1091" s="20"/>
      <c r="J1091" s="17">
        <f t="shared" si="534"/>
        <v>2100</v>
      </c>
      <c r="K1091" s="17">
        <f t="shared" si="535"/>
        <v>0</v>
      </c>
      <c r="L1091" s="22">
        <v>20</v>
      </c>
      <c r="M1091" s="22">
        <v>20</v>
      </c>
      <c r="N1091" s="22" t="s">
        <v>155</v>
      </c>
      <c r="O1091" s="22" t="str">
        <f t="shared" si="536"/>
        <v>001210</v>
      </c>
      <c r="P1091" s="22">
        <f t="shared" si="537"/>
        <v>55</v>
      </c>
      <c r="Q1091" s="22"/>
      <c r="R1091" s="23" t="s">
        <v>153</v>
      </c>
      <c r="S1091" s="22">
        <f t="shared" si="538"/>
        <v>0.56999999999999995</v>
      </c>
      <c r="T1091" s="24">
        <f t="shared" si="539"/>
        <v>0</v>
      </c>
      <c r="U1091" s="25">
        <f t="shared" si="540"/>
        <v>2</v>
      </c>
      <c r="V1091" s="26" t="str">
        <f t="shared" si="541"/>
        <v/>
      </c>
    </row>
    <row r="1092" spans="1:22" ht="48" customHeight="1" x14ac:dyDescent="0.25">
      <c r="A1092" s="17">
        <f>VLOOKUP(C1092,[1]Werke!$A$1:$C$168,3,0)</f>
        <v>24</v>
      </c>
      <c r="B1092" s="17" t="str">
        <f>VLOOKUP(C1092,[1]Werke!$A$1:$C$168,2,0)</f>
        <v>CKS</v>
      </c>
      <c r="C1092" s="18" t="s">
        <v>245</v>
      </c>
      <c r="D1092" s="17" t="str">
        <f>VLOOKUP(C1092,[1]Maliteslimalan!$A$1:$B$210,2,0)</f>
        <v>8000012647</v>
      </c>
      <c r="E1092" s="19" t="str">
        <f>VLOOKUP(C1092,[1]Bestellnr.!$A$1:$B$174,2,0)</f>
        <v>000006</v>
      </c>
      <c r="F1092" s="20" t="str">
        <f t="shared" si="532"/>
        <v>N   107 511 01</v>
      </c>
      <c r="G1092" s="21">
        <v>100327000</v>
      </c>
      <c r="H1092" s="17">
        <f t="shared" si="533"/>
        <v>7.1399999999999996E-3</v>
      </c>
      <c r="I1092" s="20"/>
      <c r="J1092" s="17">
        <f t="shared" si="534"/>
        <v>2100</v>
      </c>
      <c r="K1092" s="17">
        <f t="shared" si="535"/>
        <v>0</v>
      </c>
      <c r="L1092" s="22">
        <v>10</v>
      </c>
      <c r="M1092" s="22">
        <v>30</v>
      </c>
      <c r="N1092" s="22">
        <v>111444</v>
      </c>
      <c r="O1092" s="22" t="str">
        <f t="shared" si="536"/>
        <v>001006</v>
      </c>
      <c r="P1092" s="22">
        <f t="shared" si="537"/>
        <v>34</v>
      </c>
      <c r="Q1092" s="22"/>
      <c r="R1092" s="23" t="s">
        <v>153</v>
      </c>
      <c r="S1092" s="22">
        <f t="shared" si="538"/>
        <v>0.56999999999999995</v>
      </c>
      <c r="T1092" s="24">
        <f t="shared" si="539"/>
        <v>0</v>
      </c>
      <c r="U1092" s="25">
        <f t="shared" si="540"/>
        <v>2</v>
      </c>
      <c r="V1092" s="26" t="str">
        <f t="shared" si="541"/>
        <v/>
      </c>
    </row>
    <row r="1093" spans="1:22" ht="48" customHeight="1" x14ac:dyDescent="0.25">
      <c r="A1093" s="17"/>
      <c r="B1093" s="17"/>
      <c r="C1093" s="18"/>
      <c r="D1093" s="17"/>
      <c r="E1093" s="19"/>
      <c r="F1093" s="20"/>
      <c r="G1093" s="21"/>
      <c r="H1093" s="17"/>
      <c r="I1093" s="20"/>
      <c r="J1093" s="17"/>
      <c r="K1093" s="17"/>
      <c r="L1093" s="22"/>
      <c r="M1093" s="22"/>
      <c r="N1093" s="22"/>
      <c r="O1093" s="22"/>
      <c r="P1093" s="22"/>
      <c r="Q1093" s="22"/>
      <c r="R1093" s="23"/>
      <c r="S1093" s="22"/>
      <c r="T1093" s="24"/>
      <c r="U1093" s="25"/>
    </row>
    <row r="1094" spans="1:22" ht="48" customHeight="1" x14ac:dyDescent="0.25">
      <c r="A1094" s="17" t="str">
        <f>VLOOKUP(C1094,[1]Werke!$A$1:$C$168,3,0)</f>
        <v>LD</v>
      </c>
      <c r="B1094" s="17" t="str">
        <f>VLOOKUP(C1094,[1]Werke!$A$1:$C$168,2,0)</f>
        <v>SLD</v>
      </c>
      <c r="C1094" s="18">
        <v>83630</v>
      </c>
      <c r="D1094" s="17" t="str">
        <f>VLOOKUP(C1094,[1]Maliteslimalan!$A$1:$B$210,2,0)</f>
        <v>8000012862</v>
      </c>
      <c r="E1094" s="19" t="str">
        <f>VLOOKUP(C1094,[1]Bestellnr.!$A$1:$B$174,2,0)</f>
        <v>000006</v>
      </c>
      <c r="F1094" s="20" t="str">
        <f>VLOOKUP(G1094,$U$1:$V$1730,2,0)</f>
        <v>N   912 616 01</v>
      </c>
      <c r="G1094" s="21">
        <v>969196000</v>
      </c>
      <c r="H1094" s="17">
        <f>VLOOKUP(G1094,Z$2:AA$1905,2,FALSE)</f>
        <v>5.7000000000000002E-3</v>
      </c>
      <c r="I1094" s="20"/>
      <c r="J1094" s="17">
        <f>VLOOKUP(G1094,W$2:X$1905,2,FALSE)</f>
        <v>2000</v>
      </c>
      <c r="K1094" s="17">
        <f>I1094/J1094</f>
        <v>0</v>
      </c>
      <c r="L1094" s="22">
        <v>10</v>
      </c>
      <c r="M1094" s="22">
        <v>30</v>
      </c>
      <c r="N1094" s="22">
        <v>111444</v>
      </c>
      <c r="O1094" s="22" t="str">
        <f>VLOOKUP(N1094,$AL$1285:$AM$1310,2,FALSE)</f>
        <v>001006</v>
      </c>
      <c r="P1094" s="22">
        <f>VLOOKUP(N1094,AC$2:AD$1905,2,FALSE)</f>
        <v>34</v>
      </c>
      <c r="Q1094" s="22"/>
      <c r="R1094" s="23" t="s">
        <v>153</v>
      </c>
      <c r="S1094" s="22">
        <f>VLOOKUP(R1094,AC$2:AD$1905,2,FALSE)</f>
        <v>0.56999999999999995</v>
      </c>
      <c r="T1094" s="24">
        <f>(H1094*I1094)+P1094*Q1094+S1094*K1094</f>
        <v>0</v>
      </c>
      <c r="U1094" s="25">
        <f>IF(TRIM(N1094&amp;"")="111444",
    IF(ROUNDUP(MAX(0,K1094-(MAX(1,Q1094)-1)*10)/10,0)=1,3,2),
    IF(TRIM(N1094&amp;"")="VWPAL",
        IF(TRIM(R1094&amp;"")="004147",1,2),
        ""
    )
)</f>
        <v>2</v>
      </c>
      <c r="V1094" s="26" t="str">
        <f>IF(OR(TRIM(N1094&amp;"")="111444",TRIM(N1094&amp;"")="VWPAL"),
    IF(K1094&lt;=0,"",
        IF(
            MIN(3,ROUNDUP(MAX(0,K1094-(MAX(1,Q1094)-1)*IF(TRIM(N1094&amp;"")="111444",10,20))/IF(TRIM(N1094&amp;"")="111444",10,20),0))=1,
            300,
            IF(
                MIN(3,ROUNDUP(MAX(0,K1094-(MAX(1,Q1094)-1)*IF(TRIM(N1094&amp;"")="111444",10,20))/IF(TRIM(N1094&amp;"")="111444",10,20),0))=2,
                450,
                600
            )
        )
    ),
    ""
)</f>
        <v/>
      </c>
    </row>
    <row r="1095" spans="1:22" ht="48" customHeight="1" x14ac:dyDescent="0.25">
      <c r="A1095" s="17">
        <f>VLOOKUP(C1095,[1]Werke!$A$1:$C$168,3,0)</f>
        <v>88</v>
      </c>
      <c r="B1095" s="17" t="str">
        <f>VLOOKUP(C1095,[1]Werke!$A$1:$C$168,2,0)</f>
        <v>02</v>
      </c>
      <c r="C1095" s="20" t="s">
        <v>167</v>
      </c>
      <c r="D1095" s="17" t="str">
        <f>VLOOKUP(C1095,[1]Maliteslimalan!$A$1:$B$210,2,0)</f>
        <v>8000012643</v>
      </c>
      <c r="E1095" s="19" t="str">
        <f>VLOOKUP(C1095,[1]Bestellnr.!$A$1:$B$174,2,0)</f>
        <v>000088</v>
      </c>
      <c r="F1095" s="20" t="str">
        <f>VLOOKUP(G1095,$U$1:$V$1730,2,0)</f>
        <v>N   912 616 01</v>
      </c>
      <c r="G1095" s="21">
        <v>969196000</v>
      </c>
      <c r="H1095" s="17">
        <f>VLOOKUP(G1095,Z$2:AA$1905,2,FALSE)</f>
        <v>5.7000000000000002E-3</v>
      </c>
      <c r="I1095" s="20"/>
      <c r="J1095" s="17">
        <f>VLOOKUP(G1095,W$2:X$1905,2,FALSE)</f>
        <v>2000</v>
      </c>
      <c r="K1095" s="17">
        <f>I1095/J1095</f>
        <v>0</v>
      </c>
      <c r="L1095" s="22">
        <v>10</v>
      </c>
      <c r="M1095" s="22">
        <v>30</v>
      </c>
      <c r="N1095" s="22">
        <v>111444</v>
      </c>
      <c r="O1095" s="22" t="str">
        <f>VLOOKUP(N1095,$AL$1285:$AM$1310,2,FALSE)</f>
        <v>001006</v>
      </c>
      <c r="P1095" s="22">
        <f>VLOOKUP(N1095,AC$2:AD$1905,2,FALSE)</f>
        <v>34</v>
      </c>
      <c r="Q1095" s="22"/>
      <c r="R1095" s="23" t="s">
        <v>153</v>
      </c>
      <c r="S1095" s="22">
        <f>VLOOKUP(R1095,AC$2:AD$1905,2,FALSE)</f>
        <v>0.56999999999999995</v>
      </c>
      <c r="T1095" s="24">
        <f>(H1095*I1095)+P1095*Q1095+S1095*K1095</f>
        <v>0</v>
      </c>
      <c r="U1095" s="25">
        <f>IF(TRIM(N1095&amp;"")="111444",
    IF(ROUNDUP(MAX(0,K1095-(MAX(1,Q1095)-1)*10)/10,0)=1,3,2),
    IF(TRIM(N1095&amp;"")="VWPAL",
        IF(TRIM(R1095&amp;"")="004147",1,2),
        ""
    )
)</f>
        <v>2</v>
      </c>
      <c r="V1095" s="26" t="str">
        <f>IF(OR(TRIM(N1095&amp;"")="111444",TRIM(N1095&amp;"")="VWPAL"),
    IF(K1095&lt;=0,"",
        IF(
            MIN(3,ROUNDUP(MAX(0,K1095-(MAX(1,Q1095)-1)*IF(TRIM(N1095&amp;"")="111444",10,20))/IF(TRIM(N1095&amp;"")="111444",10,20),0))=1,
            300,
            IF(
                MIN(3,ROUNDUP(MAX(0,K1095-(MAX(1,Q1095)-1)*IF(TRIM(N1095&amp;"")="111444",10,20))/IF(TRIM(N1095&amp;"")="111444",10,20),0))=2,
                450,
                600
            )
        )
    ),
    ""
)</f>
        <v/>
      </c>
    </row>
    <row r="1096" spans="1:22" ht="48" customHeight="1" x14ac:dyDescent="0.25">
      <c r="A1096" s="17">
        <f>VLOOKUP(C1096,[1]Werke!$A$1:$C$168,3,0)</f>
        <v>14</v>
      </c>
      <c r="B1096" s="17" t="str">
        <f>VLOOKUP(C1096,[1]Werke!$A$1:$C$168,2,0)</f>
        <v>D85</v>
      </c>
      <c r="C1096" s="18" t="s">
        <v>239</v>
      </c>
      <c r="D1096" s="17" t="str">
        <f>VLOOKUP(C1096,[1]Maliteslimalan!$A$1:$B$210,2,0)</f>
        <v>8000012682</v>
      </c>
      <c r="E1096" s="19">
        <f>VLOOKUP(C1096,[1]Bestellnr.!$A$1:$B$174,2,0)</f>
        <v>0</v>
      </c>
      <c r="F1096" s="20" t="str">
        <f>VLOOKUP(G1096,$U$1:$V$1730,2,0)</f>
        <v>N   912 616 01</v>
      </c>
      <c r="G1096" s="21">
        <v>969196000</v>
      </c>
      <c r="H1096" s="17">
        <f>VLOOKUP(G1096,Z$2:AA$1905,2,FALSE)</f>
        <v>5.7000000000000002E-3</v>
      </c>
      <c r="I1096" s="20"/>
      <c r="J1096" s="17">
        <f>VLOOKUP(G1096,W$2:X$1905,2,FALSE)</f>
        <v>2000</v>
      </c>
      <c r="K1096" s="17">
        <f>I1096/J1096</f>
        <v>0</v>
      </c>
      <c r="L1096" s="22">
        <v>10</v>
      </c>
      <c r="M1096" s="22">
        <v>30</v>
      </c>
      <c r="N1096" s="22">
        <v>111444</v>
      </c>
      <c r="O1096" s="22" t="str">
        <f>VLOOKUP(N1096,$AL$1285:$AM$1310,2,FALSE)</f>
        <v>001006</v>
      </c>
      <c r="P1096" s="22">
        <f>VLOOKUP(N1096,AC$2:AD$1905,2,FALSE)</f>
        <v>34</v>
      </c>
      <c r="Q1096" s="22"/>
      <c r="R1096" s="23" t="s">
        <v>153</v>
      </c>
      <c r="S1096" s="22">
        <f>VLOOKUP(R1096,AC$2:AD$1905,2,FALSE)</f>
        <v>0.56999999999999995</v>
      </c>
      <c r="T1096" s="24">
        <f>(H1096*I1096)+P1096*Q1096+S1096*K1096</f>
        <v>0</v>
      </c>
      <c r="U1096" s="25">
        <f>IF(TRIM(N1096&amp;"")="111444",
    IF(ROUNDUP(MAX(0,K1096-(MAX(1,Q1096)-1)*10)/10,0)=1,3,2),
    IF(TRIM(N1096&amp;"")="VWPAL",
        IF(TRIM(R1096&amp;"")="004147",1,2),
        ""
    )
)</f>
        <v>2</v>
      </c>
      <c r="V1096" s="26" t="str">
        <f>IF(OR(TRIM(N1096&amp;"")="111444",TRIM(N1096&amp;"")="VWPAL"),
    IF(K1096&lt;=0,"",
        IF(
            MIN(3,ROUNDUP(MAX(0,K1096-(MAX(1,Q1096)-1)*IF(TRIM(N1096&amp;"")="111444",10,20))/IF(TRIM(N1096&amp;"")="111444",10,20),0))=1,
            300,
            IF(
                MIN(3,ROUNDUP(MAX(0,K1096-(MAX(1,Q1096)-1)*IF(TRIM(N1096&amp;"")="111444",10,20))/IF(TRIM(N1096&amp;"")="111444",10,20),0))=2,
                450,
                600
            )
        )
    ),
    ""
)</f>
        <v/>
      </c>
    </row>
    <row r="1097" spans="1:22" ht="48" customHeight="1" x14ac:dyDescent="0.25">
      <c r="A1097" s="17"/>
      <c r="B1097" s="17"/>
      <c r="C1097" s="18"/>
      <c r="D1097" s="17"/>
      <c r="E1097" s="19"/>
      <c r="F1097" s="20"/>
      <c r="G1097" s="21"/>
      <c r="H1097" s="17"/>
      <c r="I1097" s="20"/>
      <c r="J1097" s="17"/>
      <c r="K1097" s="17"/>
      <c r="L1097" s="22"/>
      <c r="M1097" s="22"/>
      <c r="N1097" s="22"/>
      <c r="O1097" s="22"/>
      <c r="P1097" s="22"/>
      <c r="Q1097" s="22"/>
      <c r="R1097" s="23"/>
      <c r="S1097" s="22"/>
      <c r="T1097" s="24"/>
      <c r="U1097" s="25"/>
    </row>
    <row r="1098" spans="1:22" ht="48" customHeight="1" x14ac:dyDescent="0.25">
      <c r="A1098" s="17">
        <f>VLOOKUP(C1098,[1]Werke!$A$1:$C$168,3,0)</f>
        <v>13</v>
      </c>
      <c r="B1098" s="17" t="str">
        <f>VLOOKUP(C1098,[1]Werke!$A$1:$C$168,2,0)</f>
        <v>23A</v>
      </c>
      <c r="C1098" s="18" t="s">
        <v>337</v>
      </c>
      <c r="D1098" s="17" t="str">
        <f>VLOOKUP(C1098,[1]Maliteslimalan!$A$1:$B$210,2,0)</f>
        <v>8000012645</v>
      </c>
      <c r="E1098" s="19" t="str">
        <f>VLOOKUP(C1098,[1]Bestellnr.!$A$1:$B$174,2,0)</f>
        <v>000006</v>
      </c>
      <c r="F1098" s="20" t="str">
        <f t="shared" ref="F1098:F1103" si="542">VLOOKUP(G1098,$U$1:$V$1730,2,0)</f>
        <v>N   106 610 02</v>
      </c>
      <c r="G1098" s="21">
        <v>100326600</v>
      </c>
      <c r="H1098" s="17">
        <f t="shared" ref="H1098:H1103" si="543">VLOOKUP(G1098,Z$2:AA$1905,2,FALSE)</f>
        <v>7.1399999999999996E-3</v>
      </c>
      <c r="I1098" s="20"/>
      <c r="J1098" s="17">
        <f>VLOOKUP(G1098,W$2:X$1905,2,FALSE)</f>
        <v>1500</v>
      </c>
      <c r="K1098" s="17">
        <f t="shared" ref="K1098:K1103" si="544">I1098/J1098</f>
        <v>0</v>
      </c>
      <c r="L1098" s="22">
        <v>10</v>
      </c>
      <c r="M1098" s="22">
        <v>30</v>
      </c>
      <c r="N1098" s="22">
        <v>111444</v>
      </c>
      <c r="O1098" s="22" t="str">
        <f t="shared" ref="O1098:O1103" si="545">VLOOKUP(N1098,$AL$1285:$AM$1310,2,FALSE)</f>
        <v>001006</v>
      </c>
      <c r="P1098" s="22">
        <f t="shared" ref="P1098:P1103" si="546">VLOOKUP(N1098,AC$2:AD$1905,2,FALSE)</f>
        <v>34</v>
      </c>
      <c r="Q1098" s="22"/>
      <c r="R1098" s="23" t="s">
        <v>153</v>
      </c>
      <c r="S1098" s="22">
        <f t="shared" ref="S1098:S1103" si="547">VLOOKUP(R1098,AC$2:AD$1905,2,FALSE)</f>
        <v>0.56999999999999995</v>
      </c>
      <c r="T1098" s="24">
        <f t="shared" ref="T1098:T1103" si="548">(H1098*I1098)+P1098*Q1098+S1098*K1098</f>
        <v>0</v>
      </c>
      <c r="U1098" s="25">
        <f t="shared" ref="U1098:U1103" si="549">IF(TRIM(N1098&amp;"")="111444",
    IF(ROUNDUP(MAX(0,K1098-(MAX(1,Q1098)-1)*10)/10,0)=1,3,2),
    IF(TRIM(N1098&amp;"")="VWPAL",
        IF(TRIM(R1098&amp;"")="004147",1,2),
        ""
    )
)</f>
        <v>2</v>
      </c>
      <c r="V1098" s="26" t="str">
        <f t="shared" ref="V1098:V1103" si="550">IF(OR(TRIM(N1098&amp;"")="111444",TRIM(N1098&amp;"")="VWPAL"),
    IF(K1098&lt;=0,"",
        IF(
            MIN(3,ROUNDUP(MAX(0,K1098-(MAX(1,Q1098)-1)*IF(TRIM(N1098&amp;"")="111444",10,20))/IF(TRIM(N1098&amp;"")="111444",10,20),0))=1,
            300,
            IF(
                MIN(3,ROUNDUP(MAX(0,K1098-(MAX(1,Q1098)-1)*IF(TRIM(N1098&amp;"")="111444",10,20))/IF(TRIM(N1098&amp;"")="111444",10,20),0))=2,
                450,
                600
            )
        )
    ),
    ""
)</f>
        <v/>
      </c>
    </row>
    <row r="1099" spans="1:22" ht="48" customHeight="1" x14ac:dyDescent="0.25">
      <c r="A1099" s="17">
        <f>VLOOKUP(C1099,[1]Werke!$A$1:$C$168,3,0)</f>
        <v>49</v>
      </c>
      <c r="B1099" s="17" t="str">
        <f>VLOOKUP(C1099,[1]Werke!$A$1:$C$168,2,0)</f>
        <v>CT</v>
      </c>
      <c r="C1099" s="18" t="s">
        <v>217</v>
      </c>
      <c r="D1099" s="17" t="str">
        <f>VLOOKUP(C1099,[1]Maliteslimalan!$A$1:$B$210,2,0)</f>
        <v>8000012574</v>
      </c>
      <c r="E1099" s="19" t="str">
        <f>VLOOKUP(C1099,[1]Bestellnr.!$A$1:$B$174,2,0)</f>
        <v>000001</v>
      </c>
      <c r="F1099" s="20" t="str">
        <f t="shared" si="542"/>
        <v>N   106 610 02</v>
      </c>
      <c r="G1099" s="21">
        <v>100326600</v>
      </c>
      <c r="H1099" s="17">
        <f t="shared" si="543"/>
        <v>7.1399999999999996E-3</v>
      </c>
      <c r="I1099" s="20"/>
      <c r="J1099" s="17">
        <f>VLOOKUP(G1099,W$2:X$1905,2,FALSE)</f>
        <v>1500</v>
      </c>
      <c r="K1099" s="17">
        <f t="shared" si="544"/>
        <v>0</v>
      </c>
      <c r="L1099" s="22">
        <v>10</v>
      </c>
      <c r="M1099" s="22">
        <v>30</v>
      </c>
      <c r="N1099" s="22">
        <v>111444</v>
      </c>
      <c r="O1099" s="22" t="str">
        <f t="shared" si="545"/>
        <v>001006</v>
      </c>
      <c r="P1099" s="22">
        <f t="shared" si="546"/>
        <v>34</v>
      </c>
      <c r="Q1099" s="22"/>
      <c r="R1099" s="23" t="s">
        <v>153</v>
      </c>
      <c r="S1099" s="22">
        <f t="shared" si="547"/>
        <v>0.56999999999999995</v>
      </c>
      <c r="T1099" s="24">
        <f t="shared" si="548"/>
        <v>0</v>
      </c>
      <c r="U1099" s="25">
        <f t="shared" si="549"/>
        <v>2</v>
      </c>
      <c r="V1099" s="26" t="str">
        <f t="shared" si="550"/>
        <v/>
      </c>
    </row>
    <row r="1100" spans="1:22" ht="48" customHeight="1" x14ac:dyDescent="0.25">
      <c r="A1100" s="17">
        <f>VLOOKUP(C1100,[1]Werke!$A$1:$C$168,3,0)</f>
        <v>12</v>
      </c>
      <c r="B1100" s="17">
        <f>VLOOKUP(C1100,[1]Werke!$A$1:$C$168,2,0)</f>
        <v>0</v>
      </c>
      <c r="C1100" s="18" t="s">
        <v>338</v>
      </c>
      <c r="D1100" s="17">
        <f>VLOOKUP(C1100,[1]Maliteslimalan!$A$1:$B$210,2,0)</f>
        <v>8000017843</v>
      </c>
      <c r="E1100" s="19">
        <v>6</v>
      </c>
      <c r="F1100" s="20" t="str">
        <f t="shared" si="542"/>
        <v>N   106 610 02</v>
      </c>
      <c r="G1100" s="21">
        <v>100326600</v>
      </c>
      <c r="H1100" s="17">
        <f t="shared" si="543"/>
        <v>7.1399999999999996E-3</v>
      </c>
      <c r="I1100" s="20"/>
      <c r="J1100" s="17">
        <v>2000</v>
      </c>
      <c r="K1100" s="17">
        <f t="shared" si="544"/>
        <v>0</v>
      </c>
      <c r="L1100" s="22">
        <v>10</v>
      </c>
      <c r="M1100" s="22">
        <v>10</v>
      </c>
      <c r="N1100" s="22">
        <v>111444</v>
      </c>
      <c r="O1100" s="22" t="str">
        <f t="shared" si="545"/>
        <v>001006</v>
      </c>
      <c r="P1100" s="22">
        <f t="shared" si="546"/>
        <v>34</v>
      </c>
      <c r="Q1100" s="22"/>
      <c r="R1100" s="23" t="s">
        <v>153</v>
      </c>
      <c r="S1100" s="22">
        <f t="shared" si="547"/>
        <v>0.56999999999999995</v>
      </c>
      <c r="T1100" s="24">
        <f t="shared" si="548"/>
        <v>0</v>
      </c>
      <c r="U1100" s="25">
        <f t="shared" si="549"/>
        <v>2</v>
      </c>
      <c r="V1100" s="26" t="str">
        <f t="shared" si="550"/>
        <v/>
      </c>
    </row>
    <row r="1101" spans="1:22" ht="48" customHeight="1" x14ac:dyDescent="0.25">
      <c r="A1101" s="17">
        <f>VLOOKUP(C1101,[1]Werke!$A$1:$C$168,3,0)</f>
        <v>22</v>
      </c>
      <c r="B1101" s="17" t="str">
        <f>VLOOKUP(C1101,[1]Werke!$A$1:$C$168,2,0)</f>
        <v>13P</v>
      </c>
      <c r="C1101" s="18" t="s">
        <v>230</v>
      </c>
      <c r="D1101" s="17" t="str">
        <f>VLOOKUP(C1101,[1]Maliteslimalan!$A$1:$B$210,2,0)</f>
        <v>8000013344</v>
      </c>
      <c r="E1101" s="19" t="str">
        <f>VLOOKUP(C1101,[1]Bestellnr.!$A$1:$B$174,2,0)</f>
        <v>000006</v>
      </c>
      <c r="F1101" s="20" t="str">
        <f t="shared" si="542"/>
        <v>N   106 610 02</v>
      </c>
      <c r="G1101" s="21">
        <v>100326600</v>
      </c>
      <c r="H1101" s="17">
        <f t="shared" si="543"/>
        <v>7.1399999999999996E-3</v>
      </c>
      <c r="I1101" s="20"/>
      <c r="J1101" s="17">
        <f>VLOOKUP(G1101,W$2:X$1905,2,FALSE)</f>
        <v>1500</v>
      </c>
      <c r="K1101" s="17">
        <f t="shared" si="544"/>
        <v>0</v>
      </c>
      <c r="L1101" s="22">
        <v>10</v>
      </c>
      <c r="M1101" s="22">
        <v>30</v>
      </c>
      <c r="N1101" s="22">
        <v>111444</v>
      </c>
      <c r="O1101" s="22" t="str">
        <f t="shared" si="545"/>
        <v>001006</v>
      </c>
      <c r="P1101" s="22">
        <f t="shared" si="546"/>
        <v>34</v>
      </c>
      <c r="Q1101" s="22"/>
      <c r="R1101" s="23" t="s">
        <v>153</v>
      </c>
      <c r="S1101" s="22">
        <f t="shared" si="547"/>
        <v>0.56999999999999995</v>
      </c>
      <c r="T1101" s="24">
        <f t="shared" si="548"/>
        <v>0</v>
      </c>
      <c r="U1101" s="25">
        <f t="shared" si="549"/>
        <v>2</v>
      </c>
      <c r="V1101" s="26" t="str">
        <f t="shared" si="550"/>
        <v/>
      </c>
    </row>
    <row r="1102" spans="1:22" ht="48" customHeight="1" x14ac:dyDescent="0.25">
      <c r="A1102" s="17">
        <f>VLOOKUP(C1102,[1]Werke!$A$1:$C$168,3,0)</f>
        <v>14</v>
      </c>
      <c r="B1102" s="17" t="str">
        <f>VLOOKUP(C1102,[1]Werke!$A$1:$C$168,2,0)</f>
        <v>D72</v>
      </c>
      <c r="C1102" s="18" t="s">
        <v>220</v>
      </c>
      <c r="D1102" s="17" t="str">
        <f>VLOOKUP(C1102,[1]Maliteslimalan!$A$1:$B$210,2,0)</f>
        <v>8000013493</v>
      </c>
      <c r="E1102" s="19">
        <f>VLOOKUP(C1102,[1]Bestellnr.!$A$1:$B$174,2,0)</f>
        <v>0</v>
      </c>
      <c r="F1102" s="20" t="str">
        <f t="shared" si="542"/>
        <v>N   106 610 02</v>
      </c>
      <c r="G1102" s="21">
        <v>100326600</v>
      </c>
      <c r="H1102" s="17">
        <f t="shared" si="543"/>
        <v>7.1399999999999996E-3</v>
      </c>
      <c r="I1102" s="20"/>
      <c r="J1102" s="17">
        <f>VLOOKUP(G1102,W$2:X$1905,2,FALSE)</f>
        <v>1500</v>
      </c>
      <c r="K1102" s="17">
        <f t="shared" si="544"/>
        <v>0</v>
      </c>
      <c r="L1102" s="22">
        <v>10</v>
      </c>
      <c r="M1102" s="22">
        <v>30</v>
      </c>
      <c r="N1102" s="22">
        <v>111444</v>
      </c>
      <c r="O1102" s="22" t="str">
        <f t="shared" si="545"/>
        <v>001006</v>
      </c>
      <c r="P1102" s="22">
        <f t="shared" si="546"/>
        <v>34</v>
      </c>
      <c r="Q1102" s="22"/>
      <c r="R1102" s="23" t="s">
        <v>153</v>
      </c>
      <c r="S1102" s="22">
        <f t="shared" si="547"/>
        <v>0.56999999999999995</v>
      </c>
      <c r="T1102" s="24">
        <f t="shared" si="548"/>
        <v>0</v>
      </c>
      <c r="U1102" s="25">
        <f t="shared" si="549"/>
        <v>2</v>
      </c>
      <c r="V1102" s="26" t="str">
        <f t="shared" si="550"/>
        <v/>
      </c>
    </row>
    <row r="1103" spans="1:22" ht="48" customHeight="1" x14ac:dyDescent="0.25">
      <c r="A1103" s="17">
        <f>VLOOKUP(C1103,[1]Werke!$A$1:$C$168,3,0)</f>
        <v>88</v>
      </c>
      <c r="B1103" s="17" t="str">
        <f>VLOOKUP(C1103,[1]Werke!$A$1:$C$168,2,0)</f>
        <v>02</v>
      </c>
      <c r="C1103" s="20" t="s">
        <v>167</v>
      </c>
      <c r="D1103" s="17" t="str">
        <f>VLOOKUP(C1103,[1]Maliteslimalan!$A$1:$B$210,2,0)</f>
        <v>8000012643</v>
      </c>
      <c r="E1103" s="19" t="str">
        <f>VLOOKUP(C1103,[1]Bestellnr.!$A$1:$B$174,2,0)</f>
        <v>000088</v>
      </c>
      <c r="F1103" s="20" t="str">
        <f t="shared" si="542"/>
        <v>N   106 610 02</v>
      </c>
      <c r="G1103" s="21">
        <v>100326600</v>
      </c>
      <c r="H1103" s="17">
        <f t="shared" si="543"/>
        <v>7.1399999999999996E-3</v>
      </c>
      <c r="I1103" s="20"/>
      <c r="J1103" s="17">
        <f>VLOOKUP(G1103,W$2:X$1905,2,FALSE)</f>
        <v>1500</v>
      </c>
      <c r="K1103" s="17">
        <f t="shared" si="544"/>
        <v>0</v>
      </c>
      <c r="L1103" s="22">
        <v>10</v>
      </c>
      <c r="M1103" s="22">
        <v>30</v>
      </c>
      <c r="N1103" s="22">
        <v>111444</v>
      </c>
      <c r="O1103" s="22" t="str">
        <f t="shared" si="545"/>
        <v>001006</v>
      </c>
      <c r="P1103" s="22">
        <f t="shared" si="546"/>
        <v>34</v>
      </c>
      <c r="Q1103" s="22"/>
      <c r="R1103" s="23" t="s">
        <v>153</v>
      </c>
      <c r="S1103" s="22">
        <f t="shared" si="547"/>
        <v>0.56999999999999995</v>
      </c>
      <c r="T1103" s="24">
        <f t="shared" si="548"/>
        <v>0</v>
      </c>
      <c r="U1103" s="25">
        <f t="shared" si="549"/>
        <v>2</v>
      </c>
      <c r="V1103" s="26" t="str">
        <f t="shared" si="550"/>
        <v/>
      </c>
    </row>
    <row r="1104" spans="1:22" ht="48" customHeight="1" x14ac:dyDescent="0.25">
      <c r="A1104" s="17"/>
      <c r="B1104" s="17"/>
      <c r="C1104" s="18"/>
      <c r="D1104" s="17"/>
      <c r="E1104" s="19"/>
      <c r="F1104" s="20"/>
      <c r="G1104" s="21"/>
      <c r="H1104" s="17"/>
      <c r="I1104" s="20"/>
      <c r="J1104" s="17"/>
      <c r="K1104" s="17"/>
      <c r="L1104" s="22"/>
      <c r="M1104" s="22"/>
      <c r="N1104" s="22"/>
      <c r="O1104" s="22"/>
      <c r="P1104" s="22"/>
      <c r="Q1104" s="22"/>
      <c r="R1104" s="23"/>
      <c r="S1104" s="22"/>
      <c r="T1104" s="24"/>
      <c r="U1104" s="25"/>
    </row>
    <row r="1105" spans="1:22" ht="48" customHeight="1" x14ac:dyDescent="0.25">
      <c r="A1105" s="17">
        <f>VLOOKUP(C1105,[1]Werke!$A$1:$C$168,3,0)</f>
        <v>34</v>
      </c>
      <c r="B1105" s="17" t="str">
        <f>VLOOKUP(C1105,[1]Werke!$A$1:$C$168,2,0)</f>
        <v>01</v>
      </c>
      <c r="C1105" s="18" t="s">
        <v>280</v>
      </c>
      <c r="D1105" s="17" t="str">
        <f>VLOOKUP(C1105,[1]Maliteslimalan!$A$1:$B$210,2,0)</f>
        <v>8000012622</v>
      </c>
      <c r="E1105" s="19">
        <f>VLOOKUP(C1105,[1]Bestellnr.!$A$1:$B$174,2,0)</f>
        <v>0</v>
      </c>
      <c r="F1105" s="20" t="str">
        <f t="shared" ref="F1105:F1115" si="551">VLOOKUP(G1105,$U$1:$V$1730,2,0)</f>
        <v>N   107 170 01</v>
      </c>
      <c r="G1105" s="21">
        <v>926128000</v>
      </c>
      <c r="H1105" s="17">
        <f t="shared" ref="H1105:H1115" si="552">VLOOKUP(G1105,Z$2:AA$1905,2,FALSE)</f>
        <v>1.41E-2</v>
      </c>
      <c r="I1105" s="20"/>
      <c r="J1105" s="17">
        <f t="shared" ref="J1105:J1115" si="553">VLOOKUP(G1105,W$2:X$1905,2,FALSE)</f>
        <v>800</v>
      </c>
      <c r="K1105" s="17">
        <f t="shared" ref="K1105:K1115" si="554">I1105/J1105</f>
        <v>0</v>
      </c>
      <c r="L1105" s="22">
        <v>10</v>
      </c>
      <c r="M1105" s="22">
        <v>30</v>
      </c>
      <c r="N1105" s="22">
        <v>111444</v>
      </c>
      <c r="O1105" s="22" t="str">
        <f t="shared" ref="O1105:O1115" si="555">VLOOKUP(N1105,$AL$1285:$AM$1310,2,FALSE)</f>
        <v>001006</v>
      </c>
      <c r="P1105" s="22">
        <f t="shared" ref="P1105:P1115" si="556">VLOOKUP(N1105,AC$2:AD$1905,2,FALSE)</f>
        <v>34</v>
      </c>
      <c r="Q1105" s="22"/>
      <c r="R1105" s="23" t="s">
        <v>153</v>
      </c>
      <c r="S1105" s="22">
        <f t="shared" ref="S1105:S1115" si="557">VLOOKUP(R1105,AC$2:AD$1905,2,FALSE)</f>
        <v>0.56999999999999995</v>
      </c>
      <c r="T1105" s="24">
        <f t="shared" ref="T1105:T1115" si="558">(H1105*I1105)+P1105*Q1105+S1105*K1105</f>
        <v>0</v>
      </c>
      <c r="U1105" s="25">
        <f t="shared" ref="U1105:U1115" si="559">IF(TRIM(N1105&amp;"")="111444",
    IF(ROUNDUP(MAX(0,K1105-(MAX(1,Q1105)-1)*10)/10,0)=1,3,2),
    IF(TRIM(N1105&amp;"")="VWPAL",
        IF(TRIM(R1105&amp;"")="004147",1,2),
        ""
    )
)</f>
        <v>2</v>
      </c>
      <c r="V1105" s="26" t="str">
        <f t="shared" ref="V1105:V1115" si="560">IF(OR(TRIM(N1105&amp;"")="111444",TRIM(N1105&amp;"")="VWPAL"),
    IF(K1105&lt;=0,"",
        IF(
            MIN(3,ROUNDUP(MAX(0,K1105-(MAX(1,Q1105)-1)*IF(TRIM(N1105&amp;"")="111444",10,20))/IF(TRIM(N1105&amp;"")="111444",10,20),0))=1,
            300,
            IF(
                MIN(3,ROUNDUP(MAX(0,K1105-(MAX(1,Q1105)-1)*IF(TRIM(N1105&amp;"")="111444",10,20))/IF(TRIM(N1105&amp;"")="111444",10,20),0))=2,
                450,
                600
            )
        )
    ),
    ""
)</f>
        <v/>
      </c>
    </row>
    <row r="1106" spans="1:22" ht="48" customHeight="1" x14ac:dyDescent="0.25">
      <c r="A1106" s="17" t="str">
        <f>VLOOKUP(C1106,[1]Werke!$A$1:$C$168,3,0)</f>
        <v>14S</v>
      </c>
      <c r="B1106" s="17" t="str">
        <f>VLOOKUP(C1106,[1]Werke!$A$1:$C$168,2,0)</f>
        <v>LZG</v>
      </c>
      <c r="C1106" s="18" t="s">
        <v>311</v>
      </c>
      <c r="D1106" s="17" t="str">
        <f>VLOOKUP(C1106,[1]Maliteslimalan!$A$1:$B$210,2,0)</f>
        <v>8000014767</v>
      </c>
      <c r="E1106" s="19" t="str">
        <f>VLOOKUP(C1106,[1]Bestellnr.!$A$1:$B$174,2,0)</f>
        <v>000006</v>
      </c>
      <c r="F1106" s="20" t="str">
        <f t="shared" si="551"/>
        <v>N   107 170 01</v>
      </c>
      <c r="G1106" s="21">
        <v>926128000</v>
      </c>
      <c r="H1106" s="17">
        <f t="shared" si="552"/>
        <v>1.41E-2</v>
      </c>
      <c r="I1106" s="20"/>
      <c r="J1106" s="17">
        <f t="shared" si="553"/>
        <v>800</v>
      </c>
      <c r="K1106" s="17">
        <f t="shared" si="554"/>
        <v>0</v>
      </c>
      <c r="L1106" s="22">
        <v>10</v>
      </c>
      <c r="M1106" s="22">
        <v>20</v>
      </c>
      <c r="N1106" s="22">
        <v>111444</v>
      </c>
      <c r="O1106" s="22" t="str">
        <f t="shared" si="555"/>
        <v>001006</v>
      </c>
      <c r="P1106" s="22">
        <f t="shared" si="556"/>
        <v>34</v>
      </c>
      <c r="Q1106" s="22"/>
      <c r="R1106" s="23" t="s">
        <v>153</v>
      </c>
      <c r="S1106" s="22">
        <f t="shared" si="557"/>
        <v>0.56999999999999995</v>
      </c>
      <c r="T1106" s="24">
        <f t="shared" si="558"/>
        <v>0</v>
      </c>
      <c r="U1106" s="25">
        <f t="shared" si="559"/>
        <v>2</v>
      </c>
      <c r="V1106" s="26" t="str">
        <f t="shared" si="560"/>
        <v/>
      </c>
    </row>
    <row r="1107" spans="1:22" ht="48" customHeight="1" x14ac:dyDescent="0.25">
      <c r="A1107" s="17">
        <f>VLOOKUP(C1107,[1]Werke!$A$1:$C$168,3,0)</f>
        <v>31</v>
      </c>
      <c r="B1107" s="17" t="str">
        <f>VLOOKUP(C1107,[1]Werke!$A$1:$C$168,2,0)</f>
        <v>B62</v>
      </c>
      <c r="C1107" s="18">
        <v>10362</v>
      </c>
      <c r="D1107" s="17" t="str">
        <f>VLOOKUP(C1107,[1]Maliteslimalan!$A$1:$B$210,2,0)</f>
        <v>8000012742</v>
      </c>
      <c r="E1107" s="19">
        <v>6</v>
      </c>
      <c r="F1107" s="20" t="str">
        <f t="shared" si="551"/>
        <v>N   107 170 01</v>
      </c>
      <c r="G1107" s="21">
        <v>926128000</v>
      </c>
      <c r="H1107" s="17">
        <f t="shared" si="552"/>
        <v>1.41E-2</v>
      </c>
      <c r="I1107" s="20"/>
      <c r="J1107" s="17">
        <f t="shared" si="553"/>
        <v>800</v>
      </c>
      <c r="K1107" s="17">
        <f t="shared" si="554"/>
        <v>0</v>
      </c>
      <c r="L1107" s="22">
        <v>10</v>
      </c>
      <c r="M1107" s="22">
        <v>30</v>
      </c>
      <c r="N1107" s="22">
        <v>111444</v>
      </c>
      <c r="O1107" s="22" t="str">
        <f t="shared" si="555"/>
        <v>001006</v>
      </c>
      <c r="P1107" s="22">
        <f t="shared" si="556"/>
        <v>34</v>
      </c>
      <c r="Q1107" s="22"/>
      <c r="R1107" s="23" t="s">
        <v>153</v>
      </c>
      <c r="S1107" s="22">
        <f t="shared" si="557"/>
        <v>0.56999999999999995</v>
      </c>
      <c r="T1107" s="24">
        <f t="shared" si="558"/>
        <v>0</v>
      </c>
      <c r="U1107" s="25">
        <f t="shared" si="559"/>
        <v>2</v>
      </c>
      <c r="V1107" s="26" t="str">
        <f t="shared" si="560"/>
        <v/>
      </c>
    </row>
    <row r="1108" spans="1:22" ht="48" customHeight="1" x14ac:dyDescent="0.25">
      <c r="A1108" s="17">
        <f>VLOOKUP(C1108,[1]Werke!$A$1:$C$168,3,0)</f>
        <v>14</v>
      </c>
      <c r="B1108" s="17" t="str">
        <f>VLOOKUP(C1108,[1]Werke!$A$1:$C$168,2,0)</f>
        <v>D85</v>
      </c>
      <c r="C1108" s="18" t="s">
        <v>239</v>
      </c>
      <c r="D1108" s="17" t="str">
        <f>VLOOKUP(C1108,[1]Maliteslimalan!$A$1:$B$210,2,0)</f>
        <v>8000012682</v>
      </c>
      <c r="E1108" s="19">
        <f>VLOOKUP(C1108,[1]Bestellnr.!$A$1:$B$174,2,0)</f>
        <v>0</v>
      </c>
      <c r="F1108" s="20" t="str">
        <f t="shared" si="551"/>
        <v>N   107 170 01</v>
      </c>
      <c r="G1108" s="21">
        <v>926128000</v>
      </c>
      <c r="H1108" s="17">
        <f t="shared" si="552"/>
        <v>1.41E-2</v>
      </c>
      <c r="I1108" s="20"/>
      <c r="J1108" s="17">
        <f t="shared" si="553"/>
        <v>800</v>
      </c>
      <c r="K1108" s="17">
        <f t="shared" si="554"/>
        <v>0</v>
      </c>
      <c r="L1108" s="22">
        <v>10</v>
      </c>
      <c r="M1108" s="22">
        <v>20</v>
      </c>
      <c r="N1108" s="22">
        <v>111444</v>
      </c>
      <c r="O1108" s="22" t="str">
        <f t="shared" si="555"/>
        <v>001006</v>
      </c>
      <c r="P1108" s="22">
        <f t="shared" si="556"/>
        <v>34</v>
      </c>
      <c r="Q1108" s="22"/>
      <c r="R1108" s="23" t="s">
        <v>153</v>
      </c>
      <c r="S1108" s="22">
        <f t="shared" si="557"/>
        <v>0.56999999999999995</v>
      </c>
      <c r="T1108" s="24">
        <f t="shared" si="558"/>
        <v>0</v>
      </c>
      <c r="U1108" s="25">
        <f t="shared" si="559"/>
        <v>2</v>
      </c>
      <c r="V1108" s="26" t="str">
        <f t="shared" si="560"/>
        <v/>
      </c>
    </row>
    <row r="1109" spans="1:22" ht="48" customHeight="1" x14ac:dyDescent="0.25">
      <c r="A1109" s="17">
        <f>VLOOKUP(C1109,[1]Werke!$A$1:$C$168,3,0)</f>
        <v>24</v>
      </c>
      <c r="B1109" s="17" t="str">
        <f>VLOOKUP(C1109,[1]Werke!$A$1:$C$168,2,0)</f>
        <v>CKH</v>
      </c>
      <c r="C1109" s="18" t="s">
        <v>224</v>
      </c>
      <c r="D1109" s="17">
        <f>VLOOKUP(C1109,[1]Maliteslimalan!$A$1:$B$210,2,0)</f>
        <v>8000013551</v>
      </c>
      <c r="E1109" s="19">
        <v>6</v>
      </c>
      <c r="F1109" s="20" t="str">
        <f t="shared" si="551"/>
        <v>N   107 170 01</v>
      </c>
      <c r="G1109" s="21">
        <v>926128000</v>
      </c>
      <c r="H1109" s="17">
        <f t="shared" si="552"/>
        <v>1.41E-2</v>
      </c>
      <c r="I1109" s="20"/>
      <c r="J1109" s="17">
        <f t="shared" si="553"/>
        <v>800</v>
      </c>
      <c r="K1109" s="17">
        <f t="shared" si="554"/>
        <v>0</v>
      </c>
      <c r="L1109" s="22">
        <v>10</v>
      </c>
      <c r="M1109" s="22">
        <v>30</v>
      </c>
      <c r="N1109" s="22">
        <v>111444</v>
      </c>
      <c r="O1109" s="22" t="str">
        <f t="shared" si="555"/>
        <v>001006</v>
      </c>
      <c r="P1109" s="22">
        <f t="shared" si="556"/>
        <v>34</v>
      </c>
      <c r="Q1109" s="22"/>
      <c r="R1109" s="23" t="s">
        <v>153</v>
      </c>
      <c r="S1109" s="22">
        <f t="shared" si="557"/>
        <v>0.56999999999999995</v>
      </c>
      <c r="T1109" s="24">
        <f t="shared" si="558"/>
        <v>0</v>
      </c>
      <c r="U1109" s="25">
        <f t="shared" si="559"/>
        <v>2</v>
      </c>
      <c r="V1109" s="26" t="str">
        <f t="shared" si="560"/>
        <v/>
      </c>
    </row>
    <row r="1110" spans="1:22" ht="48" customHeight="1" x14ac:dyDescent="0.25">
      <c r="A1110" s="17">
        <f>VLOOKUP(C1110,[1]Werke!$A$1:$C$168,3,0)</f>
        <v>49</v>
      </c>
      <c r="B1110" s="17" t="str">
        <f>VLOOKUP(C1110,[1]Werke!$A$1:$C$168,2,0)</f>
        <v>CT</v>
      </c>
      <c r="C1110" s="18" t="s">
        <v>217</v>
      </c>
      <c r="D1110" s="17" t="str">
        <f>VLOOKUP(C1110,[1]Maliteslimalan!$A$1:$B$210,2,0)</f>
        <v>8000012574</v>
      </c>
      <c r="E1110" s="19" t="str">
        <f>VLOOKUP(C1110,[1]Bestellnr.!$A$1:$B$174,2,0)</f>
        <v>000001</v>
      </c>
      <c r="F1110" s="20" t="str">
        <f t="shared" si="551"/>
        <v>N   107 170 01</v>
      </c>
      <c r="G1110" s="21">
        <v>926128000</v>
      </c>
      <c r="H1110" s="17">
        <f t="shared" si="552"/>
        <v>1.41E-2</v>
      </c>
      <c r="I1110" s="20"/>
      <c r="J1110" s="17">
        <f t="shared" si="553"/>
        <v>800</v>
      </c>
      <c r="K1110" s="17">
        <f t="shared" si="554"/>
        <v>0</v>
      </c>
      <c r="L1110" s="22">
        <v>10</v>
      </c>
      <c r="M1110" s="22">
        <v>30</v>
      </c>
      <c r="N1110" s="22">
        <v>111444</v>
      </c>
      <c r="O1110" s="22" t="str">
        <f t="shared" si="555"/>
        <v>001006</v>
      </c>
      <c r="P1110" s="22">
        <f t="shared" si="556"/>
        <v>34</v>
      </c>
      <c r="Q1110" s="22"/>
      <c r="R1110" s="23" t="s">
        <v>153</v>
      </c>
      <c r="S1110" s="22">
        <f t="shared" si="557"/>
        <v>0.56999999999999995</v>
      </c>
      <c r="T1110" s="24">
        <f t="shared" si="558"/>
        <v>0</v>
      </c>
      <c r="U1110" s="25">
        <f t="shared" si="559"/>
        <v>2</v>
      </c>
      <c r="V1110" s="26" t="str">
        <f t="shared" si="560"/>
        <v/>
      </c>
    </row>
    <row r="1111" spans="1:22" ht="48" customHeight="1" x14ac:dyDescent="0.25">
      <c r="A1111" s="17" t="str">
        <f>VLOOKUP(C1111,[1]Werke!$A$1:$C$168,3,0)</f>
        <v>LD</v>
      </c>
      <c r="B1111" s="17" t="str">
        <f>VLOOKUP(C1111,[1]Werke!$A$1:$C$168,2,0)</f>
        <v>SLD</v>
      </c>
      <c r="C1111" s="18">
        <v>83630</v>
      </c>
      <c r="D1111" s="17" t="str">
        <f>VLOOKUP(C1111,[1]Maliteslimalan!$A$1:$B$210,2,0)</f>
        <v>8000012862</v>
      </c>
      <c r="E1111" s="19" t="str">
        <f>VLOOKUP(C1111,[1]Bestellnr.!$A$1:$B$174,2,0)</f>
        <v>000006</v>
      </c>
      <c r="F1111" s="20" t="str">
        <f t="shared" si="551"/>
        <v>N   107 170 01</v>
      </c>
      <c r="G1111" s="21">
        <v>926128000</v>
      </c>
      <c r="H1111" s="17">
        <f t="shared" si="552"/>
        <v>1.41E-2</v>
      </c>
      <c r="I1111" s="20"/>
      <c r="J1111" s="17">
        <f t="shared" si="553"/>
        <v>800</v>
      </c>
      <c r="K1111" s="17">
        <f t="shared" si="554"/>
        <v>0</v>
      </c>
      <c r="L1111" s="22">
        <v>10</v>
      </c>
      <c r="M1111" s="22">
        <v>30</v>
      </c>
      <c r="N1111" s="22">
        <v>111444</v>
      </c>
      <c r="O1111" s="22" t="str">
        <f t="shared" si="555"/>
        <v>001006</v>
      </c>
      <c r="P1111" s="22">
        <f t="shared" si="556"/>
        <v>34</v>
      </c>
      <c r="Q1111" s="22"/>
      <c r="R1111" s="23" t="s">
        <v>153</v>
      </c>
      <c r="S1111" s="22">
        <f t="shared" si="557"/>
        <v>0.56999999999999995</v>
      </c>
      <c r="T1111" s="24">
        <f t="shared" si="558"/>
        <v>0</v>
      </c>
      <c r="U1111" s="25">
        <f t="shared" si="559"/>
        <v>2</v>
      </c>
      <c r="V1111" s="26" t="str">
        <f t="shared" si="560"/>
        <v/>
      </c>
    </row>
    <row r="1112" spans="1:22" ht="48" customHeight="1" x14ac:dyDescent="0.25">
      <c r="A1112" s="17">
        <f>VLOOKUP(C1112,[1]Werke!$A$1:$C$168,3,0)</f>
        <v>22</v>
      </c>
      <c r="B1112" s="17" t="str">
        <f>VLOOKUP(C1112,[1]Werke!$A$1:$C$168,2,0)</f>
        <v>13P</v>
      </c>
      <c r="C1112" s="18" t="s">
        <v>230</v>
      </c>
      <c r="D1112" s="17" t="str">
        <f>VLOOKUP(C1112,[1]Maliteslimalan!$A$1:$B$210,2,0)</f>
        <v>8000013344</v>
      </c>
      <c r="E1112" s="19" t="str">
        <f>VLOOKUP(C1112,[1]Bestellnr.!$A$1:$B$174,2,0)</f>
        <v>000006</v>
      </c>
      <c r="F1112" s="20" t="str">
        <f t="shared" si="551"/>
        <v>N   107 170 01</v>
      </c>
      <c r="G1112" s="21">
        <v>926128000</v>
      </c>
      <c r="H1112" s="17">
        <f t="shared" si="552"/>
        <v>1.41E-2</v>
      </c>
      <c r="I1112" s="20"/>
      <c r="J1112" s="17">
        <f t="shared" si="553"/>
        <v>800</v>
      </c>
      <c r="K1112" s="17">
        <f t="shared" si="554"/>
        <v>0</v>
      </c>
      <c r="L1112" s="22">
        <v>10</v>
      </c>
      <c r="M1112" s="22">
        <v>30</v>
      </c>
      <c r="N1112" s="22">
        <v>111444</v>
      </c>
      <c r="O1112" s="22" t="str">
        <f t="shared" si="555"/>
        <v>001006</v>
      </c>
      <c r="P1112" s="22">
        <f t="shared" si="556"/>
        <v>34</v>
      </c>
      <c r="Q1112" s="22"/>
      <c r="R1112" s="23" t="s">
        <v>153</v>
      </c>
      <c r="S1112" s="22">
        <f t="shared" si="557"/>
        <v>0.56999999999999995</v>
      </c>
      <c r="T1112" s="24">
        <f t="shared" si="558"/>
        <v>0</v>
      </c>
      <c r="U1112" s="25">
        <f t="shared" si="559"/>
        <v>2</v>
      </c>
      <c r="V1112" s="26" t="str">
        <f t="shared" si="560"/>
        <v/>
      </c>
    </row>
    <row r="1113" spans="1:22" ht="48" customHeight="1" x14ac:dyDescent="0.25">
      <c r="A1113" s="17">
        <f>VLOOKUP(C1113,[1]Werke!$A$1:$C$168,3,0)</f>
        <v>37</v>
      </c>
      <c r="B1113" s="17" t="str">
        <f>VLOOKUP(C1113,[1]Werke!$A$1:$C$168,2,0)</f>
        <v>AKL</v>
      </c>
      <c r="C1113" s="18" t="s">
        <v>232</v>
      </c>
      <c r="D1113" s="17" t="str">
        <f>VLOOKUP(C1113,[1]Maliteslimalan!$A$1:$B$210,2,0)</f>
        <v>8000012562</v>
      </c>
      <c r="E1113" s="19" t="str">
        <f>VLOOKUP(C1113,[1]Bestellnr.!$A$1:$B$174,2,0)</f>
        <v>000006</v>
      </c>
      <c r="F1113" s="20" t="str">
        <f t="shared" si="551"/>
        <v>N   107 170 01</v>
      </c>
      <c r="G1113" s="21">
        <v>926128000</v>
      </c>
      <c r="H1113" s="17">
        <f t="shared" si="552"/>
        <v>1.41E-2</v>
      </c>
      <c r="I1113" s="20"/>
      <c r="J1113" s="17">
        <f t="shared" si="553"/>
        <v>800</v>
      </c>
      <c r="K1113" s="17">
        <f t="shared" si="554"/>
        <v>0</v>
      </c>
      <c r="L1113" s="22">
        <v>10</v>
      </c>
      <c r="M1113" s="22">
        <v>30</v>
      </c>
      <c r="N1113" s="22">
        <v>111444</v>
      </c>
      <c r="O1113" s="22" t="str">
        <f t="shared" si="555"/>
        <v>001006</v>
      </c>
      <c r="P1113" s="22">
        <f t="shared" si="556"/>
        <v>34</v>
      </c>
      <c r="Q1113" s="22"/>
      <c r="R1113" s="23" t="s">
        <v>153</v>
      </c>
      <c r="S1113" s="22">
        <f t="shared" si="557"/>
        <v>0.56999999999999995</v>
      </c>
      <c r="T1113" s="24">
        <f t="shared" si="558"/>
        <v>0</v>
      </c>
      <c r="U1113" s="25">
        <f t="shared" si="559"/>
        <v>2</v>
      </c>
      <c r="V1113" s="26" t="str">
        <f t="shared" si="560"/>
        <v/>
      </c>
    </row>
    <row r="1114" spans="1:22" ht="48" customHeight="1" x14ac:dyDescent="0.25">
      <c r="A1114" s="17">
        <f>VLOOKUP(C1114,[1]Werke!$A$1:$C$168,3,0)</f>
        <v>24</v>
      </c>
      <c r="B1114" s="17" t="str">
        <f>VLOOKUP(C1114,[1]Werke!$A$1:$C$168,2,0)</f>
        <v>CKS</v>
      </c>
      <c r="C1114" s="18" t="s">
        <v>245</v>
      </c>
      <c r="D1114" s="17" t="str">
        <f>VLOOKUP(C1114,[1]Maliteslimalan!$A$1:$B$210,2,0)</f>
        <v>8000012647</v>
      </c>
      <c r="E1114" s="19" t="str">
        <f>VLOOKUP(C1114,[1]Bestellnr.!$A$1:$B$174,2,0)</f>
        <v>000006</v>
      </c>
      <c r="F1114" s="20" t="str">
        <f t="shared" si="551"/>
        <v>N   107 170 01</v>
      </c>
      <c r="G1114" s="21">
        <v>926128000</v>
      </c>
      <c r="H1114" s="17">
        <f t="shared" si="552"/>
        <v>1.41E-2</v>
      </c>
      <c r="I1114" s="20"/>
      <c r="J1114" s="17">
        <f t="shared" si="553"/>
        <v>800</v>
      </c>
      <c r="K1114" s="17">
        <f t="shared" si="554"/>
        <v>0</v>
      </c>
      <c r="L1114" s="22">
        <v>10</v>
      </c>
      <c r="M1114" s="22">
        <v>30</v>
      </c>
      <c r="N1114" s="22">
        <v>111444</v>
      </c>
      <c r="O1114" s="22" t="str">
        <f t="shared" si="555"/>
        <v>001006</v>
      </c>
      <c r="P1114" s="22">
        <f t="shared" si="556"/>
        <v>34</v>
      </c>
      <c r="Q1114" s="22"/>
      <c r="R1114" s="23" t="s">
        <v>153</v>
      </c>
      <c r="S1114" s="22">
        <f t="shared" si="557"/>
        <v>0.56999999999999995</v>
      </c>
      <c r="T1114" s="24">
        <f t="shared" si="558"/>
        <v>0</v>
      </c>
      <c r="U1114" s="25">
        <f t="shared" si="559"/>
        <v>2</v>
      </c>
      <c r="V1114" s="26" t="str">
        <f t="shared" si="560"/>
        <v/>
      </c>
    </row>
    <row r="1115" spans="1:22" ht="48" customHeight="1" x14ac:dyDescent="0.25">
      <c r="A1115" s="17" t="str">
        <f>VLOOKUP(C1115,[1]Werke!$A$1:$C$168,3,0)</f>
        <v>26D</v>
      </c>
      <c r="B1115" s="17" t="str">
        <f>VLOOKUP(C1115,[1]Werke!$A$1:$C$168,2,0)</f>
        <v>G18</v>
      </c>
      <c r="C1115" s="18" t="s">
        <v>272</v>
      </c>
      <c r="D1115" s="17" t="str">
        <f>VLOOKUP(C1115,[1]Maliteslimalan!$A$1:$B$210,2,0)</f>
        <v>8000012580</v>
      </c>
      <c r="E1115" s="19">
        <f>VLOOKUP(C1115,[1]Bestellnr.!$A$1:$B$174,2,0)</f>
        <v>0</v>
      </c>
      <c r="F1115" s="20" t="str">
        <f t="shared" si="551"/>
        <v>N   107 170 01</v>
      </c>
      <c r="G1115" s="21">
        <v>926128000</v>
      </c>
      <c r="H1115" s="17">
        <f t="shared" si="552"/>
        <v>1.41E-2</v>
      </c>
      <c r="I1115" s="20"/>
      <c r="J1115" s="17">
        <f t="shared" si="553"/>
        <v>800</v>
      </c>
      <c r="K1115" s="17">
        <f t="shared" si="554"/>
        <v>0</v>
      </c>
      <c r="L1115" s="22">
        <v>20</v>
      </c>
      <c r="M1115" s="22">
        <v>40</v>
      </c>
      <c r="N1115" s="22" t="s">
        <v>155</v>
      </c>
      <c r="O1115" s="22" t="str">
        <f t="shared" si="555"/>
        <v>001210</v>
      </c>
      <c r="P1115" s="22">
        <f t="shared" si="556"/>
        <v>55</v>
      </c>
      <c r="Q1115" s="22"/>
      <c r="R1115" s="23" t="s">
        <v>153</v>
      </c>
      <c r="S1115" s="22">
        <f t="shared" si="557"/>
        <v>0.56999999999999995</v>
      </c>
      <c r="T1115" s="24">
        <f t="shared" si="558"/>
        <v>0</v>
      </c>
      <c r="U1115" s="25">
        <f t="shared" si="559"/>
        <v>2</v>
      </c>
      <c r="V1115" s="26" t="str">
        <f t="shared" si="560"/>
        <v/>
      </c>
    </row>
    <row r="1116" spans="1:22" ht="48" customHeight="1" x14ac:dyDescent="0.25">
      <c r="A1116" s="17"/>
      <c r="B1116" s="17"/>
      <c r="C1116" s="18"/>
      <c r="D1116" s="17"/>
      <c r="E1116" s="19"/>
      <c r="F1116" s="20"/>
      <c r="G1116" s="21"/>
      <c r="H1116" s="17"/>
      <c r="I1116" s="20"/>
      <c r="J1116" s="17"/>
      <c r="K1116" s="17"/>
      <c r="L1116" s="22"/>
      <c r="M1116" s="22"/>
      <c r="N1116" s="22"/>
      <c r="O1116" s="22"/>
      <c r="P1116" s="22"/>
      <c r="Q1116" s="22"/>
      <c r="R1116" s="23"/>
      <c r="S1116" s="22"/>
      <c r="T1116" s="24"/>
      <c r="U1116" s="25"/>
    </row>
    <row r="1117" spans="1:22" ht="48.2" customHeight="1" x14ac:dyDescent="0.25">
      <c r="A1117" s="17">
        <f>VLOOKUP(C1117,[1]Werke!$A$1:$C$168,3,0)</f>
        <v>88</v>
      </c>
      <c r="B1117" s="17" t="str">
        <f>VLOOKUP(C1117,[1]Werke!$A$1:$C$168,2,0)</f>
        <v>02</v>
      </c>
      <c r="C1117" s="20" t="s">
        <v>167</v>
      </c>
      <c r="D1117" s="17" t="str">
        <f>VLOOKUP(C1117,[1]Maliteslimalan!$A$1:$B$210,2,0)</f>
        <v>8000012643</v>
      </c>
      <c r="E1117" s="19" t="str">
        <f>VLOOKUP(C1117,[1]Bestellnr.!$A$1:$B$174,2,0)</f>
        <v>000088</v>
      </c>
      <c r="F1117" s="20" t="str">
        <f>VLOOKUP(G1117,$U$1:$V$1730,2,0)</f>
        <v>N   911 439 01</v>
      </c>
      <c r="G1117" s="21">
        <v>932227000</v>
      </c>
      <c r="H1117" s="17">
        <f>VLOOKUP(G1117,Z$2:AA$1905,2,FALSE)</f>
        <v>1.4279999999999999E-2</v>
      </c>
      <c r="I1117" s="20"/>
      <c r="J1117" s="17">
        <f>VLOOKUP(G1117,W$2:X$1905,2,FALSE)</f>
        <v>1000</v>
      </c>
      <c r="K1117" s="17">
        <f>I1117/J1117</f>
        <v>0</v>
      </c>
      <c r="L1117" s="22">
        <v>10</v>
      </c>
      <c r="M1117" s="22">
        <v>30</v>
      </c>
      <c r="N1117" s="22">
        <v>111444</v>
      </c>
      <c r="O1117" s="22" t="str">
        <f>VLOOKUP(N1117,$AL$1285:$AM$1310,2,FALSE)</f>
        <v>001006</v>
      </c>
      <c r="P1117" s="22">
        <f>VLOOKUP(N1117,AC$2:AD$1905,2,FALSE)</f>
        <v>34</v>
      </c>
      <c r="Q1117" s="22"/>
      <c r="R1117" s="23" t="s">
        <v>153</v>
      </c>
      <c r="S1117" s="22">
        <f>VLOOKUP(R1117,AC$2:AD$1905,2,FALSE)</f>
        <v>0.56999999999999995</v>
      </c>
      <c r="T1117" s="24">
        <f>(H1117*I1117)+P1117*Q1117+S1117*K1117</f>
        <v>0</v>
      </c>
      <c r="U1117" s="25">
        <f>IF(TRIM(N1117&amp;"")="111444",
    IF(ROUNDUP(MAX(0,K1117-(MAX(1,Q1117)-1)*10)/10,0)=1,3,2),
    IF(TRIM(N1117&amp;"")="VWPAL",
        IF(TRIM(R1117&amp;"")="004147",1,2),
        ""
    )
)</f>
        <v>2</v>
      </c>
      <c r="V1117" s="26" t="str">
        <f>IF(OR(TRIM(N1117&amp;"")="111444",TRIM(N1117&amp;"")="VWPAL"),
    IF(K1117&lt;=0,"",
        IF(
            MIN(3,ROUNDUP(MAX(0,K1117-(MAX(1,Q1117)-1)*IF(TRIM(N1117&amp;"")="111444",10,20))/IF(TRIM(N1117&amp;"")="111444",10,20),0))=1,
            300,
            IF(
                MIN(3,ROUNDUP(MAX(0,K1117-(MAX(1,Q1117)-1)*IF(TRIM(N1117&amp;"")="111444",10,20))/IF(TRIM(N1117&amp;"")="111444",10,20),0))=2,
                450,
                600
            )
        )
    ),
    ""
)</f>
        <v/>
      </c>
    </row>
    <row r="1118" spans="1:22" ht="48.2" customHeight="1" x14ac:dyDescent="0.25">
      <c r="A1118" s="17">
        <f>VLOOKUP(C1118,[1]Werke!$A$1:$C$168,3,0)</f>
        <v>14</v>
      </c>
      <c r="B1118" s="17" t="str">
        <f>VLOOKUP(C1118,[1]Werke!$A$1:$C$168,2,0)</f>
        <v>D72</v>
      </c>
      <c r="C1118" s="20" t="s">
        <v>220</v>
      </c>
      <c r="D1118" s="17" t="str">
        <f>VLOOKUP(C1118,[1]Maliteslimalan!$A$1:$B$210,2,0)</f>
        <v>8000013493</v>
      </c>
      <c r="E1118" s="19">
        <f>VLOOKUP(C1118,[1]Bestellnr.!$A$1:$B$174,2,0)</f>
        <v>0</v>
      </c>
      <c r="F1118" s="20" t="str">
        <f>VLOOKUP(G1118,$U$1:$V$1730,2,0)</f>
        <v>N   911 439 01</v>
      </c>
      <c r="G1118" s="21">
        <v>932227000</v>
      </c>
      <c r="H1118" s="17">
        <f>VLOOKUP(G1118,Z$2:AA$1905,2,FALSE)</f>
        <v>1.4279999999999999E-2</v>
      </c>
      <c r="I1118" s="20"/>
      <c r="J1118" s="17">
        <v>1000</v>
      </c>
      <c r="K1118" s="17">
        <f>I1118/J1118</f>
        <v>0</v>
      </c>
      <c r="L1118" s="22">
        <v>10</v>
      </c>
      <c r="M1118" s="22">
        <v>20</v>
      </c>
      <c r="N1118" s="22">
        <v>111444</v>
      </c>
      <c r="O1118" s="22" t="str">
        <f>VLOOKUP(N1118,$AL$1285:$AM$1310,2,FALSE)</f>
        <v>001006</v>
      </c>
      <c r="P1118" s="22">
        <f>VLOOKUP(N1118,AC$2:AD$1905,2,FALSE)</f>
        <v>34</v>
      </c>
      <c r="Q1118" s="22"/>
      <c r="R1118" s="23" t="s">
        <v>153</v>
      </c>
      <c r="S1118" s="22">
        <f>VLOOKUP(R1118,AC$2:AD$1905,2,FALSE)</f>
        <v>0.56999999999999995</v>
      </c>
      <c r="T1118" s="24">
        <f>(H1118*I1118)+P1118*Q1118+S1118*K1118</f>
        <v>0</v>
      </c>
      <c r="U1118" s="25">
        <f>IF(TRIM(N1118&amp;"")="111444",
    IF(ROUNDUP(MAX(0,K1118-(MAX(1,Q1118)-1)*10)/10,0)=1,3,2),
    IF(TRIM(N1118&amp;"")="VWPAL",
        IF(TRIM(R1118&amp;"")="004147",1,2),
        ""
    )
)</f>
        <v>2</v>
      </c>
      <c r="V1118" s="26" t="str">
        <f>IF(OR(TRIM(N1118&amp;"")="111444",TRIM(N1118&amp;"")="VWPAL"),
    IF(K1118&lt;=0,"",
        IF(
            MIN(3,ROUNDUP(MAX(0,K1118-(MAX(1,Q1118)-1)*IF(TRIM(N1118&amp;"")="111444",10,20))/IF(TRIM(N1118&amp;"")="111444",10,20),0))=1,
            300,
            IF(
                MIN(3,ROUNDUP(MAX(0,K1118-(MAX(1,Q1118)-1)*IF(TRIM(N1118&amp;"")="111444",10,20))/IF(TRIM(N1118&amp;"")="111444",10,20),0))=2,
                450,
                600
            )
        )
    ),
    ""
)</f>
        <v/>
      </c>
    </row>
    <row r="1119" spans="1:22" ht="48.2" customHeight="1" x14ac:dyDescent="0.25">
      <c r="A1119" s="17" t="e">
        <f>VLOOKUP(C1119,[1]Werke!$A$1:$C$168,3,0)</f>
        <v>#N/A</v>
      </c>
      <c r="B1119" s="17" t="e">
        <f>VLOOKUP(C1119,[1]Werke!$A$1:$C$168,2,0)</f>
        <v>#N/A</v>
      </c>
      <c r="C1119" s="20" t="s">
        <v>339</v>
      </c>
      <c r="D1119" s="17" t="str">
        <f>VLOOKUP(C1119,[1]Maliteslimalan!$A$1:$B$210,2,0)</f>
        <v>8000012604</v>
      </c>
      <c r="E1119" s="19" t="str">
        <f>VLOOKUP(C1119,[1]Bestellnr.!$A$1:$B$174,2,0)</f>
        <v>000006</v>
      </c>
      <c r="F1119" s="20" t="str">
        <f>VLOOKUP(G1119,$U$1:$V$1730,2,0)</f>
        <v>N   911 439 01</v>
      </c>
      <c r="G1119" s="21">
        <v>932227000</v>
      </c>
      <c r="H1119" s="17">
        <f>VLOOKUP(G1119,Z$2:AA$1905,2,FALSE)</f>
        <v>1.4279999999999999E-2</v>
      </c>
      <c r="I1119" s="20"/>
      <c r="J1119" s="17">
        <f>VLOOKUP(G1119,W$2:X$1905,2,FALSE)</f>
        <v>1000</v>
      </c>
      <c r="K1119" s="17">
        <f>I1119/J1119</f>
        <v>0</v>
      </c>
      <c r="L1119" s="22">
        <v>10</v>
      </c>
      <c r="M1119" s="22">
        <v>30</v>
      </c>
      <c r="N1119" s="22">
        <v>111444</v>
      </c>
      <c r="O1119" s="22" t="str">
        <f>VLOOKUP(N1119,$AL$1285:$AM$1310,2,FALSE)</f>
        <v>001006</v>
      </c>
      <c r="P1119" s="22">
        <f>VLOOKUP(N1119,AC$2:AD$1905,2,FALSE)</f>
        <v>34</v>
      </c>
      <c r="Q1119" s="22"/>
      <c r="R1119" s="23" t="s">
        <v>153</v>
      </c>
      <c r="S1119" s="22">
        <f>VLOOKUP(R1119,AC$2:AD$1905,2,FALSE)</f>
        <v>0.56999999999999995</v>
      </c>
      <c r="T1119" s="24">
        <f>(H1119*I1119)+P1119*Q1119+S1119*K1119</f>
        <v>0</v>
      </c>
      <c r="U1119" s="25">
        <f>IF(TRIM(N1119&amp;"")="111444",
    IF(ROUNDUP(MAX(0,K1119-(MAX(1,Q1119)-1)*10)/10,0)=1,3,2),
    IF(TRIM(N1119&amp;"")="VWPAL",
        IF(TRIM(R1119&amp;"")="004147",1,2),
        ""
    )
)</f>
        <v>2</v>
      </c>
      <c r="V1119" s="26" t="str">
        <f>IF(OR(TRIM(N1119&amp;"")="111444",TRIM(N1119&amp;"")="VWPAL"),
    IF(K1119&lt;=0,"",
        IF(
            MIN(3,ROUNDUP(MAX(0,K1119-(MAX(1,Q1119)-1)*IF(TRIM(N1119&amp;"")="111444",10,20))/IF(TRIM(N1119&amp;"")="111444",10,20),0))=1,
            300,
            IF(
                MIN(3,ROUNDUP(MAX(0,K1119-(MAX(1,Q1119)-1)*IF(TRIM(N1119&amp;"")="111444",10,20))/IF(TRIM(N1119&amp;"")="111444",10,20),0))=2,
                450,
                600
            )
        )
    ),
    ""
)</f>
        <v/>
      </c>
    </row>
    <row r="1120" spans="1:22" ht="48.2" customHeight="1" x14ac:dyDescent="0.25">
      <c r="A1120" s="17"/>
      <c r="B1120" s="17"/>
      <c r="C1120" s="20"/>
      <c r="D1120" s="17"/>
      <c r="E1120" s="19"/>
      <c r="F1120" s="20"/>
      <c r="G1120" s="21"/>
      <c r="H1120" s="17"/>
      <c r="I1120" s="20"/>
      <c r="J1120" s="17"/>
      <c r="K1120" s="17"/>
      <c r="L1120" s="22"/>
      <c r="M1120" s="22"/>
      <c r="N1120" s="22"/>
      <c r="O1120" s="22"/>
      <c r="P1120" s="22"/>
      <c r="Q1120" s="22"/>
      <c r="R1120" s="23"/>
      <c r="S1120" s="22"/>
      <c r="T1120" s="24"/>
      <c r="U1120" s="25"/>
    </row>
    <row r="1121" spans="1:23" ht="48.2" customHeight="1" x14ac:dyDescent="0.25">
      <c r="A1121" s="17" t="str">
        <f>VLOOKUP(C1121,[1]Werke!$A$1:$C$168,3,0)</f>
        <v>LD</v>
      </c>
      <c r="B1121" s="17" t="str">
        <f>VLOOKUP(C1121,[1]Werke!$A$1:$C$168,2,0)</f>
        <v>SLD</v>
      </c>
      <c r="C1121" s="18">
        <v>83630</v>
      </c>
      <c r="D1121" s="17" t="str">
        <f>VLOOKUP(C1121,[1]Maliteslimalan!$A$1:$B$210,2,0)</f>
        <v>8000012862</v>
      </c>
      <c r="E1121" s="19" t="str">
        <f>VLOOKUP(C1121,[1]Bestellnr.!$A$1:$B$174,2,0)</f>
        <v>000006</v>
      </c>
      <c r="F1121" s="20" t="str">
        <f>VLOOKUP(G1121,$U$1:$V$1730,2,0)</f>
        <v>N   910 973 01</v>
      </c>
      <c r="G1121" s="21">
        <v>100328300</v>
      </c>
      <c r="H1121" s="17">
        <f>VLOOKUP(G1121,Z$2:AA$1905,2,FALSE)</f>
        <v>1.1129999999999999E-2</v>
      </c>
      <c r="I1121" s="20"/>
      <c r="J1121" s="17">
        <f>VLOOKUP(G1121,W$2:X$1905,2,FALSE)</f>
        <v>1000</v>
      </c>
      <c r="K1121" s="17">
        <f>I1121/J1121</f>
        <v>0</v>
      </c>
      <c r="L1121" s="22">
        <v>10</v>
      </c>
      <c r="M1121" s="22">
        <v>10</v>
      </c>
      <c r="N1121" s="22">
        <v>111444</v>
      </c>
      <c r="O1121" s="22" t="str">
        <f>VLOOKUP(N1121,$AL$1285:$AM$1310,2,FALSE)</f>
        <v>001006</v>
      </c>
      <c r="P1121" s="22">
        <f>VLOOKUP(N1121,AC$2:AD$1905,2,FALSE)</f>
        <v>34</v>
      </c>
      <c r="Q1121" s="22"/>
      <c r="R1121" s="23" t="s">
        <v>153</v>
      </c>
      <c r="S1121" s="22">
        <f>VLOOKUP(R1121,AC$2:AD$1905,2,FALSE)</f>
        <v>0.56999999999999995</v>
      </c>
      <c r="T1121" s="24">
        <f>(H1121*I1121)+P1121*Q1121+S1121*K1121</f>
        <v>0</v>
      </c>
      <c r="U1121" s="25">
        <f>IF(TRIM(N1121&amp;"")="111444",
    IF(ROUNDUP(MAX(0,K1121-(MAX(1,Q1121)-1)*10)/10,0)=1,3,2),
    IF(TRIM(N1121&amp;"")="VWPAL",
        IF(TRIM(R1121&amp;"")="004147",1,2),
        ""
    )
)</f>
        <v>2</v>
      </c>
      <c r="V1121" s="26" t="str">
        <f>IF(OR(TRIM(N1121&amp;"")="111444",TRIM(N1121&amp;"")="VWPAL"),
    IF(K1121&lt;=0,"",
        IF(
            MIN(3,ROUNDUP(MAX(0,K1121-(MAX(1,Q1121)-1)*IF(TRIM(N1121&amp;"")="111444",10,20))/IF(TRIM(N1121&amp;"")="111444",10,20),0))=1,
            300,
            IF(
                MIN(3,ROUNDUP(MAX(0,K1121-(MAX(1,Q1121)-1)*IF(TRIM(N1121&amp;"")="111444",10,20))/IF(TRIM(N1121&amp;"")="111444",10,20),0))=2,
                450,
                600
            )
        )
    ),
    ""
)</f>
        <v/>
      </c>
    </row>
    <row r="1122" spans="1:23" ht="48.2" customHeight="1" x14ac:dyDescent="0.25">
      <c r="A1122" s="17">
        <f>VLOOKUP(C1122,[1]Werke!$A$1:$C$168,3,0)</f>
        <v>12</v>
      </c>
      <c r="B1122" s="17">
        <f>VLOOKUP(C1122,[1]Werke!$A$1:$C$168,2,0)</f>
        <v>0</v>
      </c>
      <c r="C1122" s="18" t="s">
        <v>338</v>
      </c>
      <c r="D1122" s="17">
        <f>VLOOKUP(C1122,[1]Maliteslimalan!$A$1:$B$210,2,0)</f>
        <v>8000017843</v>
      </c>
      <c r="E1122" s="19">
        <v>6</v>
      </c>
      <c r="F1122" s="20" t="str">
        <f>VLOOKUP(G1122,$U$1:$V$1730,2,0)</f>
        <v>N   910 973 01</v>
      </c>
      <c r="G1122" s="21">
        <v>100328300</v>
      </c>
      <c r="H1122" s="17">
        <f>VLOOKUP(G1122,Z$2:AA$1905,2,FALSE)</f>
        <v>1.1129999999999999E-2</v>
      </c>
      <c r="I1122" s="20"/>
      <c r="J1122" s="17">
        <f>VLOOKUP(G1122,W$2:X$1905,2,FALSE)</f>
        <v>1000</v>
      </c>
      <c r="K1122" s="17">
        <f>I1122/J1122</f>
        <v>0</v>
      </c>
      <c r="L1122" s="22">
        <v>10</v>
      </c>
      <c r="M1122" s="22">
        <v>10</v>
      </c>
      <c r="N1122" s="22">
        <v>111444</v>
      </c>
      <c r="O1122" s="22" t="str">
        <f>VLOOKUP(N1122,$AL$1285:$AM$1310,2,FALSE)</f>
        <v>001006</v>
      </c>
      <c r="P1122" s="22">
        <f>VLOOKUP(N1122,AC$2:AD$1905,2,FALSE)</f>
        <v>34</v>
      </c>
      <c r="Q1122" s="22"/>
      <c r="R1122" s="23" t="s">
        <v>153</v>
      </c>
      <c r="S1122" s="22">
        <f>VLOOKUP(R1122,AC$2:AD$1905,2,FALSE)</f>
        <v>0.56999999999999995</v>
      </c>
      <c r="T1122" s="24">
        <f>(H1122*I1122)+P1122*Q1122+S1122*K1122</f>
        <v>0</v>
      </c>
      <c r="U1122" s="25">
        <f>IF(TRIM(N1122&amp;"")="111444",
    IF(ROUNDUP(MAX(0,K1122-(MAX(1,Q1122)-1)*10)/10,0)=1,3,2),
    IF(TRIM(N1122&amp;"")="VWPAL",
        IF(TRIM(R1122&amp;"")="004147",1,2),
        ""
    )
)</f>
        <v>2</v>
      </c>
      <c r="V1122" s="26" t="str">
        <f>IF(OR(TRIM(N1122&amp;"")="111444",TRIM(N1122&amp;"")="VWPAL"),
    IF(K1122&lt;=0,"",
        IF(
            MIN(3,ROUNDUP(MAX(0,K1122-(MAX(1,Q1122)-1)*IF(TRIM(N1122&amp;"")="111444",10,20))/IF(TRIM(N1122&amp;"")="111444",10,20),0))=1,
            300,
            IF(
                MIN(3,ROUNDUP(MAX(0,K1122-(MAX(1,Q1122)-1)*IF(TRIM(N1122&amp;"")="111444",10,20))/IF(TRIM(N1122&amp;"")="111444",10,20),0))=2,
                450,
                600
            )
        )
    ),
    ""
)</f>
        <v/>
      </c>
    </row>
    <row r="1123" spans="1:23" ht="48.2" customHeight="1" x14ac:dyDescent="0.25">
      <c r="A1123" s="17">
        <f>VLOOKUP(C1123,[1]Werke!$A$1:$C$168,3,0)</f>
        <v>14</v>
      </c>
      <c r="B1123" s="17" t="str">
        <f>VLOOKUP(C1123,[1]Werke!$A$1:$C$168,2,0)</f>
        <v>D72</v>
      </c>
      <c r="C1123" s="18" t="s">
        <v>220</v>
      </c>
      <c r="D1123" s="17" t="str">
        <f>VLOOKUP(C1123,[1]Maliteslimalan!$A$1:$B$210,2,0)</f>
        <v>8000013493</v>
      </c>
      <c r="E1123" s="19">
        <f>VLOOKUP(C1123,[1]Bestellnr.!$A$1:$B$174,2,0)</f>
        <v>0</v>
      </c>
      <c r="F1123" s="20" t="str">
        <f>VLOOKUP(G1123,$U$1:$V$1730,2,0)</f>
        <v>N   910 973 01</v>
      </c>
      <c r="G1123" s="21">
        <v>100328300</v>
      </c>
      <c r="H1123" s="17">
        <f>VLOOKUP(G1123,Z$2:AA$1905,2,FALSE)</f>
        <v>1.1129999999999999E-2</v>
      </c>
      <c r="I1123" s="20"/>
      <c r="J1123" s="17">
        <f>VLOOKUP(G1123,W$2:X$1905,2,FALSE)</f>
        <v>1000</v>
      </c>
      <c r="K1123" s="17">
        <f>I1123/J1123</f>
        <v>0</v>
      </c>
      <c r="L1123" s="22">
        <v>10</v>
      </c>
      <c r="M1123" s="22">
        <v>30</v>
      </c>
      <c r="N1123" s="22">
        <v>111444</v>
      </c>
      <c r="O1123" s="22" t="str">
        <f>VLOOKUP(N1123,$AL$1285:$AM$1310,2,FALSE)</f>
        <v>001006</v>
      </c>
      <c r="P1123" s="22">
        <f>VLOOKUP(N1123,AC$2:AD$1905,2,FALSE)</f>
        <v>34</v>
      </c>
      <c r="Q1123" s="22"/>
      <c r="R1123" s="23" t="s">
        <v>153</v>
      </c>
      <c r="S1123" s="22">
        <f>VLOOKUP(R1123,AC$2:AD$1905,2,FALSE)</f>
        <v>0.56999999999999995</v>
      </c>
      <c r="T1123" s="24">
        <f>(H1123*I1123)+P1123*Q1123+S1123*K1123</f>
        <v>0</v>
      </c>
      <c r="U1123" s="25">
        <f>IF(TRIM(N1123&amp;"")="111444",
    IF(ROUNDUP(MAX(0,K1123-(MAX(1,Q1123)-1)*10)/10,0)=1,3,2),
    IF(TRIM(N1123&amp;"")="VWPAL",
        IF(TRIM(R1123&amp;"")="004147",1,2),
        ""
    )
)</f>
        <v>2</v>
      </c>
      <c r="V1123" s="26" t="str">
        <f>IF(OR(TRIM(N1123&amp;"")="111444",TRIM(N1123&amp;"")="VWPAL"),
    IF(K1123&lt;=0,"",
        IF(
            MIN(3,ROUNDUP(MAX(0,K1123-(MAX(1,Q1123)-1)*IF(TRIM(N1123&amp;"")="111444",10,20))/IF(TRIM(N1123&amp;"")="111444",10,20),0))=1,
            300,
            IF(
                MIN(3,ROUNDUP(MAX(0,K1123-(MAX(1,Q1123)-1)*IF(TRIM(N1123&amp;"")="111444",10,20))/IF(TRIM(N1123&amp;"")="111444",10,20),0))=2,
                450,
                600
            )
        )
    ),
    ""
)</f>
        <v/>
      </c>
    </row>
    <row r="1124" spans="1:23" ht="48.2" customHeight="1" x14ac:dyDescent="0.25">
      <c r="A1124" s="17"/>
      <c r="B1124" s="17"/>
      <c r="C1124" s="18"/>
      <c r="D1124" s="17"/>
      <c r="E1124" s="19"/>
      <c r="F1124" s="20"/>
      <c r="G1124" s="21"/>
      <c r="H1124" s="17"/>
      <c r="I1124" s="20"/>
      <c r="J1124" s="17"/>
      <c r="K1124" s="17"/>
      <c r="L1124" s="22"/>
      <c r="M1124" s="22"/>
      <c r="N1124" s="22"/>
      <c r="O1124" s="22"/>
      <c r="P1124" s="22"/>
      <c r="Q1124" s="22"/>
      <c r="R1124" s="23"/>
      <c r="S1124" s="22"/>
      <c r="T1124" s="24"/>
      <c r="U1124" s="25"/>
    </row>
    <row r="1125" spans="1:23" ht="48.2" customHeight="1" x14ac:dyDescent="0.25">
      <c r="A1125" s="17">
        <f>VLOOKUP(C1125,[1]Werke!$A$1:$C$168,3,0)</f>
        <v>13</v>
      </c>
      <c r="B1125" s="17" t="str">
        <f>VLOOKUP(C1125,[1]Werke!$A$1:$C$168,2,0)</f>
        <v>31B</v>
      </c>
      <c r="C1125" s="18">
        <v>30332</v>
      </c>
      <c r="D1125" s="17">
        <f>VLOOKUP(C1125,[1]Maliteslimalan!$A$1:$B$210,2,0)</f>
        <v>8000016060</v>
      </c>
      <c r="E1125" s="19">
        <v>6</v>
      </c>
      <c r="F1125" s="20" t="str">
        <f>VLOOKUP(G1125,$U$1:$V$1730,2,0)</f>
        <v>WHT 010 207</v>
      </c>
      <c r="G1125" s="21">
        <v>110151600</v>
      </c>
      <c r="H1125" s="17">
        <f>VLOOKUP(G1125,Z$2:AA$1905,2,FALSE)</f>
        <v>4.4999999999999998E-2</v>
      </c>
      <c r="I1125" s="20"/>
      <c r="J1125" s="17">
        <f>VLOOKUP(G1125,W$2:X$1905,2,FALSE)</f>
        <v>290</v>
      </c>
      <c r="K1125" s="17">
        <f>I1125/J1125</f>
        <v>0</v>
      </c>
      <c r="L1125" s="22">
        <v>20</v>
      </c>
      <c r="M1125" s="22">
        <v>20</v>
      </c>
      <c r="N1125" s="22" t="s">
        <v>155</v>
      </c>
      <c r="O1125" s="22" t="str">
        <f>VLOOKUP(N1125,$AL$1285:$AM$1310,2,FALSE)</f>
        <v>001210</v>
      </c>
      <c r="P1125" s="22">
        <f>VLOOKUP(N1125,AC$2:AD$1905,2,FALSE)</f>
        <v>55</v>
      </c>
      <c r="Q1125" s="22"/>
      <c r="R1125" s="23" t="s">
        <v>153</v>
      </c>
      <c r="S1125" s="22">
        <f>VLOOKUP(R1125,AC$2:AD$1905,2,FALSE)</f>
        <v>0.56999999999999995</v>
      </c>
      <c r="T1125" s="24">
        <f>(H1125*I1125)+P1125*Q1125+S1125*K1125</f>
        <v>0</v>
      </c>
      <c r="U1125" s="25">
        <f>IF(TRIM(N1125&amp;"")="111444",
    IF(ROUNDUP(MAX(0,K1125-(MAX(1,Q1125)-1)*10)/10,0)=1,3,2),
    IF(TRIM(N1125&amp;"")="VWPAL",
        IF(TRIM(R1125&amp;"")="004147",1,2),
        ""
    )
)</f>
        <v>2</v>
      </c>
      <c r="V1125" s="26" t="str">
        <f>IF(OR(TRIM(N1125&amp;"")="111444",TRIM(N1125&amp;"")="VWPAL"),
    IF(K1125&lt;=0,"",
        IF(
            MIN(3,ROUNDUP(MAX(0,K1125-(MAX(1,Q1125)-1)*IF(TRIM(N1125&amp;"")="111444",10,20))/IF(TRIM(N1125&amp;"")="111444",10,20),0))=1,
            300,
            IF(
                MIN(3,ROUNDUP(MAX(0,K1125-(MAX(1,Q1125)-1)*IF(TRIM(N1125&amp;"")="111444",10,20))/IF(TRIM(N1125&amp;"")="111444",10,20),0))=2,
                450,
                600
            )
        )
    ),
    ""
)</f>
        <v/>
      </c>
    </row>
    <row r="1126" spans="1:23" ht="48.2" customHeight="1" x14ac:dyDescent="0.25">
      <c r="A1126" s="17"/>
      <c r="B1126" s="17"/>
      <c r="C1126" s="18"/>
      <c r="D1126" s="17"/>
      <c r="E1126" s="19"/>
      <c r="F1126" s="20"/>
      <c r="G1126" s="21"/>
      <c r="H1126" s="17"/>
      <c r="I1126" s="20"/>
      <c r="J1126" s="17"/>
      <c r="K1126" s="17"/>
      <c r="L1126" s="22"/>
      <c r="M1126" s="22"/>
      <c r="N1126" s="22"/>
      <c r="O1126" s="22"/>
      <c r="P1126" s="22"/>
      <c r="Q1126" s="22"/>
      <c r="R1126" s="23"/>
      <c r="S1126" s="22"/>
      <c r="T1126" s="24"/>
      <c r="U1126" s="25"/>
    </row>
    <row r="1127" spans="1:23" ht="48.2" customHeight="1" x14ac:dyDescent="0.25">
      <c r="A1127" s="17">
        <f>VLOOKUP(C1127,[1]Werke!$A$1:$C$168,3,0)</f>
        <v>14</v>
      </c>
      <c r="B1127" s="17" t="str">
        <f>VLOOKUP(C1127,[1]Werke!$A$1:$C$168,2,0)</f>
        <v>D47</v>
      </c>
      <c r="C1127" s="18" t="s">
        <v>246</v>
      </c>
      <c r="D1127" s="17" t="str">
        <f>VLOOKUP(C1127,[1]Maliteslimalan!$A$1:$B$210,2,0)</f>
        <v>8000012583</v>
      </c>
      <c r="E1127" s="19">
        <f>VLOOKUP(C1127,[1]Bestellnr.!$A$1:$B$174,2,0)</f>
        <v>0</v>
      </c>
      <c r="F1127" s="20" t="str">
        <f>VLOOKUP(G1127,$U$1:$V$1730,2,0)</f>
        <v>N   105 621 01</v>
      </c>
      <c r="G1127" s="21">
        <v>932225000</v>
      </c>
      <c r="H1127" s="17">
        <f>VLOOKUP(G1127,Z$2:AA$1905,2,FALSE)</f>
        <v>1.323E-2</v>
      </c>
      <c r="I1127" s="20"/>
      <c r="J1127" s="17">
        <f>VLOOKUP(G1127,W$2:X$1905,2,FALSE)</f>
        <v>800</v>
      </c>
      <c r="K1127" s="17">
        <f>I1127/J1127</f>
        <v>0</v>
      </c>
      <c r="L1127" s="22">
        <v>10</v>
      </c>
      <c r="M1127" s="22">
        <v>30</v>
      </c>
      <c r="N1127" s="22">
        <v>111444</v>
      </c>
      <c r="O1127" s="22" t="str">
        <f>VLOOKUP(N1127,$AL$1285:$AM$1310,2,FALSE)</f>
        <v>001006</v>
      </c>
      <c r="P1127" s="22">
        <f>VLOOKUP(N1127,AC$2:AD$1905,2,FALSE)</f>
        <v>34</v>
      </c>
      <c r="Q1127" s="22"/>
      <c r="R1127" s="23" t="s">
        <v>153</v>
      </c>
      <c r="S1127" s="22">
        <f>VLOOKUP(R1127,AC$2:AD$1905,2,FALSE)</f>
        <v>0.56999999999999995</v>
      </c>
      <c r="T1127" s="24">
        <f>(H1127*I1127)+P1127*Q1127+S1127*K1127</f>
        <v>0</v>
      </c>
      <c r="U1127" s="25">
        <f>IF(TRIM(N1127&amp;"")="111444",
    IF(ROUNDUP(MAX(0,K1127-(MAX(1,Q1127)-1)*10)/10,0)=1,3,2),
    IF(TRIM(N1127&amp;"")="VWPAL",
        IF(TRIM(R1127&amp;"")="004147",1,2),
        ""
    )
)</f>
        <v>2</v>
      </c>
      <c r="V1127" s="26" t="str">
        <f>IF(OR(TRIM(N1127&amp;"")="111444",TRIM(N1127&amp;"")="VWPAL"),
    IF(K1127&lt;=0,"",
        IF(
            MIN(3,ROUNDUP(MAX(0,K1127-(MAX(1,Q1127)-1)*IF(TRIM(N1127&amp;"")="111444",10,20))/IF(TRIM(N1127&amp;"")="111444",10,20),0))=1,
            300,
            IF(
                MIN(3,ROUNDUP(MAX(0,K1127-(MAX(1,Q1127)-1)*IF(TRIM(N1127&amp;"")="111444",10,20))/IF(TRIM(N1127&amp;"")="111444",10,20),0))=2,
                450,
                600
            )
        )
    ),
    ""
)</f>
        <v/>
      </c>
    </row>
    <row r="1128" spans="1:23" ht="48.2" customHeight="1" x14ac:dyDescent="0.25">
      <c r="A1128" s="17"/>
      <c r="B1128" s="17"/>
      <c r="C1128" s="18"/>
      <c r="D1128" s="17"/>
      <c r="E1128" s="19"/>
      <c r="F1128" s="20"/>
      <c r="G1128" s="21"/>
      <c r="H1128" s="17"/>
      <c r="I1128" s="20"/>
      <c r="J1128" s="17"/>
      <c r="K1128" s="17"/>
      <c r="L1128" s="22"/>
      <c r="M1128" s="22"/>
      <c r="N1128" s="22"/>
      <c r="O1128" s="22"/>
      <c r="P1128" s="22"/>
      <c r="Q1128" s="22"/>
      <c r="R1128" s="23"/>
      <c r="S1128" s="22"/>
      <c r="T1128" s="24"/>
      <c r="U1128" s="25"/>
    </row>
    <row r="1129" spans="1:23" ht="48.2" customHeight="1" x14ac:dyDescent="0.25">
      <c r="A1129" s="17">
        <f>VLOOKUP(C1129,[1]Werke!$A$1:$C$168,3,0)</f>
        <v>17</v>
      </c>
      <c r="B1129" s="17" t="str">
        <f>VLOOKUP(C1129,[1]Werke!$A$1:$C$168,2,0)</f>
        <v>H2B</v>
      </c>
      <c r="C1129" s="20" t="s">
        <v>192</v>
      </c>
      <c r="D1129" s="17" t="str">
        <f>VLOOKUP(C1129,[1]Maliteslimalan!$A$1:$B$210,2,0)</f>
        <v>8000012624</v>
      </c>
      <c r="E1129" s="19" t="str">
        <f>VLOOKUP(C1129,[1]Bestellnr.!$A$1:$B$174,2,0)</f>
        <v>000006</v>
      </c>
      <c r="F1129" s="20" t="str">
        <f t="shared" ref="F1129:F1135" si="561">VLOOKUP(G1129,$U$1:$V$1730,2,0)</f>
        <v>N   108 864 01</v>
      </c>
      <c r="G1129" s="21">
        <v>100548500</v>
      </c>
      <c r="H1129" s="17">
        <f t="shared" ref="H1129:H1135" si="562">VLOOKUP(G1129,Z$2:AA$1905,2,FALSE)</f>
        <v>2.3E-2</v>
      </c>
      <c r="I1129" s="20"/>
      <c r="J1129" s="17">
        <f t="shared" ref="J1129:J1135" si="563">VLOOKUP(G1129,W$2:X$1905,2,FALSE)</f>
        <v>500</v>
      </c>
      <c r="K1129" s="17">
        <f t="shared" ref="K1129:K1135" si="564">I1129/J1129</f>
        <v>0</v>
      </c>
      <c r="L1129" s="22">
        <v>10</v>
      </c>
      <c r="M1129" s="22">
        <v>30</v>
      </c>
      <c r="N1129" s="22">
        <v>111444</v>
      </c>
      <c r="O1129" s="22" t="str">
        <f t="shared" ref="O1129:O1135" si="565">VLOOKUP(N1129,$AL$1285:$AM$1310,2,FALSE)</f>
        <v>001006</v>
      </c>
      <c r="P1129" s="22">
        <f t="shared" ref="P1129:P1135" si="566">VLOOKUP(N1129,AC$2:AD$1905,2,FALSE)</f>
        <v>34</v>
      </c>
      <c r="Q1129" s="22"/>
      <c r="R1129" s="23" t="s">
        <v>153</v>
      </c>
      <c r="S1129" s="22">
        <f t="shared" ref="S1129:S1135" si="567">VLOOKUP(R1129,AC$2:AD$1905,2,FALSE)</f>
        <v>0.56999999999999995</v>
      </c>
      <c r="T1129" s="24">
        <f t="shared" ref="T1129:T1135" si="568">(H1129*I1129)+P1129*Q1129+S1129*K1129</f>
        <v>0</v>
      </c>
      <c r="U1129" s="25">
        <f t="shared" ref="U1129:U1135" si="569">IF(TRIM(N1129&amp;"")="111444",
    IF(ROUNDUP(MAX(0,K1129-(MAX(1,Q1129)-1)*10)/10,0)=1,3,2),
    IF(TRIM(N1129&amp;"")="VWPAL",
        IF(TRIM(R1129&amp;"")="004147",1,2),
        ""
    )
)</f>
        <v>2</v>
      </c>
      <c r="V1129" s="26" t="str">
        <f t="shared" ref="V1129:V1135" si="570">IF(OR(TRIM(N1129&amp;"")="111444",TRIM(N1129&amp;"")="VWPAL"),
    IF(K1129&lt;=0,"",
        IF(
            MIN(3,ROUNDUP(MAX(0,K1129-(MAX(1,Q1129)-1)*IF(TRIM(N1129&amp;"")="111444",10,20))/IF(TRIM(N1129&amp;"")="111444",10,20),0))=1,
            300,
            IF(
                MIN(3,ROUNDUP(MAX(0,K1129-(MAX(1,Q1129)-1)*IF(TRIM(N1129&amp;"")="111444",10,20))/IF(TRIM(N1129&amp;"")="111444",10,20),0))=2,
                450,
                600
            )
        )
    ),
    ""
)</f>
        <v/>
      </c>
    </row>
    <row r="1130" spans="1:23" ht="48.2" customHeight="1" x14ac:dyDescent="0.25">
      <c r="A1130" s="17">
        <f>VLOOKUP(C1130,[1]Werke!$A$1:$C$168,3,0)</f>
        <v>27</v>
      </c>
      <c r="B1130" s="17" t="str">
        <f>VLOOKUP(C1130,[1]Werke!$A$1:$C$168,2,0)</f>
        <v>EFL</v>
      </c>
      <c r="C1130" s="18" t="s">
        <v>290</v>
      </c>
      <c r="D1130" s="17" t="str">
        <f>VLOOKUP(C1130,[1]Maliteslimalan!$A$1:$B$210,2,0)</f>
        <v>8000012573</v>
      </c>
      <c r="E1130" s="19" t="str">
        <f>VLOOKUP(C1130,[1]Bestellnr.!$A$1:$B$174,2,0)</f>
        <v>000006</v>
      </c>
      <c r="F1130" s="20" t="str">
        <f t="shared" si="561"/>
        <v>N   108 864 01</v>
      </c>
      <c r="G1130" s="21">
        <v>100548500</v>
      </c>
      <c r="H1130" s="17">
        <f t="shared" si="562"/>
        <v>2.3E-2</v>
      </c>
      <c r="I1130" s="20"/>
      <c r="J1130" s="17">
        <f t="shared" si="563"/>
        <v>500</v>
      </c>
      <c r="K1130" s="17">
        <f t="shared" si="564"/>
        <v>0</v>
      </c>
      <c r="L1130" s="22">
        <v>10</v>
      </c>
      <c r="M1130" s="22">
        <v>30</v>
      </c>
      <c r="N1130" s="22">
        <v>111444</v>
      </c>
      <c r="O1130" s="22" t="str">
        <f t="shared" si="565"/>
        <v>001006</v>
      </c>
      <c r="P1130" s="22">
        <f t="shared" si="566"/>
        <v>34</v>
      </c>
      <c r="Q1130" s="22"/>
      <c r="R1130" s="23" t="s">
        <v>153</v>
      </c>
      <c r="S1130" s="22">
        <f t="shared" si="567"/>
        <v>0.56999999999999995</v>
      </c>
      <c r="T1130" s="24">
        <f t="shared" si="568"/>
        <v>0</v>
      </c>
      <c r="U1130" s="25">
        <f t="shared" si="569"/>
        <v>2</v>
      </c>
      <c r="V1130" s="26" t="str">
        <f t="shared" si="570"/>
        <v/>
      </c>
    </row>
    <row r="1131" spans="1:23" ht="48.2" customHeight="1" x14ac:dyDescent="0.25">
      <c r="A1131" s="17" t="str">
        <f>VLOOKUP(C1131,[1]Werke!$A$1:$C$168,3,0)</f>
        <v>LD</v>
      </c>
      <c r="B1131" s="17" t="str">
        <f>VLOOKUP(C1131,[1]Werke!$A$1:$C$168,2,0)</f>
        <v>SLD</v>
      </c>
      <c r="C1131" s="18">
        <v>83630</v>
      </c>
      <c r="D1131" s="17" t="str">
        <f>VLOOKUP(C1131,[1]Maliteslimalan!$A$1:$B$210,2,0)</f>
        <v>8000012862</v>
      </c>
      <c r="E1131" s="19" t="str">
        <f>VLOOKUP(C1131,[1]Bestellnr.!$A$1:$B$174,2,0)</f>
        <v>000006</v>
      </c>
      <c r="F1131" s="20" t="str">
        <f t="shared" si="561"/>
        <v>N   108 864 01</v>
      </c>
      <c r="G1131" s="21">
        <v>100548500</v>
      </c>
      <c r="H1131" s="17">
        <f t="shared" si="562"/>
        <v>2.3E-2</v>
      </c>
      <c r="I1131" s="20"/>
      <c r="J1131" s="17">
        <f t="shared" si="563"/>
        <v>500</v>
      </c>
      <c r="K1131" s="17">
        <f t="shared" si="564"/>
        <v>0</v>
      </c>
      <c r="L1131" s="22">
        <v>10</v>
      </c>
      <c r="M1131" s="22">
        <v>30</v>
      </c>
      <c r="N1131" s="22">
        <v>111444</v>
      </c>
      <c r="O1131" s="22" t="str">
        <f t="shared" si="565"/>
        <v>001006</v>
      </c>
      <c r="P1131" s="22">
        <f t="shared" si="566"/>
        <v>34</v>
      </c>
      <c r="Q1131" s="22"/>
      <c r="R1131" s="23" t="s">
        <v>153</v>
      </c>
      <c r="S1131" s="22">
        <f t="shared" si="567"/>
        <v>0.56999999999999995</v>
      </c>
      <c r="T1131" s="24">
        <f t="shared" si="568"/>
        <v>0</v>
      </c>
      <c r="U1131" s="25">
        <f t="shared" si="569"/>
        <v>2</v>
      </c>
      <c r="V1131" s="26" t="str">
        <f t="shared" si="570"/>
        <v/>
      </c>
    </row>
    <row r="1132" spans="1:23" ht="48.2" customHeight="1" x14ac:dyDescent="0.25">
      <c r="A1132" s="17">
        <f>VLOOKUP(C1132,[1]Werke!$A$1:$C$168,3,0)</f>
        <v>31</v>
      </c>
      <c r="B1132" s="17" t="str">
        <f>VLOOKUP(C1132,[1]Werke!$A$1:$C$168,2,0)</f>
        <v>B29</v>
      </c>
      <c r="C1132" s="18">
        <v>10329</v>
      </c>
      <c r="D1132" s="17">
        <f>VLOOKUP(C1132,[1]Maliteslimalan!$A$1:$B$210,2,0)</f>
        <v>8000013608</v>
      </c>
      <c r="E1132" s="19">
        <v>6</v>
      </c>
      <c r="F1132" s="20" t="str">
        <f t="shared" si="561"/>
        <v>N   108 864 01</v>
      </c>
      <c r="G1132" s="21">
        <v>100548500</v>
      </c>
      <c r="H1132" s="17">
        <f t="shared" si="562"/>
        <v>2.3E-2</v>
      </c>
      <c r="I1132" s="20"/>
      <c r="J1132" s="17">
        <f t="shared" si="563"/>
        <v>500</v>
      </c>
      <c r="K1132" s="17">
        <f t="shared" si="564"/>
        <v>0</v>
      </c>
      <c r="L1132" s="22">
        <v>10</v>
      </c>
      <c r="M1132" s="22">
        <v>10</v>
      </c>
      <c r="N1132" s="22">
        <v>111444</v>
      </c>
      <c r="O1132" s="22" t="str">
        <f t="shared" si="565"/>
        <v>001006</v>
      </c>
      <c r="P1132" s="22">
        <f t="shared" si="566"/>
        <v>34</v>
      </c>
      <c r="Q1132" s="22"/>
      <c r="R1132" s="23" t="s">
        <v>153</v>
      </c>
      <c r="S1132" s="22">
        <f t="shared" si="567"/>
        <v>0.56999999999999995</v>
      </c>
      <c r="T1132" s="24">
        <f t="shared" si="568"/>
        <v>0</v>
      </c>
      <c r="U1132" s="25">
        <f t="shared" si="569"/>
        <v>2</v>
      </c>
      <c r="V1132" s="26" t="str">
        <f t="shared" si="570"/>
        <v/>
      </c>
    </row>
    <row r="1133" spans="1:23" ht="48.2" customHeight="1" x14ac:dyDescent="0.25">
      <c r="A1133" s="17" t="str">
        <f>VLOOKUP(C1133,[1]Werke!$A$1:$C$168,3,0)</f>
        <v>26D</v>
      </c>
      <c r="B1133" s="17" t="str">
        <f>VLOOKUP(C1133,[1]Werke!$A$1:$C$168,2,0)</f>
        <v>G18</v>
      </c>
      <c r="C1133" s="18" t="s">
        <v>275</v>
      </c>
      <c r="D1133" s="17" t="str">
        <f>VLOOKUP(C1133,[1]Maliteslimalan!$A$1:$B$210,2,0)</f>
        <v>8000012880</v>
      </c>
      <c r="E1133" s="19">
        <f>VLOOKUP(C1133,[1]Bestellnr.!$A$1:$B$174,2,0)</f>
        <v>0</v>
      </c>
      <c r="F1133" s="20" t="str">
        <f t="shared" si="561"/>
        <v>N   108 864 01</v>
      </c>
      <c r="G1133" s="21">
        <v>100548500</v>
      </c>
      <c r="H1133" s="17">
        <f t="shared" si="562"/>
        <v>2.3E-2</v>
      </c>
      <c r="I1133" s="20"/>
      <c r="J1133" s="17">
        <f t="shared" si="563"/>
        <v>500</v>
      </c>
      <c r="K1133" s="17">
        <f t="shared" si="564"/>
        <v>0</v>
      </c>
      <c r="L1133" s="22">
        <v>10</v>
      </c>
      <c r="M1133" s="22">
        <v>30</v>
      </c>
      <c r="N1133" s="22">
        <v>111444</v>
      </c>
      <c r="O1133" s="22" t="str">
        <f t="shared" si="565"/>
        <v>001006</v>
      </c>
      <c r="P1133" s="22">
        <f t="shared" si="566"/>
        <v>34</v>
      </c>
      <c r="Q1133" s="22"/>
      <c r="R1133" s="23" t="s">
        <v>153</v>
      </c>
      <c r="S1133" s="22">
        <f t="shared" si="567"/>
        <v>0.56999999999999995</v>
      </c>
      <c r="T1133" s="24">
        <f t="shared" si="568"/>
        <v>0</v>
      </c>
      <c r="U1133" s="25">
        <f t="shared" si="569"/>
        <v>2</v>
      </c>
      <c r="V1133" s="26" t="str">
        <f t="shared" si="570"/>
        <v/>
      </c>
    </row>
    <row r="1134" spans="1:23" ht="48.2" customHeight="1" x14ac:dyDescent="0.25">
      <c r="A1134" s="17">
        <f>VLOOKUP(C1134,[1]Werke!$A$1:$C$168,3,0)</f>
        <v>14</v>
      </c>
      <c r="B1134" s="17" t="str">
        <f>VLOOKUP(C1134,[1]Werke!$A$1:$C$168,2,0)</f>
        <v>D72</v>
      </c>
      <c r="C1134" s="18" t="s">
        <v>220</v>
      </c>
      <c r="D1134" s="17" t="str">
        <f>VLOOKUP(C1134,[1]Maliteslimalan!$A$1:$B$210,2,0)</f>
        <v>8000013493</v>
      </c>
      <c r="E1134" s="19">
        <f>VLOOKUP(C1134,[1]Bestellnr.!$A$1:$B$174,2,0)</f>
        <v>0</v>
      </c>
      <c r="F1134" s="20" t="str">
        <f t="shared" si="561"/>
        <v>N   108 864 01</v>
      </c>
      <c r="G1134" s="21">
        <v>100548500</v>
      </c>
      <c r="H1134" s="17">
        <f t="shared" si="562"/>
        <v>2.3E-2</v>
      </c>
      <c r="I1134" s="20"/>
      <c r="J1134" s="17">
        <f t="shared" si="563"/>
        <v>500</v>
      </c>
      <c r="K1134" s="17">
        <f t="shared" si="564"/>
        <v>0</v>
      </c>
      <c r="L1134" s="22">
        <v>10</v>
      </c>
      <c r="M1134" s="22">
        <v>30</v>
      </c>
      <c r="N1134" s="22">
        <v>111444</v>
      </c>
      <c r="O1134" s="22" t="str">
        <f t="shared" si="565"/>
        <v>001006</v>
      </c>
      <c r="P1134" s="22">
        <f t="shared" si="566"/>
        <v>34</v>
      </c>
      <c r="Q1134" s="22"/>
      <c r="R1134" s="23" t="s">
        <v>153</v>
      </c>
      <c r="S1134" s="22">
        <f t="shared" si="567"/>
        <v>0.56999999999999995</v>
      </c>
      <c r="T1134" s="24">
        <f t="shared" si="568"/>
        <v>0</v>
      </c>
      <c r="U1134" s="25">
        <f t="shared" si="569"/>
        <v>2</v>
      </c>
      <c r="V1134" s="26" t="str">
        <f t="shared" si="570"/>
        <v/>
      </c>
    </row>
    <row r="1135" spans="1:23" ht="48.2" customHeight="1" x14ac:dyDescent="0.25">
      <c r="A1135" s="17" t="str">
        <f>VLOOKUP(C1135,[1]Werke!$A$1:$C$168,3,0)</f>
        <v>RC</v>
      </c>
      <c r="B1135" s="17" t="str">
        <f>VLOOKUP(C1135,[1]Werke!$A$1:$C$168,2,0)</f>
        <v>CKD</v>
      </c>
      <c r="C1135" s="18" t="s">
        <v>256</v>
      </c>
      <c r="D1135" s="17" t="str">
        <f>VLOOKUP(C1135,[1]Maliteslimalan!$A$1:$B$210,2,0)</f>
        <v>8000012593</v>
      </c>
      <c r="E1135" s="19" t="str">
        <f>VLOOKUP(C1135,[1]Bestellnr.!$A$1:$B$174,2,0)</f>
        <v>000006</v>
      </c>
      <c r="F1135" s="20" t="str">
        <f t="shared" si="561"/>
        <v>N   108 864 01</v>
      </c>
      <c r="G1135" s="21">
        <v>100548500</v>
      </c>
      <c r="H1135" s="17">
        <f t="shared" si="562"/>
        <v>2.3E-2</v>
      </c>
      <c r="I1135" s="20"/>
      <c r="J1135" s="17">
        <f t="shared" si="563"/>
        <v>500</v>
      </c>
      <c r="K1135" s="17">
        <f t="shared" si="564"/>
        <v>0</v>
      </c>
      <c r="L1135" s="22">
        <v>10</v>
      </c>
      <c r="M1135" s="22">
        <v>30</v>
      </c>
      <c r="N1135" s="22">
        <v>111444</v>
      </c>
      <c r="O1135" s="22" t="str">
        <f t="shared" si="565"/>
        <v>001006</v>
      </c>
      <c r="P1135" s="22">
        <f t="shared" si="566"/>
        <v>34</v>
      </c>
      <c r="Q1135" s="22"/>
      <c r="R1135" s="23" t="s">
        <v>153</v>
      </c>
      <c r="S1135" s="22">
        <f t="shared" si="567"/>
        <v>0.56999999999999995</v>
      </c>
      <c r="T1135" s="24">
        <f t="shared" si="568"/>
        <v>0</v>
      </c>
      <c r="U1135" s="25">
        <f t="shared" si="569"/>
        <v>2</v>
      </c>
      <c r="V1135" s="26" t="str">
        <f t="shared" si="570"/>
        <v/>
      </c>
    </row>
    <row r="1136" spans="1:23" ht="48.2" customHeight="1" x14ac:dyDescent="0.25">
      <c r="A1136" s="33" t="s">
        <v>340</v>
      </c>
      <c r="B1136" s="34"/>
      <c r="C1136" s="34"/>
      <c r="D1136" s="34"/>
      <c r="E1136" s="35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6"/>
    </row>
    <row r="1137" spans="1:22" ht="48.2" customHeight="1" x14ac:dyDescent="0.25">
      <c r="A1137" s="17"/>
      <c r="B1137" s="17"/>
      <c r="C1137" s="18"/>
      <c r="D1137" s="17"/>
      <c r="E1137" s="19"/>
      <c r="F1137" s="20"/>
      <c r="G1137" s="37"/>
      <c r="H1137" s="17"/>
      <c r="I1137" s="20"/>
      <c r="J1137" s="17"/>
      <c r="K1137" s="17"/>
      <c r="L1137" s="22"/>
      <c r="M1137" s="22"/>
      <c r="N1137" s="22"/>
      <c r="O1137" s="22"/>
      <c r="P1137" s="22"/>
      <c r="Q1137" s="22"/>
      <c r="R1137" s="23"/>
      <c r="S1137" s="22"/>
      <c r="T1137" s="24"/>
      <c r="U1137" s="25"/>
    </row>
    <row r="1138" spans="1:22" ht="48.2" customHeight="1" x14ac:dyDescent="0.25">
      <c r="A1138" s="17"/>
      <c r="B1138" s="17"/>
      <c r="C1138" s="18"/>
      <c r="D1138" s="17"/>
      <c r="E1138" s="19"/>
      <c r="F1138" s="20"/>
      <c r="G1138" s="37"/>
      <c r="H1138" s="17"/>
      <c r="I1138" s="20"/>
      <c r="J1138" s="17"/>
      <c r="K1138" s="17"/>
      <c r="L1138" s="22"/>
      <c r="M1138" s="22"/>
      <c r="N1138" s="22"/>
      <c r="O1138" s="22"/>
      <c r="P1138" s="22"/>
      <c r="Q1138" s="22"/>
      <c r="R1138" s="23"/>
      <c r="S1138" s="22"/>
      <c r="T1138" s="24"/>
      <c r="U1138" s="25"/>
    </row>
    <row r="1139" spans="1:22" ht="48.2" customHeight="1" x14ac:dyDescent="0.25">
      <c r="A1139" s="17" t="str">
        <f>VLOOKUP(C1139,[1]Werke!$A$1:$C$168,3,0)</f>
        <v>B9</v>
      </c>
      <c r="B1139" s="17" t="str">
        <f>VLOOKUP(C1139,[1]Werke!$A$1:$C$168,2,0)</f>
        <v>BAU90</v>
      </c>
      <c r="C1139" s="18" t="s">
        <v>341</v>
      </c>
      <c r="D1139" s="17" t="str">
        <f>VLOOKUP(C1139,[1]Maliteslimalan!$A$1:$B$210,2,0)</f>
        <v>8000012552</v>
      </c>
      <c r="E1139" s="19">
        <f>VLOOKUP(C1139,[1]Bestellnr.!$A$1:$B$174,2,0)</f>
        <v>0</v>
      </c>
      <c r="F1139" s="20" t="str">
        <f>VLOOKUP(G1139,$U$1:$V$1730,2,0)</f>
        <v>N   010 244 26</v>
      </c>
      <c r="G1139" s="37">
        <v>925194000</v>
      </c>
      <c r="H1139" s="17">
        <f>VLOOKUP(G1139,Z$2:AA$1905,2,FALSE)</f>
        <v>1.508E-2</v>
      </c>
      <c r="I1139" s="20"/>
      <c r="J1139" s="17" t="str">
        <f>VLOOKUP(G1139,W$2:X$1905,2,FALSE)</f>
        <v>900</v>
      </c>
      <c r="K1139" s="17">
        <f>I1139/J1139</f>
        <v>0</v>
      </c>
      <c r="L1139" s="22">
        <v>16</v>
      </c>
      <c r="M1139" s="22">
        <v>48</v>
      </c>
      <c r="N1139" s="22" t="s">
        <v>342</v>
      </c>
      <c r="O1139" s="22">
        <f>VLOOKUP(N1139,$AL$1285:$AM$1310,2,FALSE)</f>
        <v>0</v>
      </c>
      <c r="P1139" s="22">
        <f>VLOOKUP(N1139,AC$2:AD$1905,2,FALSE)</f>
        <v>51</v>
      </c>
      <c r="Q1139" s="22"/>
      <c r="R1139" s="23" t="s">
        <v>153</v>
      </c>
      <c r="S1139" s="22">
        <f>VLOOKUP(R1139,AC$2:AD$1905,2,FALSE)</f>
        <v>0.56999999999999995</v>
      </c>
      <c r="T1139" s="24">
        <f>(H1139*I1139)+P1139*Q1139+S1139*K1139</f>
        <v>0</v>
      </c>
      <c r="U1139" s="25" t="str">
        <f>IF(TRIM(N1139&amp;"")="111444",
    IF(ROUNDUP(MAX(0,K1139-(MAX(1,Q1139)-1)*10)/10,0)=1,3,2),
    IF(TRIM(N1139&amp;"")="VWPAL",
        IF(TRIM(R1139&amp;"")="004147",1,2),
        ""
    )
)</f>
        <v/>
      </c>
      <c r="V1139" s="26" t="str">
        <f>IF(OR(TRIM(N1139&amp;"")="111444",TRIM(N1139&amp;"")="VWPAL"),
    IF(K1139&lt;=0,"",
        IF(
            MIN(3,ROUNDUP(MAX(0,K1139-(MAX(1,Q1139)-1)*IF(TRIM(N1139&amp;"")="111444",10,20))/IF(TRIM(N1139&amp;"")="111444",10,20),0))=1,
            300,
            IF(
                MIN(3,ROUNDUP(MAX(0,K1139-(MAX(1,Q1139)-1)*IF(TRIM(N1139&amp;"")="111444",10,20))/IF(TRIM(N1139&amp;"")="111444",10,20),0))=2,
                450,
                600
            )
        )
    ),
    ""
)</f>
        <v/>
      </c>
    </row>
    <row r="1140" spans="1:22" ht="48.2" customHeight="1" x14ac:dyDescent="0.25">
      <c r="A1140" s="17" t="str">
        <f>VLOOKUP(C1140,[1]Werke!$A$1:$C$168,3,0)</f>
        <v>W2</v>
      </c>
      <c r="B1140" s="17" t="str">
        <f>VLOOKUP(C1140,[1]Werke!$A$1:$C$168,2,0)</f>
        <v>UPSOR</v>
      </c>
      <c r="C1140" s="18" t="s">
        <v>343</v>
      </c>
      <c r="D1140" s="17" t="str">
        <f>VLOOKUP(C1140,[1]Maliteslimalan!$A$1:$B$210,2,0)</f>
        <v>8000013657</v>
      </c>
      <c r="E1140" s="19">
        <f>VLOOKUP(C1140,[1]Bestellnr.!$A$1:$B$174,2,0)</f>
        <v>0</v>
      </c>
      <c r="F1140" s="20" t="str">
        <f>VLOOKUP(G1140,$U$1:$V$1730,2,0)</f>
        <v>N   010 244 26</v>
      </c>
      <c r="G1140" s="37">
        <v>925194000</v>
      </c>
      <c r="H1140" s="17">
        <f>VLOOKUP(G1140,Z$2:AA$1905,2,FALSE)</f>
        <v>1.508E-2</v>
      </c>
      <c r="I1140" s="20"/>
      <c r="J1140" s="17" t="str">
        <f>VLOOKUP(G1140,W$2:X$1905,2,FALSE)</f>
        <v>900</v>
      </c>
      <c r="K1140" s="17">
        <f>I1140/J1140</f>
        <v>0</v>
      </c>
      <c r="L1140" s="22">
        <v>16</v>
      </c>
      <c r="M1140" s="22">
        <v>48</v>
      </c>
      <c r="N1140" s="22" t="s">
        <v>342</v>
      </c>
      <c r="O1140" s="22">
        <f>VLOOKUP(N1140,$AL$1285:$AM$1310,2,FALSE)</f>
        <v>0</v>
      </c>
      <c r="P1140" s="22">
        <f>VLOOKUP(N1140,AC$2:AD$1905,2,FALSE)</f>
        <v>51</v>
      </c>
      <c r="Q1140" s="22"/>
      <c r="R1140" s="23" t="s">
        <v>153</v>
      </c>
      <c r="S1140" s="22">
        <f>VLOOKUP(R1140,AC$2:AD$1905,2,FALSE)</f>
        <v>0.56999999999999995</v>
      </c>
      <c r="T1140" s="24">
        <f>(H1140*I1140)+P1140*Q1140+S1140*K1140</f>
        <v>0</v>
      </c>
      <c r="U1140" s="25" t="str">
        <f>IF(TRIM(N1140&amp;"")="111444",
    IF(ROUNDUP(MAX(0,K1140-(MAX(1,Q1140)-1)*10)/10,0)=1,3,2),
    IF(TRIM(N1140&amp;"")="VWPAL",
        IF(TRIM(R1140&amp;"")="004147",1,2),
        ""
    )
)</f>
        <v/>
      </c>
      <c r="V1140" s="26" t="str">
        <f>IF(OR(TRIM(N1140&amp;"")="111444",TRIM(N1140&amp;"")="VWPAL"),
    IF(K1140&lt;=0,"",
        IF(
            MIN(3,ROUNDUP(MAX(0,K1140-(MAX(1,Q1140)-1)*IF(TRIM(N1140&amp;"")="111444",10,20))/IF(TRIM(N1140&amp;"")="111444",10,20),0))=1,
            300,
            IF(
                MIN(3,ROUNDUP(MAX(0,K1140-(MAX(1,Q1140)-1)*IF(TRIM(N1140&amp;"")="111444",10,20))/IF(TRIM(N1140&amp;"")="111444",10,20),0))=2,
                450,
                600
            )
        )
    ),
    ""
)</f>
        <v/>
      </c>
    </row>
    <row r="1141" spans="1:22" ht="48.2" customHeight="1" x14ac:dyDescent="0.25">
      <c r="A1141" s="17"/>
      <c r="B1141" s="17"/>
      <c r="C1141" s="18"/>
      <c r="D1141" s="17"/>
      <c r="E1141" s="19"/>
      <c r="F1141" s="20"/>
      <c r="G1141" s="37"/>
      <c r="H1141" s="17"/>
      <c r="I1141" s="20"/>
      <c r="J1141" s="17"/>
      <c r="K1141" s="17"/>
      <c r="L1141" s="22"/>
      <c r="M1141" s="22"/>
      <c r="N1141" s="22"/>
      <c r="O1141" s="22"/>
      <c r="P1141" s="22"/>
      <c r="Q1141" s="22"/>
      <c r="R1141" s="23"/>
      <c r="S1141" s="22"/>
      <c r="T1141" s="24"/>
      <c r="U1141" s="25"/>
    </row>
    <row r="1142" spans="1:22" ht="48" customHeight="1" x14ac:dyDescent="0.25">
      <c r="A1142" s="17" t="str">
        <f>VLOOKUP(C1142,[1]Werke!$A$1:$C$168,3,0)</f>
        <v>L01</v>
      </c>
      <c r="B1142" s="17" t="str">
        <f>VLOOKUP(C1142,[1]Werke!$A$1:$C$168,2,0)</f>
        <v>ACHG</v>
      </c>
      <c r="C1142" s="18" t="s">
        <v>344</v>
      </c>
      <c r="D1142" s="17">
        <f>VLOOKUP(C1142,[1]Maliteslimalan!$A$1:$B$210,2,0)</f>
        <v>8000012832</v>
      </c>
      <c r="E1142" s="19">
        <v>6</v>
      </c>
      <c r="F1142" s="20" t="str">
        <f>VLOOKUP(G1142,$U$1:$V$1730,2,0)</f>
        <v>N   101 064 03</v>
      </c>
      <c r="G1142" s="37">
        <v>968472001</v>
      </c>
      <c r="H1142" s="17">
        <f>VLOOKUP(G1142,Z$2:AA$1905,2,FALSE)</f>
        <v>2.2970000000000001E-2</v>
      </c>
      <c r="I1142" s="20"/>
      <c r="J1142" s="17">
        <f>VLOOKUP(G1142,W$2:X$1905,2,FALSE)</f>
        <v>500</v>
      </c>
      <c r="K1142" s="17">
        <f>I1142/J1142</f>
        <v>0</v>
      </c>
      <c r="L1142" s="22">
        <v>20</v>
      </c>
      <c r="M1142" s="22">
        <v>20</v>
      </c>
      <c r="N1142" s="22" t="s">
        <v>155</v>
      </c>
      <c r="O1142" s="22" t="str">
        <f>VLOOKUP(N1142,$AL$1285:$AM$1310,2,FALSE)</f>
        <v>001210</v>
      </c>
      <c r="P1142" s="22">
        <f>VLOOKUP(N1142,AC$2:AD$1905,2,FALSE)</f>
        <v>55</v>
      </c>
      <c r="Q1142" s="22"/>
      <c r="R1142" s="23" t="s">
        <v>153</v>
      </c>
      <c r="S1142" s="22">
        <f>VLOOKUP(R1142,AC$2:AD$1905,2,FALSE)</f>
        <v>0.56999999999999995</v>
      </c>
      <c r="T1142" s="24">
        <f>(H1142*I1142)+P1142*Q1142+S1142*K1142</f>
        <v>0</v>
      </c>
      <c r="U1142" s="25">
        <f>IF(TRIM(N1142&amp;"")="111444",
    IF(ROUNDUP(MAX(0,K1142-(MAX(1,Q1142)-1)*10)/10,0)=1,3,2),
    IF(TRIM(N1142&amp;"")="VWPAL",
        IF(TRIM(R1142&amp;"")="004147",1,2),
        ""
    )
)</f>
        <v>2</v>
      </c>
      <c r="V1142" s="26" t="str">
        <f>IF(OR(TRIM(N1142&amp;"")="111444",TRIM(N1142&amp;"")="VWPAL"),
    IF(K1142&lt;=0,"",
        IF(
            MIN(3,ROUNDUP(MAX(0,K1142-(MAX(1,Q1142)-1)*IF(TRIM(N1142&amp;"")="111444",10,20))/IF(TRIM(N1142&amp;"")="111444",10,20),0))=1,
            300,
            IF(
                MIN(3,ROUNDUP(MAX(0,K1142-(MAX(1,Q1142)-1)*IF(TRIM(N1142&amp;"")="111444",10,20))/IF(TRIM(N1142&amp;"")="111444",10,20),0))=2,
                450,
                600
            )
        )
    ),
    ""
)</f>
        <v/>
      </c>
    </row>
    <row r="1143" spans="1:22" ht="48" customHeight="1" x14ac:dyDescent="0.25">
      <c r="A1143" s="17"/>
      <c r="B1143" s="17"/>
      <c r="C1143" s="18"/>
      <c r="D1143" s="17"/>
      <c r="E1143" s="19"/>
      <c r="F1143" s="20"/>
      <c r="G1143" s="37"/>
      <c r="H1143" s="17"/>
      <c r="I1143" s="20"/>
      <c r="J1143" s="17"/>
      <c r="K1143" s="17"/>
      <c r="L1143" s="22"/>
      <c r="M1143" s="22"/>
      <c r="N1143" s="22"/>
      <c r="O1143" s="22"/>
      <c r="P1143" s="22"/>
      <c r="Q1143" s="22"/>
      <c r="R1143" s="23"/>
      <c r="S1143" s="22"/>
      <c r="T1143" s="24"/>
      <c r="U1143" s="25"/>
    </row>
    <row r="1144" spans="1:22" ht="48" customHeight="1" x14ac:dyDescent="0.25">
      <c r="A1144" s="17" t="str">
        <f>VLOOKUP(C1144,[1]Werke!$A$1:$C$168,3,0)</f>
        <v>W2</v>
      </c>
      <c r="B1144" s="17" t="str">
        <f>VLOOKUP(C1144,[1]Werke!$A$1:$C$168,2,0)</f>
        <v>UPSOR</v>
      </c>
      <c r="C1144" s="18" t="s">
        <v>343</v>
      </c>
      <c r="D1144" s="17" t="str">
        <f>VLOOKUP(C1144,[1]Maliteslimalan!$A$1:$B$210,2,0)</f>
        <v>8000013657</v>
      </c>
      <c r="E1144" s="19">
        <f>VLOOKUP(C1144,[1]Bestellnr.!$A$1:$B$174,2,0)</f>
        <v>0</v>
      </c>
      <c r="F1144" s="20" t="str">
        <f>VLOOKUP(G1144,$U$1:$V$1730,2,0)</f>
        <v>N   104 562 01</v>
      </c>
      <c r="G1144" s="38">
        <v>100325100</v>
      </c>
      <c r="H1144" s="17">
        <f>VLOOKUP(G1144,Z$2:AA$1905,2,FALSE)</f>
        <v>7.3000000000000001E-3</v>
      </c>
      <c r="I1144" s="20"/>
      <c r="J1144" s="17">
        <f>VLOOKUP(G1144,W$2:X$1905,2,FALSE)</f>
        <v>1900</v>
      </c>
      <c r="K1144" s="17">
        <f>I1144/J1144</f>
        <v>0</v>
      </c>
      <c r="L1144" s="22">
        <v>16</v>
      </c>
      <c r="M1144" s="22">
        <v>48</v>
      </c>
      <c r="N1144" s="22" t="s">
        <v>342</v>
      </c>
      <c r="O1144" s="22">
        <f>VLOOKUP(N1144,$AL$1285:$AM$1310,2,FALSE)</f>
        <v>0</v>
      </c>
      <c r="P1144" s="22">
        <f>VLOOKUP(N1144,AC$2:AD$1905,2,FALSE)</f>
        <v>51</v>
      </c>
      <c r="Q1144" s="22"/>
      <c r="R1144" s="23" t="s">
        <v>153</v>
      </c>
      <c r="S1144" s="22">
        <f>VLOOKUP(R1144,AC$2:AD$1905,2,FALSE)</f>
        <v>0.56999999999999995</v>
      </c>
      <c r="T1144" s="24">
        <f>(H1144*I1144)+P1144*Q1144+S1144*K1144</f>
        <v>0</v>
      </c>
      <c r="U1144" s="25" t="str">
        <f>IF(TRIM(N1144&amp;"")="111444",
    IF(ROUNDUP(MAX(0,K1144-(MAX(1,Q1144)-1)*10)/10,0)=1,3,2),
    IF(TRIM(N1144&amp;"")="VWPAL",
        IF(TRIM(R1144&amp;"")="004147",1,2),
        ""
    )
)</f>
        <v/>
      </c>
      <c r="V1144" s="26" t="str">
        <f>IF(OR(TRIM(N1144&amp;"")="111444",TRIM(N1144&amp;"")="VWPAL"),
    IF(K1144&lt;=0,"",
        IF(
            MIN(3,ROUNDUP(MAX(0,K1144-(MAX(1,Q1144)-1)*IF(TRIM(N1144&amp;"")="111444",10,20))/IF(TRIM(N1144&amp;"")="111444",10,20),0))=1,
            300,
            IF(
                MIN(3,ROUNDUP(MAX(0,K1144-(MAX(1,Q1144)-1)*IF(TRIM(N1144&amp;"")="111444",10,20))/IF(TRIM(N1144&amp;"")="111444",10,20),0))=2,
                450,
                600
            )
        )
    ),
    ""
)</f>
        <v/>
      </c>
    </row>
    <row r="1145" spans="1:22" ht="48" customHeight="1" x14ac:dyDescent="0.25">
      <c r="A1145" s="17"/>
      <c r="B1145" s="17"/>
      <c r="C1145" s="18"/>
      <c r="D1145" s="17"/>
      <c r="E1145" s="19"/>
      <c r="F1145" s="20"/>
      <c r="G1145" s="38"/>
      <c r="H1145" s="17"/>
      <c r="I1145" s="20"/>
      <c r="J1145" s="17"/>
      <c r="K1145" s="17"/>
      <c r="L1145" s="22"/>
      <c r="M1145" s="22"/>
      <c r="N1145" s="22"/>
      <c r="O1145" s="22"/>
      <c r="P1145" s="22"/>
      <c r="Q1145" s="22"/>
      <c r="R1145" s="23"/>
      <c r="S1145" s="22"/>
      <c r="T1145" s="24"/>
      <c r="U1145" s="25"/>
    </row>
    <row r="1146" spans="1:22" ht="48.2" customHeight="1" x14ac:dyDescent="0.25">
      <c r="A1146" s="17" t="str">
        <f>VLOOKUP(C1146,[1]Werke!$A$1:$C$168,3,0)</f>
        <v>L01</v>
      </c>
      <c r="B1146" s="17" t="str">
        <f>VLOOKUP(C1146,[1]Werke!$A$1:$C$168,2,0)</f>
        <v>PT02</v>
      </c>
      <c r="C1146" s="18" t="s">
        <v>345</v>
      </c>
      <c r="D1146" s="17" t="str">
        <f>VLOOKUP(C1146,[1]Maliteslimalan!$A$1:$B$210,2,0)</f>
        <v>8000012646</v>
      </c>
      <c r="E1146" s="19">
        <f>VLOOKUP(C1146,[1]Bestellnr.!$A$1:$B$174,2,0)</f>
        <v>0</v>
      </c>
      <c r="F1146" s="20" t="str">
        <f>VLOOKUP(G1146,$U$1:$V$1730,2,0)</f>
        <v>N   105 695 01</v>
      </c>
      <c r="G1146" s="37">
        <v>923520000</v>
      </c>
      <c r="H1146" s="17">
        <f>VLOOKUP(G1146,Z$2:AA$1905,2,FALSE)</f>
        <v>4.2599999999999999E-3</v>
      </c>
      <c r="I1146" s="20"/>
      <c r="J1146" s="17">
        <f>VLOOKUP(G1146,W$2:X$1905,2,FALSE)</f>
        <v>3500</v>
      </c>
      <c r="K1146" s="17">
        <f>I1146/J1146</f>
        <v>0</v>
      </c>
      <c r="L1146" s="22">
        <v>20</v>
      </c>
      <c r="M1146" s="22">
        <v>20</v>
      </c>
      <c r="N1146" s="22" t="s">
        <v>155</v>
      </c>
      <c r="O1146" s="22" t="str">
        <f>VLOOKUP(N1146,$AL$1285:$AM$1310,2,FALSE)</f>
        <v>001210</v>
      </c>
      <c r="P1146" s="22">
        <f>VLOOKUP(N1146,AC$2:AD$1905,2,FALSE)</f>
        <v>55</v>
      </c>
      <c r="Q1146" s="22"/>
      <c r="R1146" s="23" t="s">
        <v>153</v>
      </c>
      <c r="S1146" s="22">
        <f>VLOOKUP(R1146,AC$2:AD$1905,2,FALSE)</f>
        <v>0.56999999999999995</v>
      </c>
      <c r="T1146" s="24">
        <f>(H1146*I1146)+P1146*Q1146+S1146*K1146</f>
        <v>0</v>
      </c>
      <c r="U1146" s="25">
        <f>IF(TRIM(N1146&amp;"")="111444",
    IF(ROUNDUP(MAX(0,K1146-(MAX(1,Q1146)-1)*10)/10,0)=1,3,2),
    IF(TRIM(N1146&amp;"")="VWPAL",
        IF(TRIM(R1146&amp;"")="004147",1,2),
        ""
    )
)</f>
        <v>2</v>
      </c>
      <c r="V1146" s="26" t="str">
        <f>IF(OR(TRIM(N1146&amp;"")="111444",TRIM(N1146&amp;"")="VWPAL"),
    IF(K1146&lt;=0,"",
        IF(
            MIN(3,ROUNDUP(MAX(0,K1146-(MAX(1,Q1146)-1)*IF(TRIM(N1146&amp;"")="111444",10,20))/IF(TRIM(N1146&amp;"")="111444",10,20),0))=1,
            300,
            IF(
                MIN(3,ROUNDUP(MAX(0,K1146-(MAX(1,Q1146)-1)*IF(TRIM(N1146&amp;"")="111444",10,20))/IF(TRIM(N1146&amp;"")="111444",10,20),0))=2,
                450,
                600
            )
        )
    ),
    ""
)</f>
        <v/>
      </c>
    </row>
    <row r="1147" spans="1:22" ht="48.2" customHeight="1" x14ac:dyDescent="0.25">
      <c r="A1147" s="17" t="str">
        <f>VLOOKUP(C1147,[1]Werke!$A$1:$C$168,3,0)</f>
        <v>B9</v>
      </c>
      <c r="B1147" s="17" t="str">
        <f>VLOOKUP(C1147,[1]Werke!$A$1:$C$168,2,0)</f>
        <v>BAU90</v>
      </c>
      <c r="C1147" s="18" t="s">
        <v>341</v>
      </c>
      <c r="D1147" s="17" t="str">
        <f>VLOOKUP(C1147,[1]Maliteslimalan!$A$1:$B$210,2,0)</f>
        <v>8000012552</v>
      </c>
      <c r="E1147" s="19">
        <f>VLOOKUP(C1147,[1]Bestellnr.!$A$1:$B$174,2,0)</f>
        <v>0</v>
      </c>
      <c r="F1147" s="20" t="str">
        <f>VLOOKUP(G1147,$U$1:$V$1730,2,0)</f>
        <v>N   105 695 01</v>
      </c>
      <c r="G1147" s="37">
        <v>923520000</v>
      </c>
      <c r="H1147" s="17">
        <f>VLOOKUP(G1147,Z$2:AA$1905,2,FALSE)</f>
        <v>4.2599999999999999E-3</v>
      </c>
      <c r="I1147" s="20"/>
      <c r="J1147" s="17">
        <f>VLOOKUP(G1147,W$2:X$1905,2,FALSE)</f>
        <v>3500</v>
      </c>
      <c r="K1147" s="17">
        <f>I1147/J1147</f>
        <v>0</v>
      </c>
      <c r="L1147" s="22">
        <v>16</v>
      </c>
      <c r="M1147" s="22">
        <v>48</v>
      </c>
      <c r="N1147" s="22" t="s">
        <v>342</v>
      </c>
      <c r="O1147" s="22">
        <f>VLOOKUP(N1147,$AL$1285:$AM$1310,2,FALSE)</f>
        <v>0</v>
      </c>
      <c r="P1147" s="22">
        <f>VLOOKUP(N1147,AC$2:AD$1905,2,FALSE)</f>
        <v>51</v>
      </c>
      <c r="Q1147" s="22"/>
      <c r="R1147" s="23" t="s">
        <v>153</v>
      </c>
      <c r="S1147" s="22">
        <f>VLOOKUP(R1147,AC$2:AD$1905,2,FALSE)</f>
        <v>0.56999999999999995</v>
      </c>
      <c r="T1147" s="24">
        <f>(H1147*I1147)+P1147*Q1147+S1147*K1147</f>
        <v>0</v>
      </c>
      <c r="U1147" s="25" t="str">
        <f>IF(TRIM(N1147&amp;"")="111444",
    IF(ROUNDUP(MAX(0,K1147-(MAX(1,Q1147)-1)*10)/10,0)=1,3,2),
    IF(TRIM(N1147&amp;"")="VWPAL",
        IF(TRIM(R1147&amp;"")="004147",1,2),
        ""
    )
)</f>
        <v/>
      </c>
      <c r="V1147" s="26" t="str">
        <f>IF(OR(TRIM(N1147&amp;"")="111444",TRIM(N1147&amp;"")="VWPAL"),
    IF(K1147&lt;=0,"",
        IF(
            MIN(3,ROUNDUP(MAX(0,K1147-(MAX(1,Q1147)-1)*IF(TRIM(N1147&amp;"")="111444",10,20))/IF(TRIM(N1147&amp;"")="111444",10,20),0))=1,
            300,
            IF(
                MIN(3,ROUNDUP(MAX(0,K1147-(MAX(1,Q1147)-1)*IF(TRIM(N1147&amp;"")="111444",10,20))/IF(TRIM(N1147&amp;"")="111444",10,20),0))=2,
                450,
                600
            )
        )
    ),
    ""
)</f>
        <v/>
      </c>
    </row>
    <row r="1148" spans="1:22" ht="48.2" customHeight="1" x14ac:dyDescent="0.25">
      <c r="A1148" s="17"/>
      <c r="B1148" s="17"/>
      <c r="C1148" s="18"/>
      <c r="D1148" s="17"/>
      <c r="E1148" s="19"/>
      <c r="F1148" s="20"/>
      <c r="G1148" s="37"/>
      <c r="H1148" s="17"/>
      <c r="I1148" s="20"/>
      <c r="J1148" s="17"/>
      <c r="K1148" s="17"/>
      <c r="L1148" s="22"/>
      <c r="M1148" s="22"/>
      <c r="N1148" s="22"/>
      <c r="O1148" s="22"/>
      <c r="P1148" s="22"/>
      <c r="Q1148" s="22"/>
      <c r="R1148" s="23"/>
      <c r="S1148" s="22"/>
      <c r="T1148" s="24"/>
      <c r="U1148" s="25"/>
    </row>
    <row r="1149" spans="1:22" ht="48.2" customHeight="1" x14ac:dyDescent="0.25">
      <c r="A1149" s="17" t="str">
        <f>VLOOKUP(C1149,[1]Werke!$A$1:$C$168,3,0)</f>
        <v>L01</v>
      </c>
      <c r="B1149" s="17" t="str">
        <f>VLOOKUP(C1149,[1]Werke!$A$1:$C$168,2,0)</f>
        <v>PT02</v>
      </c>
      <c r="C1149" s="18" t="s">
        <v>345</v>
      </c>
      <c r="D1149" s="17" t="str">
        <f>VLOOKUP(C1149,[1]Maliteslimalan!$A$1:$B$210,2,0)</f>
        <v>8000012646</v>
      </c>
      <c r="E1149" s="19">
        <f>VLOOKUP(C1149,[1]Bestellnr.!$A$1:$B$174,2,0)</f>
        <v>0</v>
      </c>
      <c r="F1149" s="20" t="str">
        <f>VLOOKUP(G1149,$U$1:$V$1730,2,0)</f>
        <v>N   106 421 01</v>
      </c>
      <c r="G1149" s="38">
        <v>100326400</v>
      </c>
      <c r="H1149" s="17">
        <f>VLOOKUP(G1149,Z$2:AA$1905,2,FALSE)</f>
        <v>1.779E-2</v>
      </c>
      <c r="I1149" s="20"/>
      <c r="J1149" s="17">
        <f>VLOOKUP(G1149,W$2:X$1905,2,FALSE)</f>
        <v>800</v>
      </c>
      <c r="K1149" s="17">
        <f>I1149/J1149</f>
        <v>0</v>
      </c>
      <c r="L1149" s="22">
        <v>20</v>
      </c>
      <c r="M1149" s="22">
        <v>60</v>
      </c>
      <c r="N1149" s="22" t="s">
        <v>155</v>
      </c>
      <c r="O1149" s="22" t="str">
        <f>VLOOKUP(N1149,$AL$1285:$AM$1310,2,FALSE)</f>
        <v>001210</v>
      </c>
      <c r="P1149" s="22">
        <f>VLOOKUP(N1149,AC$2:AD$1905,2,FALSE)</f>
        <v>55</v>
      </c>
      <c r="Q1149" s="22"/>
      <c r="R1149" s="23" t="s">
        <v>153</v>
      </c>
      <c r="S1149" s="22">
        <f>VLOOKUP(R1149,AC$2:AD$1905,2,FALSE)</f>
        <v>0.56999999999999995</v>
      </c>
      <c r="T1149" s="24">
        <f>(H1149*I1149)+P1149*Q1149+S1149*K1149</f>
        <v>0</v>
      </c>
      <c r="U1149" s="25">
        <f>IF(TRIM(N1149&amp;"")="111444",
    IF(ROUNDUP(MAX(0,K1149-(MAX(1,Q1149)-1)*10)/10,0)=1,3,2),
    IF(TRIM(N1149&amp;"")="VWPAL",
        IF(TRIM(R1149&amp;"")="004147",1,2),
        ""
    )
)</f>
        <v>2</v>
      </c>
      <c r="V1149" s="26" t="str">
        <f>IF(OR(TRIM(N1149&amp;"")="111444",TRIM(N1149&amp;"")="VWPAL"),
    IF(K1149&lt;=0,"",
        IF(
            MIN(3,ROUNDUP(MAX(0,K1149-(MAX(1,Q1149)-1)*IF(TRIM(N1149&amp;"")="111444",10,20))/IF(TRIM(N1149&amp;"")="111444",10,20),0))=1,
            300,
            IF(
                MIN(3,ROUNDUP(MAX(0,K1149-(MAX(1,Q1149)-1)*IF(TRIM(N1149&amp;"")="111444",10,20))/IF(TRIM(N1149&amp;"")="111444",10,20),0))=2,
                450,
                600
            )
        )
    ),
    ""
)</f>
        <v/>
      </c>
    </row>
    <row r="1150" spans="1:22" ht="48.2" customHeight="1" x14ac:dyDescent="0.25">
      <c r="A1150" s="17" t="str">
        <f>VLOOKUP(C1150,[1]Werke!$A$1:$C$168,3,0)</f>
        <v>W2</v>
      </c>
      <c r="B1150" s="17" t="str">
        <f>VLOOKUP(C1150,[1]Werke!$A$1:$C$168,2,0)</f>
        <v>UPSOR</v>
      </c>
      <c r="C1150" s="18" t="s">
        <v>343</v>
      </c>
      <c r="D1150" s="17" t="str">
        <f>VLOOKUP(C1150,[1]Maliteslimalan!$A$1:$B$210,2,0)</f>
        <v>8000013657</v>
      </c>
      <c r="E1150" s="19">
        <f>VLOOKUP(C1150,[1]Bestellnr.!$A$1:$B$174,2,0)</f>
        <v>0</v>
      </c>
      <c r="F1150" s="20" t="str">
        <f>VLOOKUP(G1150,$U$1:$V$1730,2,0)</f>
        <v>N   106 421 01</v>
      </c>
      <c r="G1150" s="38">
        <v>100326400</v>
      </c>
      <c r="H1150" s="17">
        <f>VLOOKUP(G1150,Z$2:AA$1905,2,FALSE)</f>
        <v>1.779E-2</v>
      </c>
      <c r="I1150" s="20"/>
      <c r="J1150" s="17">
        <f>VLOOKUP(G1150,W$2:X$1905,2,FALSE)</f>
        <v>800</v>
      </c>
      <c r="K1150" s="17">
        <f>I1150/J1150</f>
        <v>0</v>
      </c>
      <c r="L1150" s="22">
        <v>16</v>
      </c>
      <c r="M1150" s="22">
        <v>48</v>
      </c>
      <c r="N1150" s="22" t="s">
        <v>342</v>
      </c>
      <c r="O1150" s="22">
        <f>VLOOKUP(N1150,$AL$1285:$AM$1310,2,FALSE)</f>
        <v>0</v>
      </c>
      <c r="P1150" s="22">
        <f>VLOOKUP(N1150,AC$2:AD$1905,2,FALSE)</f>
        <v>51</v>
      </c>
      <c r="Q1150" s="22"/>
      <c r="R1150" s="23" t="s">
        <v>153</v>
      </c>
      <c r="S1150" s="22">
        <f>VLOOKUP(R1150,AC$2:AD$1905,2,FALSE)</f>
        <v>0.56999999999999995</v>
      </c>
      <c r="T1150" s="24">
        <f>(H1150*I1150)+P1150*Q1150+S1150*K1150</f>
        <v>0</v>
      </c>
      <c r="U1150" s="25" t="str">
        <f>IF(TRIM(N1150&amp;"")="111444",
    IF(ROUNDUP(MAX(0,K1150-(MAX(1,Q1150)-1)*10)/10,0)=1,3,2),
    IF(TRIM(N1150&amp;"")="VWPAL",
        IF(TRIM(R1150&amp;"")="004147",1,2),
        ""
    )
)</f>
        <v/>
      </c>
      <c r="V1150" s="26" t="str">
        <f>IF(OR(TRIM(N1150&amp;"")="111444",TRIM(N1150&amp;"")="VWPAL"),
    IF(K1150&lt;=0,"",
        IF(
            MIN(3,ROUNDUP(MAX(0,K1150-(MAX(1,Q1150)-1)*IF(TRIM(N1150&amp;"")="111444",10,20))/IF(TRIM(N1150&amp;"")="111444",10,20),0))=1,
            300,
            IF(
                MIN(3,ROUNDUP(MAX(0,K1150-(MAX(1,Q1150)-1)*IF(TRIM(N1150&amp;"")="111444",10,20))/IF(TRIM(N1150&amp;"")="111444",10,20),0))=2,
                450,
                600
            )
        )
    ),
    ""
)</f>
        <v/>
      </c>
    </row>
    <row r="1151" spans="1:22" ht="48.2" customHeight="1" x14ac:dyDescent="0.25">
      <c r="A1151" s="17" t="str">
        <f>VLOOKUP(C1151,[1]Werke!$A$1:$C$168,3,0)</f>
        <v>B9</v>
      </c>
      <c r="B1151" s="17" t="str">
        <f>VLOOKUP(C1151,[1]Werke!$A$1:$C$168,2,0)</f>
        <v>BAU90</v>
      </c>
      <c r="C1151" s="18" t="s">
        <v>341</v>
      </c>
      <c r="D1151" s="17" t="str">
        <f>VLOOKUP(C1151,[1]Maliteslimalan!$A$1:$B$210,2,0)</f>
        <v>8000012552</v>
      </c>
      <c r="E1151" s="19">
        <f>VLOOKUP(C1151,[1]Bestellnr.!$A$1:$B$174,2,0)</f>
        <v>0</v>
      </c>
      <c r="F1151" s="20" t="str">
        <f>VLOOKUP(G1151,$U$1:$V$1730,2,0)</f>
        <v>N   106 421 01</v>
      </c>
      <c r="G1151" s="38">
        <v>100326400</v>
      </c>
      <c r="H1151" s="17">
        <f>VLOOKUP(G1151,Z$2:AA$1905,2,FALSE)</f>
        <v>1.779E-2</v>
      </c>
      <c r="I1151" s="20"/>
      <c r="J1151" s="17">
        <f>VLOOKUP(G1151,W$2:X$1905,2,FALSE)</f>
        <v>800</v>
      </c>
      <c r="K1151" s="17">
        <f>I1151/J1151</f>
        <v>0</v>
      </c>
      <c r="L1151" s="22">
        <v>16</v>
      </c>
      <c r="M1151" s="22">
        <v>48</v>
      </c>
      <c r="N1151" s="22" t="s">
        <v>342</v>
      </c>
      <c r="O1151" s="22">
        <f>VLOOKUP(N1151,$AL$1285:$AM$1310,2,FALSE)</f>
        <v>0</v>
      </c>
      <c r="P1151" s="22">
        <f>VLOOKUP(N1151,AC$2:AD$1905,2,FALSE)</f>
        <v>51</v>
      </c>
      <c r="Q1151" s="22"/>
      <c r="R1151" s="23" t="s">
        <v>153</v>
      </c>
      <c r="S1151" s="22">
        <f>VLOOKUP(R1151,AC$2:AD$1905,2,FALSE)</f>
        <v>0.56999999999999995</v>
      </c>
      <c r="T1151" s="24">
        <f>(H1151*I1151)+P1151*Q1151+S1151*K1151</f>
        <v>0</v>
      </c>
      <c r="U1151" s="25" t="str">
        <f>IF(TRIM(N1151&amp;"")="111444",
    IF(ROUNDUP(MAX(0,K1151-(MAX(1,Q1151)-1)*10)/10,0)=1,3,2),
    IF(TRIM(N1151&amp;"")="VWPAL",
        IF(TRIM(R1151&amp;"")="004147",1,2),
        ""
    )
)</f>
        <v/>
      </c>
      <c r="V1151" s="26" t="str">
        <f>IF(OR(TRIM(N1151&amp;"")="111444",TRIM(N1151&amp;"")="VWPAL"),
    IF(K1151&lt;=0,"",
        IF(
            MIN(3,ROUNDUP(MAX(0,K1151-(MAX(1,Q1151)-1)*IF(TRIM(N1151&amp;"")="111444",10,20))/IF(TRIM(N1151&amp;"")="111444",10,20),0))=1,
            300,
            IF(
                MIN(3,ROUNDUP(MAX(0,K1151-(MAX(1,Q1151)-1)*IF(TRIM(N1151&amp;"")="111444",10,20))/IF(TRIM(N1151&amp;"")="111444",10,20),0))=2,
                450,
                600
            )
        )
    ),
    ""
)</f>
        <v/>
      </c>
    </row>
    <row r="1152" spans="1:22" ht="48.2" customHeight="1" x14ac:dyDescent="0.25">
      <c r="A1152" s="17"/>
      <c r="B1152" s="17"/>
      <c r="C1152" s="18"/>
      <c r="D1152" s="17"/>
      <c r="E1152" s="19"/>
      <c r="F1152" s="20"/>
      <c r="G1152" s="38"/>
      <c r="H1152" s="17"/>
      <c r="I1152" s="20"/>
      <c r="J1152" s="17"/>
      <c r="K1152" s="17"/>
      <c r="L1152" s="22"/>
      <c r="M1152" s="22"/>
      <c r="N1152" s="22"/>
      <c r="O1152" s="22"/>
      <c r="P1152" s="22"/>
      <c r="Q1152" s="22"/>
      <c r="R1152" s="23"/>
      <c r="S1152" s="22"/>
      <c r="T1152" s="24"/>
      <c r="U1152" s="25"/>
    </row>
    <row r="1153" spans="1:22" ht="48" customHeight="1" x14ac:dyDescent="0.25">
      <c r="A1153" s="17" t="str">
        <f>VLOOKUP(C1153,[1]Werke!$A$1:$C$168,3,0)</f>
        <v>W2</v>
      </c>
      <c r="B1153" s="17" t="str">
        <f>VLOOKUP(C1153,[1]Werke!$A$1:$C$168,2,0)</f>
        <v>UPSOR</v>
      </c>
      <c r="C1153" s="18" t="s">
        <v>343</v>
      </c>
      <c r="D1153" s="17" t="str">
        <f>VLOOKUP(C1153,[1]Maliteslimalan!$A$1:$B$210,2,0)</f>
        <v>8000013657</v>
      </c>
      <c r="E1153" s="19">
        <f>VLOOKUP(C1153,[1]Bestellnr.!$A$1:$B$174,2,0)</f>
        <v>0</v>
      </c>
      <c r="F1153" s="20" t="str">
        <f>VLOOKUP(G1153,$U$1:$V$1730,2,0)</f>
        <v>N   106 610 02</v>
      </c>
      <c r="G1153" s="38">
        <v>100326600</v>
      </c>
      <c r="H1153" s="17">
        <f>VLOOKUP(G1153,Z$2:AA$1905,2,FALSE)</f>
        <v>7.1399999999999996E-3</v>
      </c>
      <c r="I1153" s="20"/>
      <c r="J1153" s="17">
        <f>VLOOKUP(G1153,W$2:X$1905,2,FALSE)</f>
        <v>1500</v>
      </c>
      <c r="K1153" s="17">
        <f>I1153/J1153</f>
        <v>0</v>
      </c>
      <c r="L1153" s="22">
        <v>16</v>
      </c>
      <c r="M1153" s="22">
        <v>48</v>
      </c>
      <c r="N1153" s="22" t="s">
        <v>342</v>
      </c>
      <c r="O1153" s="22">
        <f>VLOOKUP(N1153,$AL$1285:$AM$1310,2,FALSE)</f>
        <v>0</v>
      </c>
      <c r="P1153" s="22">
        <f>VLOOKUP(N1153,AC$2:AD$1905,2,FALSE)</f>
        <v>51</v>
      </c>
      <c r="Q1153" s="22"/>
      <c r="R1153" s="23" t="s">
        <v>153</v>
      </c>
      <c r="S1153" s="22">
        <f>VLOOKUP(R1153,AC$2:AD$1905,2,FALSE)</f>
        <v>0.56999999999999995</v>
      </c>
      <c r="T1153" s="24">
        <f>(H1153*I1153)+P1153*Q1153+S1153*K1153</f>
        <v>0</v>
      </c>
      <c r="U1153" s="25" t="str">
        <f>IF(TRIM(N1153&amp;"")="111444",
    IF(ROUNDUP(MAX(0,K1153-(MAX(1,Q1153)-1)*10)/10,0)=1,3,2),
    IF(TRIM(N1153&amp;"")="VWPAL",
        IF(TRIM(R1153&amp;"")="004147",1,2),
        ""
    )
)</f>
        <v/>
      </c>
      <c r="V1153" s="26" t="str">
        <f>IF(OR(TRIM(N1153&amp;"")="111444",TRIM(N1153&amp;"")="VWPAL"),
    IF(K1153&lt;=0,"",
        IF(
            MIN(3,ROUNDUP(MAX(0,K1153-(MAX(1,Q1153)-1)*IF(TRIM(N1153&amp;"")="111444",10,20))/IF(TRIM(N1153&amp;"")="111444",10,20),0))=1,
            300,
            IF(
                MIN(3,ROUNDUP(MAX(0,K1153-(MAX(1,Q1153)-1)*IF(TRIM(N1153&amp;"")="111444",10,20))/IF(TRIM(N1153&amp;"")="111444",10,20),0))=2,
                450,
                600
            )
        )
    ),
    ""
)</f>
        <v/>
      </c>
    </row>
    <row r="1154" spans="1:22" ht="48.2" customHeight="1" x14ac:dyDescent="0.25">
      <c r="A1154" s="17" t="str">
        <f>VLOOKUP(C1154,[1]Werke!$A$1:$C$168,3,0)</f>
        <v>L01</v>
      </c>
      <c r="B1154" s="17" t="str">
        <f>VLOOKUP(C1154,[1]Werke!$A$1:$C$168,2,0)</f>
        <v>KXG</v>
      </c>
      <c r="C1154" s="18" t="s">
        <v>346</v>
      </c>
      <c r="D1154" s="17" t="str">
        <f>VLOOKUP(C1154,[1]Maliteslimalan!$A$1:$B$210,2,0)</f>
        <v>8000012787</v>
      </c>
      <c r="E1154" s="19">
        <f>VLOOKUP(C1154,[1]Bestellnr.!$A$1:$B$174,2,0)</f>
        <v>0</v>
      </c>
      <c r="F1154" s="20" t="str">
        <f>VLOOKUP(G1154,$U$1:$V$1730,2,0)</f>
        <v>N   106 610 02</v>
      </c>
      <c r="G1154" s="38">
        <v>100326600</v>
      </c>
      <c r="H1154" s="17">
        <f>VLOOKUP(G1154,Z$2:AA$1905,2,FALSE)</f>
        <v>7.1399999999999996E-3</v>
      </c>
      <c r="I1154" s="20"/>
      <c r="J1154" s="17">
        <f>VLOOKUP(G1154,W$2:X$1905,2,FALSE)</f>
        <v>1500</v>
      </c>
      <c r="K1154" s="17">
        <f>I1154/J1154</f>
        <v>0</v>
      </c>
      <c r="L1154" s="22">
        <v>20</v>
      </c>
      <c r="M1154" s="22">
        <v>60</v>
      </c>
      <c r="N1154" s="22" t="s">
        <v>155</v>
      </c>
      <c r="O1154" s="22" t="str">
        <f>VLOOKUP(N1154,$AL$1285:$AM$1310,2,FALSE)</f>
        <v>001210</v>
      </c>
      <c r="P1154" s="22">
        <f>VLOOKUP(N1154,AC$2:AD$1905,2,FALSE)</f>
        <v>55</v>
      </c>
      <c r="Q1154" s="22"/>
      <c r="R1154" s="23" t="s">
        <v>153</v>
      </c>
      <c r="S1154" s="22">
        <f>VLOOKUP(R1154,AC$2:AD$1905,2,FALSE)</f>
        <v>0.56999999999999995</v>
      </c>
      <c r="T1154" s="24">
        <f>(H1154*I1154)+P1154*Q1154+S1154*K1154</f>
        <v>0</v>
      </c>
      <c r="U1154" s="25">
        <f>IF(TRIM(N1154&amp;"")="111444",
    IF(ROUNDUP(MAX(0,K1154-(MAX(1,Q1154)-1)*10)/10,0)=1,3,2),
    IF(TRIM(N1154&amp;"")="VWPAL",
        IF(TRIM(R1154&amp;"")="004147",1,2),
        ""
    )
)</f>
        <v>2</v>
      </c>
      <c r="V1154" s="26" t="str">
        <f>IF(OR(TRIM(N1154&amp;"")="111444",TRIM(N1154&amp;"")="VWPAL"),
    IF(K1154&lt;=0,"",
        IF(
            MIN(3,ROUNDUP(MAX(0,K1154-(MAX(1,Q1154)-1)*IF(TRIM(N1154&amp;"")="111444",10,20))/IF(TRIM(N1154&amp;"")="111444",10,20),0))=1,
            300,
            IF(
                MIN(3,ROUNDUP(MAX(0,K1154-(MAX(1,Q1154)-1)*IF(TRIM(N1154&amp;"")="111444",10,20))/IF(TRIM(N1154&amp;"")="111444",10,20),0))=2,
                450,
                600
            )
        )
    ),
    ""
)</f>
        <v/>
      </c>
    </row>
    <row r="1155" spans="1:22" ht="48.2" customHeight="1" x14ac:dyDescent="0.25">
      <c r="A1155" s="17"/>
      <c r="B1155" s="17"/>
      <c r="C1155" s="18"/>
      <c r="D1155" s="17"/>
      <c r="E1155" s="19"/>
      <c r="F1155" s="20"/>
      <c r="G1155" s="38"/>
      <c r="H1155" s="17"/>
      <c r="I1155" s="20"/>
      <c r="J1155" s="17"/>
      <c r="K1155" s="17"/>
      <c r="L1155" s="22"/>
      <c r="M1155" s="22"/>
      <c r="N1155" s="22"/>
      <c r="O1155" s="22"/>
      <c r="P1155" s="22"/>
      <c r="Q1155" s="22"/>
      <c r="R1155" s="23"/>
      <c r="S1155" s="22"/>
      <c r="T1155" s="24"/>
      <c r="U1155" s="25"/>
    </row>
    <row r="1156" spans="1:22" ht="48.2" customHeight="1" x14ac:dyDescent="0.25">
      <c r="A1156" s="17" t="str">
        <f>VLOOKUP(C1156,[1]Werke!$A$1:$C$168,3,0)</f>
        <v>L01</v>
      </c>
      <c r="B1156" s="17" t="str">
        <f>VLOOKUP(C1156,[1]Werke!$A$1:$C$168,2,0)</f>
        <v>PT02</v>
      </c>
      <c r="C1156" s="18" t="s">
        <v>345</v>
      </c>
      <c r="D1156" s="17" t="str">
        <f>VLOOKUP(C1156,[1]Maliteslimalan!$A$1:$B$210,2,0)</f>
        <v>8000012646</v>
      </c>
      <c r="E1156" s="19">
        <f>VLOOKUP(C1156,[1]Bestellnr.!$A$1:$B$174,2,0)</f>
        <v>0</v>
      </c>
      <c r="F1156" s="20" t="str">
        <f>VLOOKUP(G1156,$U$1:$V$1730,2,0)</f>
        <v>N   106 648 01</v>
      </c>
      <c r="G1156" s="38">
        <v>100326700</v>
      </c>
      <c r="H1156" s="17">
        <f>VLOOKUP(G1156,Z$2:AA$1905,2,FALSE)</f>
        <v>1.4670000000000001E-2</v>
      </c>
      <c r="I1156" s="20"/>
      <c r="J1156" s="17">
        <f>VLOOKUP(G1156,W$2:X$1905,2,FALSE)</f>
        <v>900</v>
      </c>
      <c r="K1156" s="17">
        <f>I1156/J1156</f>
        <v>0</v>
      </c>
      <c r="L1156" s="22">
        <v>20</v>
      </c>
      <c r="M1156" s="22">
        <v>60</v>
      </c>
      <c r="N1156" s="22" t="s">
        <v>155</v>
      </c>
      <c r="O1156" s="22" t="str">
        <f>VLOOKUP(N1156,$AL$1285:$AM$1310,2,FALSE)</f>
        <v>001210</v>
      </c>
      <c r="P1156" s="22">
        <f>VLOOKUP(N1156,AC$2:AD$1905,2,FALSE)</f>
        <v>55</v>
      </c>
      <c r="Q1156" s="22"/>
      <c r="R1156" s="23" t="s">
        <v>153</v>
      </c>
      <c r="S1156" s="22">
        <f>VLOOKUP(R1156,AC$2:AD$1905,2,FALSE)</f>
        <v>0.56999999999999995</v>
      </c>
      <c r="T1156" s="24">
        <f>(H1156*I1156)+P1156*Q1156+S1156*K1156</f>
        <v>0</v>
      </c>
      <c r="U1156" s="25">
        <f>IF(TRIM(N1156&amp;"")="111444",
    IF(ROUNDUP(MAX(0,K1156-(MAX(1,Q1156)-1)*10)/10,0)=1,3,2),
    IF(TRIM(N1156&amp;"")="VWPAL",
        IF(TRIM(R1156&amp;"")="004147",1,2),
        ""
    )
)</f>
        <v>2</v>
      </c>
      <c r="V1156" s="26" t="str">
        <f>IF(OR(TRIM(N1156&amp;"")="111444",TRIM(N1156&amp;"")="VWPAL"),
    IF(K1156&lt;=0,"",
        IF(
            MIN(3,ROUNDUP(MAX(0,K1156-(MAX(1,Q1156)-1)*IF(TRIM(N1156&amp;"")="111444",10,20))/IF(TRIM(N1156&amp;"")="111444",10,20),0))=1,
            300,
            IF(
                MIN(3,ROUNDUP(MAX(0,K1156-(MAX(1,Q1156)-1)*IF(TRIM(N1156&amp;"")="111444",10,20))/IF(TRIM(N1156&amp;"")="111444",10,20),0))=2,
                450,
                600
            )
        )
    ),
    ""
)</f>
        <v/>
      </c>
    </row>
    <row r="1157" spans="1:22" ht="48.2" customHeight="1" x14ac:dyDescent="0.25">
      <c r="A1157" s="17" t="str">
        <f>VLOOKUP(C1157,[1]Werke!$A$1:$C$168,3,0)</f>
        <v>W2</v>
      </c>
      <c r="B1157" s="17" t="str">
        <f>VLOOKUP(C1157,[1]Werke!$A$1:$C$168,2,0)</f>
        <v>UPSOR</v>
      </c>
      <c r="C1157" s="18" t="s">
        <v>343</v>
      </c>
      <c r="D1157" s="17" t="str">
        <f>VLOOKUP(C1157,[1]Maliteslimalan!$A$1:$B$210,2,0)</f>
        <v>8000013657</v>
      </c>
      <c r="E1157" s="19">
        <f>VLOOKUP(C1157,[1]Bestellnr.!$A$1:$B$174,2,0)</f>
        <v>0</v>
      </c>
      <c r="F1157" s="20" t="str">
        <f>VLOOKUP(G1157,$U$1:$V$1730,2,0)</f>
        <v>N   106 648 01</v>
      </c>
      <c r="G1157" s="38">
        <v>100326700</v>
      </c>
      <c r="H1157" s="17">
        <f>VLOOKUP(G1157,Z$2:AA$1905,2,FALSE)</f>
        <v>1.4670000000000001E-2</v>
      </c>
      <c r="I1157" s="20"/>
      <c r="J1157" s="17">
        <f>VLOOKUP(G1157,W$2:X$1905,2,FALSE)</f>
        <v>900</v>
      </c>
      <c r="K1157" s="17">
        <f>I1157/J1157</f>
        <v>0</v>
      </c>
      <c r="L1157" s="22">
        <v>16</v>
      </c>
      <c r="M1157" s="22">
        <v>48</v>
      </c>
      <c r="N1157" s="22" t="s">
        <v>342</v>
      </c>
      <c r="O1157" s="22">
        <f>VLOOKUP(N1157,$AL$1285:$AM$1310,2,FALSE)</f>
        <v>0</v>
      </c>
      <c r="P1157" s="22">
        <f>VLOOKUP(N1157,AC$2:AD$1905,2,FALSE)</f>
        <v>51</v>
      </c>
      <c r="Q1157" s="22"/>
      <c r="R1157" s="23" t="s">
        <v>153</v>
      </c>
      <c r="S1157" s="22">
        <f>VLOOKUP(R1157,AC$2:AD$1905,2,FALSE)</f>
        <v>0.56999999999999995</v>
      </c>
      <c r="T1157" s="24">
        <f>(H1157*I1157)+P1157*Q1157+S1157*K1157</f>
        <v>0</v>
      </c>
      <c r="U1157" s="25" t="str">
        <f>IF(TRIM(N1157&amp;"")="111444",
    IF(ROUNDUP(MAX(0,K1157-(MAX(1,Q1157)-1)*10)/10,0)=1,3,2),
    IF(TRIM(N1157&amp;"")="VWPAL",
        IF(TRIM(R1157&amp;"")="004147",1,2),
        ""
    )
)</f>
        <v/>
      </c>
      <c r="V1157" s="26" t="str">
        <f>IF(OR(TRIM(N1157&amp;"")="111444",TRIM(N1157&amp;"")="VWPAL"),
    IF(K1157&lt;=0,"",
        IF(
            MIN(3,ROUNDUP(MAX(0,K1157-(MAX(1,Q1157)-1)*IF(TRIM(N1157&amp;"")="111444",10,20))/IF(TRIM(N1157&amp;"")="111444",10,20),0))=1,
            300,
            IF(
                MIN(3,ROUNDUP(MAX(0,K1157-(MAX(1,Q1157)-1)*IF(TRIM(N1157&amp;"")="111444",10,20))/IF(TRIM(N1157&amp;"")="111444",10,20),0))=2,
                450,
                600
            )
        )
    ),
    ""
)</f>
        <v/>
      </c>
    </row>
    <row r="1158" spans="1:22" ht="48.2" customHeight="1" x14ac:dyDescent="0.25">
      <c r="A1158" s="17"/>
      <c r="B1158" s="17"/>
      <c r="C1158" s="18"/>
      <c r="D1158" s="17"/>
      <c r="E1158" s="19"/>
      <c r="F1158" s="20"/>
      <c r="G1158" s="38"/>
      <c r="H1158" s="17"/>
      <c r="I1158" s="20"/>
      <c r="J1158" s="17"/>
      <c r="K1158" s="17"/>
      <c r="L1158" s="22"/>
      <c r="M1158" s="22"/>
      <c r="N1158" s="22"/>
      <c r="O1158" s="22"/>
      <c r="P1158" s="22"/>
      <c r="Q1158" s="22"/>
      <c r="R1158" s="23"/>
      <c r="S1158" s="22"/>
      <c r="T1158" s="24"/>
      <c r="U1158" s="25"/>
    </row>
    <row r="1159" spans="1:22" ht="48.2" customHeight="1" x14ac:dyDescent="0.25">
      <c r="A1159" s="17" t="str">
        <f>VLOOKUP(C1159,[1]Werke!$A$1:$C$168,3,0)</f>
        <v>L01</v>
      </c>
      <c r="B1159" s="17" t="str">
        <f>VLOOKUP(C1159,[1]Werke!$A$1:$C$168,2,0)</f>
        <v>ACHG</v>
      </c>
      <c r="C1159" s="18" t="s">
        <v>344</v>
      </c>
      <c r="D1159" s="17">
        <f>VLOOKUP(C1159,[1]Maliteslimalan!$A$1:$B$210,2,0)</f>
        <v>8000012832</v>
      </c>
      <c r="E1159" s="19">
        <v>6</v>
      </c>
      <c r="F1159" s="20" t="str">
        <f>VLOOKUP(G1159,$U$1:$V$1730,2,0)</f>
        <v>N   106 902 01</v>
      </c>
      <c r="G1159" s="37">
        <v>924840000</v>
      </c>
      <c r="H1159" s="17">
        <f>VLOOKUP(G1159,Z$2:AA$1905,2,FALSE)</f>
        <v>3.1399999999999997E-2</v>
      </c>
      <c r="I1159" s="20"/>
      <c r="J1159" s="17">
        <f>VLOOKUP(G1159,W$2:X$1905,2,FALSE)</f>
        <v>350</v>
      </c>
      <c r="K1159" s="17">
        <f>I1159/J1159</f>
        <v>0</v>
      </c>
      <c r="L1159" s="22">
        <v>20</v>
      </c>
      <c r="M1159" s="22">
        <v>60</v>
      </c>
      <c r="N1159" s="22" t="s">
        <v>155</v>
      </c>
      <c r="O1159" s="22" t="str">
        <f>VLOOKUP(N1159,$AL$1285:$AM$1310,2,FALSE)</f>
        <v>001210</v>
      </c>
      <c r="P1159" s="22">
        <f>VLOOKUP(N1159,AC$2:AD$1905,2,FALSE)</f>
        <v>55</v>
      </c>
      <c r="Q1159" s="22"/>
      <c r="R1159" s="23" t="s">
        <v>153</v>
      </c>
      <c r="S1159" s="22">
        <f>VLOOKUP(R1159,AC$2:AD$1905,2,FALSE)</f>
        <v>0.56999999999999995</v>
      </c>
      <c r="T1159" s="24">
        <f>(H1159*I1159)+P1159*Q1159+S1159*K1159</f>
        <v>0</v>
      </c>
      <c r="U1159" s="25">
        <f>IF(TRIM(N1159&amp;"")="111444",
    IF(ROUNDUP(MAX(0,K1159-(MAX(1,Q1159)-1)*10)/10,0)=1,3,2),
    IF(TRIM(N1159&amp;"")="VWPAL",
        IF(TRIM(R1159&amp;"")="004147",1,2),
        ""
    )
)</f>
        <v>2</v>
      </c>
      <c r="V1159" s="26" t="str">
        <f>IF(OR(TRIM(N1159&amp;"")="111444",TRIM(N1159&amp;"")="VWPAL"),
    IF(K1159&lt;=0,"",
        IF(
            MIN(3,ROUNDUP(MAX(0,K1159-(MAX(1,Q1159)-1)*IF(TRIM(N1159&amp;"")="111444",10,20))/IF(TRIM(N1159&amp;"")="111444",10,20),0))=1,
            300,
            IF(
                MIN(3,ROUNDUP(MAX(0,K1159-(MAX(1,Q1159)-1)*IF(TRIM(N1159&amp;"")="111444",10,20))/IF(TRIM(N1159&amp;"")="111444",10,20),0))=2,
                450,
                600
            )
        )
    ),
    ""
)</f>
        <v/>
      </c>
    </row>
    <row r="1160" spans="1:22" ht="48.2" customHeight="1" x14ac:dyDescent="0.25">
      <c r="A1160" s="17"/>
      <c r="B1160" s="17"/>
      <c r="C1160" s="18"/>
      <c r="D1160" s="17"/>
      <c r="E1160" s="19"/>
      <c r="F1160" s="20"/>
      <c r="G1160" s="37"/>
      <c r="H1160" s="17"/>
      <c r="I1160" s="20"/>
      <c r="J1160" s="17"/>
      <c r="K1160" s="17"/>
      <c r="L1160" s="22"/>
      <c r="M1160" s="22"/>
      <c r="N1160" s="22"/>
      <c r="O1160" s="22"/>
      <c r="P1160" s="22"/>
      <c r="Q1160" s="22"/>
      <c r="R1160" s="23"/>
      <c r="S1160" s="22"/>
      <c r="T1160" s="24"/>
      <c r="U1160" s="25"/>
    </row>
    <row r="1161" spans="1:22" ht="48" customHeight="1" x14ac:dyDescent="0.25">
      <c r="A1161" s="17"/>
      <c r="B1161" s="17"/>
      <c r="C1161" s="18"/>
      <c r="D1161" s="17"/>
      <c r="E1161" s="19"/>
      <c r="F1161" s="20"/>
      <c r="G1161" s="37"/>
      <c r="H1161" s="17"/>
      <c r="I1161" s="20"/>
      <c r="J1161" s="17"/>
      <c r="K1161" s="17"/>
      <c r="L1161" s="22"/>
      <c r="M1161" s="22"/>
      <c r="N1161" s="22"/>
      <c r="O1161" s="22"/>
      <c r="P1161" s="22"/>
      <c r="Q1161" s="22"/>
      <c r="R1161" s="23"/>
      <c r="S1161" s="22"/>
      <c r="T1161" s="24"/>
      <c r="U1161" s="25"/>
    </row>
    <row r="1162" spans="1:22" ht="48" customHeight="1" x14ac:dyDescent="0.25">
      <c r="A1162" s="17" t="str">
        <f>VLOOKUP(C1162,[1]Werke!$A$1:$C$168,3,0)</f>
        <v>B9</v>
      </c>
      <c r="B1162" s="17" t="str">
        <f>VLOOKUP(C1162,[1]Werke!$A$1:$C$168,2,0)</f>
        <v>BAU90</v>
      </c>
      <c r="C1162" s="18" t="s">
        <v>341</v>
      </c>
      <c r="D1162" s="17" t="str">
        <f>VLOOKUP(C1162,[1]Maliteslimalan!$A$1:$B$210,2,0)</f>
        <v>8000012552</v>
      </c>
      <c r="E1162" s="19">
        <f>VLOOKUP(C1162,[1]Bestellnr.!$A$1:$B$174,2,0)</f>
        <v>0</v>
      </c>
      <c r="F1162" s="20" t="str">
        <f>VLOOKUP(G1162,$U$1:$V$1730,2,0)</f>
        <v>N   107 170 01</v>
      </c>
      <c r="G1162" s="37">
        <v>926128000</v>
      </c>
      <c r="H1162" s="17">
        <f>VLOOKUP(G1162,Z$2:AA$1905,2,FALSE)</f>
        <v>1.41E-2</v>
      </c>
      <c r="I1162" s="20"/>
      <c r="J1162" s="17">
        <f>VLOOKUP(G1162,W$2:X$1905,2,FALSE)</f>
        <v>800</v>
      </c>
      <c r="K1162" s="17">
        <f>I1162/J1162</f>
        <v>0</v>
      </c>
      <c r="L1162" s="22">
        <v>16</v>
      </c>
      <c r="M1162" s="22">
        <v>48</v>
      </c>
      <c r="N1162" s="22" t="s">
        <v>342</v>
      </c>
      <c r="O1162" s="22">
        <f>VLOOKUP(N1162,$AL$1285:$AM$1310,2,FALSE)</f>
        <v>0</v>
      </c>
      <c r="P1162" s="22">
        <f>VLOOKUP(N1162,AC$2:AD$1905,2,FALSE)</f>
        <v>51</v>
      </c>
      <c r="Q1162" s="22"/>
      <c r="R1162" s="23" t="s">
        <v>153</v>
      </c>
      <c r="S1162" s="22">
        <f>VLOOKUP(R1162,AC$2:AD$1905,2,FALSE)</f>
        <v>0.56999999999999995</v>
      </c>
      <c r="T1162" s="24">
        <f>(H1162*I1162)+P1162*Q1162+S1162*K1162</f>
        <v>0</v>
      </c>
      <c r="U1162" s="25" t="str">
        <f>IF(TRIM(N1162&amp;"")="111444",
    IF(ROUNDUP(MAX(0,K1162-(MAX(1,Q1162)-1)*10)/10,0)=1,3,2),
    IF(TRIM(N1162&amp;"")="VWPAL",
        IF(TRIM(R1162&amp;"")="004147",1,2),
        ""
    )
)</f>
        <v/>
      </c>
      <c r="V1162" s="26" t="str">
        <f>IF(OR(TRIM(N1162&amp;"")="111444",TRIM(N1162&amp;"")="VWPAL"),
    IF(K1162&lt;=0,"",
        IF(
            MIN(3,ROUNDUP(MAX(0,K1162-(MAX(1,Q1162)-1)*IF(TRIM(N1162&amp;"")="111444",10,20))/IF(TRIM(N1162&amp;"")="111444",10,20),0))=1,
            300,
            IF(
                MIN(3,ROUNDUP(MAX(0,K1162-(MAX(1,Q1162)-1)*IF(TRIM(N1162&amp;"")="111444",10,20))/IF(TRIM(N1162&amp;"")="111444",10,20),0))=2,
                450,
                600
            )
        )
    ),
    ""
)</f>
        <v/>
      </c>
    </row>
    <row r="1163" spans="1:22" ht="48" customHeight="1" x14ac:dyDescent="0.25">
      <c r="A1163" s="17" t="str">
        <f>VLOOKUP(C1163,[1]Werke!$A$1:$C$168,3,0)</f>
        <v>W2</v>
      </c>
      <c r="B1163" s="17" t="str">
        <f>VLOOKUP(C1163,[1]Werke!$A$1:$C$168,2,0)</f>
        <v>UPSOR</v>
      </c>
      <c r="C1163" s="18" t="s">
        <v>343</v>
      </c>
      <c r="D1163" s="17" t="str">
        <f>VLOOKUP(C1163,[1]Maliteslimalan!$A$1:$B$210,2,0)</f>
        <v>8000013657</v>
      </c>
      <c r="E1163" s="19">
        <f>VLOOKUP(C1163,[1]Bestellnr.!$A$1:$B$174,2,0)</f>
        <v>0</v>
      </c>
      <c r="F1163" s="20" t="str">
        <f>VLOOKUP(G1163,$U$1:$V$1730,2,0)</f>
        <v>N   107 170 01</v>
      </c>
      <c r="G1163" s="37">
        <v>926128000</v>
      </c>
      <c r="H1163" s="17">
        <f>VLOOKUP(G1163,Z$2:AA$1905,2,FALSE)</f>
        <v>1.41E-2</v>
      </c>
      <c r="I1163" s="20"/>
      <c r="J1163" s="17">
        <f>VLOOKUP(G1163,W$2:X$1905,2,FALSE)</f>
        <v>800</v>
      </c>
      <c r="K1163" s="17">
        <f>I1163/J1163</f>
        <v>0</v>
      </c>
      <c r="L1163" s="22">
        <v>16</v>
      </c>
      <c r="M1163" s="22">
        <v>48</v>
      </c>
      <c r="N1163" s="22" t="s">
        <v>342</v>
      </c>
      <c r="O1163" s="22">
        <f>VLOOKUP(N1163,$AL$1285:$AM$1310,2,FALSE)</f>
        <v>0</v>
      </c>
      <c r="P1163" s="22">
        <f>VLOOKUP(N1163,AC$2:AD$1905,2,FALSE)</f>
        <v>51</v>
      </c>
      <c r="Q1163" s="22"/>
      <c r="R1163" s="23" t="s">
        <v>153</v>
      </c>
      <c r="S1163" s="22">
        <f>VLOOKUP(R1163,AC$2:AD$1905,2,FALSE)</f>
        <v>0.56999999999999995</v>
      </c>
      <c r="T1163" s="24">
        <f>(H1163*I1163)+P1163*Q1163+S1163*K1163</f>
        <v>0</v>
      </c>
      <c r="U1163" s="25" t="str">
        <f>IF(TRIM(N1163&amp;"")="111444",
    IF(ROUNDUP(MAX(0,K1163-(MAX(1,Q1163)-1)*10)/10,0)=1,3,2),
    IF(TRIM(N1163&amp;"")="VWPAL",
        IF(TRIM(R1163&amp;"")="004147",1,2),
        ""
    )
)</f>
        <v/>
      </c>
      <c r="V1163" s="26" t="str">
        <f>IF(OR(TRIM(N1163&amp;"")="111444",TRIM(N1163&amp;"")="VWPAL"),
    IF(K1163&lt;=0,"",
        IF(
            MIN(3,ROUNDUP(MAX(0,K1163-(MAX(1,Q1163)-1)*IF(TRIM(N1163&amp;"")="111444",10,20))/IF(TRIM(N1163&amp;"")="111444",10,20),0))=1,
            300,
            IF(
                MIN(3,ROUNDUP(MAX(0,K1163-(MAX(1,Q1163)-1)*IF(TRIM(N1163&amp;"")="111444",10,20))/IF(TRIM(N1163&amp;"")="111444",10,20),0))=2,
                450,
                600
            )
        )
    ),
    ""
)</f>
        <v/>
      </c>
    </row>
    <row r="1164" spans="1:22" ht="48" customHeight="1" x14ac:dyDescent="0.25">
      <c r="A1164" s="17"/>
      <c r="B1164" s="17"/>
      <c r="C1164" s="18"/>
      <c r="D1164" s="17"/>
      <c r="E1164" s="19"/>
      <c r="F1164" s="20"/>
      <c r="G1164" s="37"/>
      <c r="H1164" s="17"/>
      <c r="I1164" s="20"/>
      <c r="J1164" s="17"/>
      <c r="K1164" s="17"/>
      <c r="L1164" s="22"/>
      <c r="M1164" s="22"/>
      <c r="N1164" s="22"/>
      <c r="O1164" s="22"/>
      <c r="P1164" s="22"/>
      <c r="Q1164" s="22"/>
      <c r="R1164" s="23"/>
      <c r="S1164" s="22"/>
      <c r="T1164" s="24"/>
      <c r="U1164" s="25"/>
    </row>
    <row r="1165" spans="1:22" ht="48.2" customHeight="1" x14ac:dyDescent="0.25">
      <c r="A1165" s="17" t="str">
        <f>VLOOKUP(C1165,[1]Werke!$A$1:$C$168,3,0)</f>
        <v>L01</v>
      </c>
      <c r="B1165" s="17" t="str">
        <f>VLOOKUP(C1165,[1]Werke!$A$1:$C$168,2,0)</f>
        <v>PT02</v>
      </c>
      <c r="C1165" s="18" t="s">
        <v>345</v>
      </c>
      <c r="D1165" s="17" t="str">
        <f>VLOOKUP(C1165,[1]Maliteslimalan!$A$1:$B$210,2,0)</f>
        <v>8000012646</v>
      </c>
      <c r="E1165" s="19">
        <f>VLOOKUP(C1165,[1]Bestellnr.!$A$1:$B$174,2,0)</f>
        <v>0</v>
      </c>
      <c r="F1165" s="20" t="str">
        <f>VLOOKUP(G1165,$U$1:$V$1730,2,0)</f>
        <v>N   107 390 02</v>
      </c>
      <c r="G1165" s="38">
        <v>100326800</v>
      </c>
      <c r="H1165" s="17">
        <f>VLOOKUP(G1165,Z$2:AA$1905,2,FALSE)</f>
        <v>1.257E-2</v>
      </c>
      <c r="I1165" s="20"/>
      <c r="J1165" s="17">
        <f>VLOOKUP(G1165,W$2:X$1905,2,FALSE)</f>
        <v>900</v>
      </c>
      <c r="K1165" s="17">
        <f>I1165/J1165</f>
        <v>0</v>
      </c>
      <c r="L1165" s="22">
        <v>20</v>
      </c>
      <c r="M1165" s="22">
        <v>60</v>
      </c>
      <c r="N1165" s="22" t="s">
        <v>155</v>
      </c>
      <c r="O1165" s="22" t="str">
        <f>VLOOKUP(N1165,$AL$1285:$AM$1310,2,FALSE)</f>
        <v>001210</v>
      </c>
      <c r="P1165" s="22">
        <f>VLOOKUP(N1165,AC$2:AD$1905,2,FALSE)</f>
        <v>55</v>
      </c>
      <c r="Q1165" s="22"/>
      <c r="R1165" s="23" t="s">
        <v>153</v>
      </c>
      <c r="S1165" s="22">
        <f>VLOOKUP(R1165,AC$2:AD$1905,2,FALSE)</f>
        <v>0.56999999999999995</v>
      </c>
      <c r="T1165" s="24">
        <f>(H1165*I1165)+P1165*Q1165+S1165*K1165</f>
        <v>0</v>
      </c>
      <c r="U1165" s="25">
        <f>IF(TRIM(N1165&amp;"")="111444",
    IF(ROUNDUP(MAX(0,K1165-(MAX(1,Q1165)-1)*10)/10,0)=1,3,2),
    IF(TRIM(N1165&amp;"")="VWPAL",
        IF(TRIM(R1165&amp;"")="004147",1,2),
        ""
    )
)</f>
        <v>2</v>
      </c>
      <c r="V1165" s="26" t="str">
        <f>IF(OR(TRIM(N1165&amp;"")="111444",TRIM(N1165&amp;"")="VWPAL"),
    IF(K1165&lt;=0,"",
        IF(
            MIN(3,ROUNDUP(MAX(0,K1165-(MAX(1,Q1165)-1)*IF(TRIM(N1165&amp;"")="111444",10,20))/IF(TRIM(N1165&amp;"")="111444",10,20),0))=1,
            300,
            IF(
                MIN(3,ROUNDUP(MAX(0,K1165-(MAX(1,Q1165)-1)*IF(TRIM(N1165&amp;"")="111444",10,20))/IF(TRIM(N1165&amp;"")="111444",10,20),0))=2,
                450,
                600
            )
        )
    ),
    ""
)</f>
        <v/>
      </c>
    </row>
    <row r="1166" spans="1:22" ht="48" customHeight="1" x14ac:dyDescent="0.25">
      <c r="A1166" s="17" t="str">
        <f>VLOOKUP(C1166,[1]Werke!$A$1:$C$168,3,0)</f>
        <v>B9</v>
      </c>
      <c r="B1166" s="17" t="str">
        <f>VLOOKUP(C1166,[1]Werke!$A$1:$C$168,2,0)</f>
        <v>BAU90</v>
      </c>
      <c r="C1166" s="18" t="s">
        <v>341</v>
      </c>
      <c r="D1166" s="17" t="str">
        <f>VLOOKUP(C1166,[1]Maliteslimalan!$A$1:$B$210,2,0)</f>
        <v>8000012552</v>
      </c>
      <c r="E1166" s="19">
        <f>VLOOKUP(C1166,[1]Bestellnr.!$A$1:$B$174,2,0)</f>
        <v>0</v>
      </c>
      <c r="F1166" s="20" t="str">
        <f>VLOOKUP(G1166,$U$1:$V$1730,2,0)</f>
        <v>N   107 390 02</v>
      </c>
      <c r="G1166" s="38">
        <v>100326800</v>
      </c>
      <c r="H1166" s="17">
        <f>VLOOKUP(G1166,Z$2:AA$1905,2,FALSE)</f>
        <v>1.257E-2</v>
      </c>
      <c r="I1166" s="20"/>
      <c r="J1166" s="17">
        <f>VLOOKUP(G1166,W$2:X$1905,2,FALSE)</f>
        <v>900</v>
      </c>
      <c r="K1166" s="17">
        <f>I1166/J1166</f>
        <v>0</v>
      </c>
      <c r="L1166" s="22">
        <v>16</v>
      </c>
      <c r="M1166" s="22">
        <v>48</v>
      </c>
      <c r="N1166" s="22" t="s">
        <v>342</v>
      </c>
      <c r="O1166" s="22">
        <f>VLOOKUP(N1166,$AL$1285:$AM$1310,2,FALSE)</f>
        <v>0</v>
      </c>
      <c r="P1166" s="22">
        <f>VLOOKUP(N1166,AC$2:AD$1905,2,FALSE)</f>
        <v>51</v>
      </c>
      <c r="Q1166" s="22"/>
      <c r="R1166" s="23" t="s">
        <v>153</v>
      </c>
      <c r="S1166" s="22">
        <f>VLOOKUP(R1166,AC$2:AD$1905,2,FALSE)</f>
        <v>0.56999999999999995</v>
      </c>
      <c r="T1166" s="24">
        <f>(H1166*I1166)+P1166*Q1166+S1166*K1166</f>
        <v>0</v>
      </c>
      <c r="U1166" s="25" t="str">
        <f>IF(TRIM(N1166&amp;"")="111444",
    IF(ROUNDUP(MAX(0,K1166-(MAX(1,Q1166)-1)*10)/10,0)=1,3,2),
    IF(TRIM(N1166&amp;"")="VWPAL",
        IF(TRIM(R1166&amp;"")="004147",1,2),
        ""
    )
)</f>
        <v/>
      </c>
      <c r="V1166" s="26" t="str">
        <f>IF(OR(TRIM(N1166&amp;"")="111444",TRIM(N1166&amp;"")="VWPAL"),
    IF(K1166&lt;=0,"",
        IF(
            MIN(3,ROUNDUP(MAX(0,K1166-(MAX(1,Q1166)-1)*IF(TRIM(N1166&amp;"")="111444",10,20))/IF(TRIM(N1166&amp;"")="111444",10,20),0))=1,
            300,
            IF(
                MIN(3,ROUNDUP(MAX(0,K1166-(MAX(1,Q1166)-1)*IF(TRIM(N1166&amp;"")="111444",10,20))/IF(TRIM(N1166&amp;"")="111444",10,20),0))=2,
                450,
                600
            )
        )
    ),
    ""
)</f>
        <v/>
      </c>
    </row>
    <row r="1167" spans="1:22" ht="48" customHeight="1" x14ac:dyDescent="0.25">
      <c r="A1167" s="17"/>
      <c r="B1167" s="17"/>
      <c r="C1167" s="18"/>
      <c r="D1167" s="17"/>
      <c r="E1167" s="19"/>
      <c r="F1167" s="20"/>
      <c r="G1167" s="38"/>
      <c r="H1167" s="17"/>
      <c r="I1167" s="20"/>
      <c r="J1167" s="17"/>
      <c r="K1167" s="17"/>
      <c r="L1167" s="22"/>
      <c r="M1167" s="22"/>
      <c r="N1167" s="22"/>
      <c r="O1167" s="22"/>
      <c r="P1167" s="22"/>
      <c r="Q1167" s="22"/>
      <c r="R1167" s="23"/>
      <c r="S1167" s="22"/>
      <c r="T1167" s="24"/>
      <c r="U1167" s="25"/>
    </row>
    <row r="1168" spans="1:22" ht="48.2" customHeight="1" x14ac:dyDescent="0.25">
      <c r="A1168" s="17" t="str">
        <f>VLOOKUP(C1168,[1]Werke!$A$1:$C$168,3,0)</f>
        <v>L01</v>
      </c>
      <c r="B1168" s="17" t="str">
        <f>VLOOKUP(C1168,[1]Werke!$A$1:$C$168,2,0)</f>
        <v>PT02</v>
      </c>
      <c r="C1168" s="18" t="s">
        <v>345</v>
      </c>
      <c r="D1168" s="17" t="str">
        <f>VLOOKUP(C1168,[1]Maliteslimalan!$A$1:$B$210,2,0)</f>
        <v>8000012646</v>
      </c>
      <c r="E1168" s="19">
        <f>VLOOKUP(C1168,[1]Bestellnr.!$A$1:$B$174,2,0)</f>
        <v>0</v>
      </c>
      <c r="F1168" s="20" t="str">
        <f>VLOOKUP(G1168,$U$1:$V$1730,2,0)</f>
        <v>N   107 436 01</v>
      </c>
      <c r="G1168" s="38">
        <v>100326900</v>
      </c>
      <c r="H1168" s="17">
        <f>VLOOKUP(G1168,Z$2:AA$1905,2,FALSE)</f>
        <v>2.0650000000000002E-2</v>
      </c>
      <c r="I1168" s="20"/>
      <c r="J1168" s="17">
        <f>VLOOKUP(G1168,W$2:X$1905,2,FALSE)</f>
        <v>550</v>
      </c>
      <c r="K1168" s="17">
        <f>I1168/J1168</f>
        <v>0</v>
      </c>
      <c r="L1168" s="22">
        <v>20</v>
      </c>
      <c r="M1168" s="22">
        <v>60</v>
      </c>
      <c r="N1168" s="22" t="s">
        <v>155</v>
      </c>
      <c r="O1168" s="22" t="str">
        <f>VLOOKUP(N1168,$AL$1285:$AM$1310,2,FALSE)</f>
        <v>001210</v>
      </c>
      <c r="P1168" s="22">
        <f>VLOOKUP(N1168,AC$2:AD$1905,2,FALSE)</f>
        <v>55</v>
      </c>
      <c r="Q1168" s="22"/>
      <c r="R1168" s="23" t="s">
        <v>153</v>
      </c>
      <c r="S1168" s="22">
        <f>VLOOKUP(R1168,AC$2:AD$1905,2,FALSE)</f>
        <v>0.56999999999999995</v>
      </c>
      <c r="T1168" s="24">
        <f>(H1168*I1168)+P1168*Q1168+S1168*K1168</f>
        <v>0</v>
      </c>
      <c r="U1168" s="25">
        <f>IF(TRIM(N1168&amp;"")="111444",
    IF(ROUNDUP(MAX(0,K1168-(MAX(1,Q1168)-1)*10)/10,0)=1,3,2),
    IF(TRIM(N1168&amp;"")="VWPAL",
        IF(TRIM(R1168&amp;"")="004147",1,2),
        ""
    )
)</f>
        <v>2</v>
      </c>
      <c r="V1168" s="26" t="str">
        <f>IF(OR(TRIM(N1168&amp;"")="111444",TRIM(N1168&amp;"")="VWPAL"),
    IF(K1168&lt;=0,"",
        IF(
            MIN(3,ROUNDUP(MAX(0,K1168-(MAX(1,Q1168)-1)*IF(TRIM(N1168&amp;"")="111444",10,20))/IF(TRIM(N1168&amp;"")="111444",10,20),0))=1,
            300,
            IF(
                MIN(3,ROUNDUP(MAX(0,K1168-(MAX(1,Q1168)-1)*IF(TRIM(N1168&amp;"")="111444",10,20))/IF(TRIM(N1168&amp;"")="111444",10,20),0))=2,
                450,
                600
            )
        )
    ),
    ""
)</f>
        <v/>
      </c>
    </row>
    <row r="1169" spans="1:22" ht="48.2" customHeight="1" x14ac:dyDescent="0.25">
      <c r="A1169" s="17"/>
      <c r="B1169" s="17"/>
      <c r="C1169" s="18"/>
      <c r="D1169" s="17"/>
      <c r="E1169" s="19"/>
      <c r="F1169" s="20"/>
      <c r="G1169" s="38"/>
      <c r="H1169" s="17"/>
      <c r="I1169" s="20"/>
      <c r="J1169" s="17"/>
      <c r="K1169" s="17"/>
      <c r="L1169" s="22"/>
      <c r="M1169" s="22"/>
      <c r="N1169" s="22"/>
      <c r="O1169" s="22"/>
      <c r="P1169" s="22"/>
      <c r="Q1169" s="22"/>
      <c r="R1169" s="23"/>
      <c r="S1169" s="22"/>
      <c r="T1169" s="24"/>
      <c r="U1169" s="25"/>
    </row>
    <row r="1170" spans="1:22" ht="48.2" customHeight="1" x14ac:dyDescent="0.25">
      <c r="A1170" s="17" t="str">
        <f>VLOOKUP(C1170,[1]Werke!$A$1:$C$168,3,0)</f>
        <v>W2</v>
      </c>
      <c r="B1170" s="17" t="str">
        <f>VLOOKUP(C1170,[1]Werke!$A$1:$C$168,2,0)</f>
        <v>UPSOR</v>
      </c>
      <c r="C1170" s="18" t="s">
        <v>343</v>
      </c>
      <c r="D1170" s="17" t="str">
        <f>VLOOKUP(C1170,[1]Maliteslimalan!$A$1:$B$210,2,0)</f>
        <v>8000013657</v>
      </c>
      <c r="E1170" s="19">
        <f>VLOOKUP(C1170,[1]Bestellnr.!$A$1:$B$174,2,0)</f>
        <v>0</v>
      </c>
      <c r="F1170" s="20" t="str">
        <f>VLOOKUP(G1170,$U$1:$V$1730,2,0)</f>
        <v>N   107 511 01</v>
      </c>
      <c r="G1170" s="38">
        <v>100327000</v>
      </c>
      <c r="H1170" s="17">
        <f>VLOOKUP(G1170,Z$2:AA$1905,2,FALSE)</f>
        <v>7.1399999999999996E-3</v>
      </c>
      <c r="I1170" s="20"/>
      <c r="J1170" s="17">
        <f>VLOOKUP(G1170,W$2:X$1905,2,FALSE)</f>
        <v>2100</v>
      </c>
      <c r="K1170" s="17">
        <f>I1170/J1170</f>
        <v>0</v>
      </c>
      <c r="L1170" s="22">
        <v>16</v>
      </c>
      <c r="M1170" s="22">
        <v>48</v>
      </c>
      <c r="N1170" s="22" t="s">
        <v>342</v>
      </c>
      <c r="O1170" s="22">
        <f>VLOOKUP(N1170,$AL$1285:$AM$1310,2,FALSE)</f>
        <v>0</v>
      </c>
      <c r="P1170" s="22">
        <f>VLOOKUP(N1170,AC$2:AD$1905,2,FALSE)</f>
        <v>51</v>
      </c>
      <c r="Q1170" s="22"/>
      <c r="R1170" s="23" t="s">
        <v>153</v>
      </c>
      <c r="S1170" s="22">
        <f>VLOOKUP(R1170,AC$2:AD$1905,2,FALSE)</f>
        <v>0.56999999999999995</v>
      </c>
      <c r="T1170" s="24">
        <f>(H1170*I1170)+P1170*Q1170+S1170*K1170</f>
        <v>0</v>
      </c>
      <c r="U1170" s="25" t="str">
        <f>IF(TRIM(N1170&amp;"")="111444",
    IF(ROUNDUP(MAX(0,K1170-(MAX(1,Q1170)-1)*10)/10,0)=1,3,2),
    IF(TRIM(N1170&amp;"")="VWPAL",
        IF(TRIM(R1170&amp;"")="004147",1,2),
        ""
    )
)</f>
        <v/>
      </c>
      <c r="V1170" s="26" t="str">
        <f>IF(OR(TRIM(N1170&amp;"")="111444",TRIM(N1170&amp;"")="VWPAL"),
    IF(K1170&lt;=0,"",
        IF(
            MIN(3,ROUNDUP(MAX(0,K1170-(MAX(1,Q1170)-1)*IF(TRIM(N1170&amp;"")="111444",10,20))/IF(TRIM(N1170&amp;"")="111444",10,20),0))=1,
            300,
            IF(
                MIN(3,ROUNDUP(MAX(0,K1170-(MAX(1,Q1170)-1)*IF(TRIM(N1170&amp;"")="111444",10,20))/IF(TRIM(N1170&amp;"")="111444",10,20),0))=2,
                450,
                600
            )
        )
    ),
    ""
)</f>
        <v/>
      </c>
    </row>
    <row r="1171" spans="1:22" ht="48.2" customHeight="1" x14ac:dyDescent="0.25">
      <c r="A1171" s="17" t="str">
        <f>VLOOKUP(C1171,[1]Werke!$A$1:$C$168,3,0)</f>
        <v>L01</v>
      </c>
      <c r="B1171" s="17" t="str">
        <f>VLOOKUP(C1171,[1]Werke!$A$1:$C$168,2,0)</f>
        <v>PT02</v>
      </c>
      <c r="C1171" s="18" t="s">
        <v>345</v>
      </c>
      <c r="D1171" s="17" t="str">
        <f>VLOOKUP(C1171,[1]Maliteslimalan!$A$1:$B$210,2,0)</f>
        <v>8000012646</v>
      </c>
      <c r="E1171" s="19">
        <f>VLOOKUP(C1171,[1]Bestellnr.!$A$1:$B$174,2,0)</f>
        <v>0</v>
      </c>
      <c r="F1171" s="20" t="str">
        <f>VLOOKUP(G1171,$U$1:$V$1730,2,0)</f>
        <v>N   107 511 01</v>
      </c>
      <c r="G1171" s="38">
        <v>100327000</v>
      </c>
      <c r="H1171" s="17">
        <f>VLOOKUP(G1171,Z$2:AA$1905,2,FALSE)</f>
        <v>7.1399999999999996E-3</v>
      </c>
      <c r="I1171" s="20"/>
      <c r="J1171" s="17">
        <f>VLOOKUP(G1171,W$2:X$1905,2,FALSE)</f>
        <v>2100</v>
      </c>
      <c r="K1171" s="17">
        <f>I1171/J1171</f>
        <v>0</v>
      </c>
      <c r="L1171" s="22">
        <v>20</v>
      </c>
      <c r="M1171" s="22">
        <v>60</v>
      </c>
      <c r="N1171" s="22" t="s">
        <v>155</v>
      </c>
      <c r="O1171" s="22" t="str">
        <f>VLOOKUP(N1171,$AL$1285:$AM$1310,2,FALSE)</f>
        <v>001210</v>
      </c>
      <c r="P1171" s="22">
        <f>VLOOKUP(N1171,AC$2:AD$1905,2,FALSE)</f>
        <v>55</v>
      </c>
      <c r="Q1171" s="22"/>
      <c r="R1171" s="23" t="s">
        <v>153</v>
      </c>
      <c r="S1171" s="22">
        <f>VLOOKUP(R1171,AC$2:AD$1905,2,FALSE)</f>
        <v>0.56999999999999995</v>
      </c>
      <c r="T1171" s="24">
        <f>(H1171*I1171)+P1171*Q1171+S1171*K1171</f>
        <v>0</v>
      </c>
      <c r="U1171" s="25">
        <f>IF(TRIM(N1171&amp;"")="111444",
    IF(ROUNDUP(MAX(0,K1171-(MAX(1,Q1171)-1)*10)/10,0)=1,3,2),
    IF(TRIM(N1171&amp;"")="VWPAL",
        IF(TRIM(R1171&amp;"")="004147",1,2),
        ""
    )
)</f>
        <v>2</v>
      </c>
      <c r="V1171" s="26" t="str">
        <f>IF(OR(TRIM(N1171&amp;"")="111444",TRIM(N1171&amp;"")="VWPAL"),
    IF(K1171&lt;=0,"",
        IF(
            MIN(3,ROUNDUP(MAX(0,K1171-(MAX(1,Q1171)-1)*IF(TRIM(N1171&amp;"")="111444",10,20))/IF(TRIM(N1171&amp;"")="111444",10,20),0))=1,
            300,
            IF(
                MIN(3,ROUNDUP(MAX(0,K1171-(MAX(1,Q1171)-1)*IF(TRIM(N1171&amp;"")="111444",10,20))/IF(TRIM(N1171&amp;"")="111444",10,20),0))=2,
                450,
                600
            )
        )
    ),
    ""
)</f>
        <v/>
      </c>
    </row>
    <row r="1172" spans="1:22" ht="48" customHeight="1" x14ac:dyDescent="0.25">
      <c r="A1172" s="17" t="str">
        <f>VLOOKUP(C1172,[1]Werke!$A$1:$C$168,3,0)</f>
        <v>B9</v>
      </c>
      <c r="B1172" s="17" t="str">
        <f>VLOOKUP(C1172,[1]Werke!$A$1:$C$168,2,0)</f>
        <v>BAU90</v>
      </c>
      <c r="C1172" s="18" t="s">
        <v>341</v>
      </c>
      <c r="D1172" s="17" t="str">
        <f>VLOOKUP(C1172,[1]Maliteslimalan!$A$1:$B$210,2,0)</f>
        <v>8000012552</v>
      </c>
      <c r="E1172" s="19">
        <f>VLOOKUP(C1172,[1]Bestellnr.!$A$1:$B$174,2,0)</f>
        <v>0</v>
      </c>
      <c r="F1172" s="20" t="str">
        <f>VLOOKUP(G1172,$U$1:$V$1730,2,0)</f>
        <v>N   107 511 01</v>
      </c>
      <c r="G1172" s="38">
        <v>100327000</v>
      </c>
      <c r="H1172" s="17">
        <f>VLOOKUP(G1172,Z$2:AA$1905,2,FALSE)</f>
        <v>7.1399999999999996E-3</v>
      </c>
      <c r="I1172" s="20"/>
      <c r="J1172" s="17">
        <f>VLOOKUP(G1172,W$2:X$1905,2,FALSE)</f>
        <v>2100</v>
      </c>
      <c r="K1172" s="17">
        <f>I1172/J1172</f>
        <v>0</v>
      </c>
      <c r="L1172" s="22">
        <v>16</v>
      </c>
      <c r="M1172" s="22">
        <v>48</v>
      </c>
      <c r="N1172" s="22" t="s">
        <v>342</v>
      </c>
      <c r="O1172" s="22">
        <f>VLOOKUP(N1172,$AL$1285:$AM$1310,2,FALSE)</f>
        <v>0</v>
      </c>
      <c r="P1172" s="22">
        <f>VLOOKUP(N1172,AC$2:AD$1905,2,FALSE)</f>
        <v>51</v>
      </c>
      <c r="Q1172" s="22"/>
      <c r="R1172" s="23" t="s">
        <v>153</v>
      </c>
      <c r="S1172" s="22">
        <f>VLOOKUP(R1172,AC$2:AD$1905,2,FALSE)</f>
        <v>0.56999999999999995</v>
      </c>
      <c r="T1172" s="24">
        <f>(H1172*I1172)+P1172*Q1172+S1172*K1172</f>
        <v>0</v>
      </c>
      <c r="U1172" s="25" t="str">
        <f>IF(TRIM(N1172&amp;"")="111444",
    IF(ROUNDUP(MAX(0,K1172-(MAX(1,Q1172)-1)*10)/10,0)=1,3,2),
    IF(TRIM(N1172&amp;"")="VWPAL",
        IF(TRIM(R1172&amp;"")="004147",1,2),
        ""
    )
)</f>
        <v/>
      </c>
      <c r="V1172" s="26" t="str">
        <f>IF(OR(TRIM(N1172&amp;"")="111444",TRIM(N1172&amp;"")="VWPAL"),
    IF(K1172&lt;=0,"",
        IF(
            MIN(3,ROUNDUP(MAX(0,K1172-(MAX(1,Q1172)-1)*IF(TRIM(N1172&amp;"")="111444",10,20))/IF(TRIM(N1172&amp;"")="111444",10,20),0))=1,
            300,
            IF(
                MIN(3,ROUNDUP(MAX(0,K1172-(MAX(1,Q1172)-1)*IF(TRIM(N1172&amp;"")="111444",10,20))/IF(TRIM(N1172&amp;"")="111444",10,20),0))=2,
                450,
                600
            )
        )
    ),
    ""
)</f>
        <v/>
      </c>
    </row>
    <row r="1173" spans="1:22" ht="48" customHeight="1" x14ac:dyDescent="0.25">
      <c r="A1173" s="17"/>
      <c r="B1173" s="17"/>
      <c r="C1173" s="18"/>
      <c r="D1173" s="17"/>
      <c r="E1173" s="19"/>
      <c r="F1173" s="20"/>
      <c r="G1173" s="38"/>
      <c r="H1173" s="17"/>
      <c r="I1173" s="20"/>
      <c r="J1173" s="17"/>
      <c r="K1173" s="17"/>
      <c r="L1173" s="22"/>
      <c r="M1173" s="22"/>
      <c r="N1173" s="22"/>
      <c r="O1173" s="22"/>
      <c r="P1173" s="22"/>
      <c r="Q1173" s="22"/>
      <c r="R1173" s="23"/>
      <c r="S1173" s="22"/>
      <c r="T1173" s="24"/>
      <c r="U1173" s="25"/>
    </row>
    <row r="1174" spans="1:22" ht="48" customHeight="1" x14ac:dyDescent="0.25">
      <c r="A1174" s="17" t="str">
        <f>VLOOKUP(C1174,[1]Werke!$A$1:$C$168,3,0)</f>
        <v>L01</v>
      </c>
      <c r="B1174" s="17" t="str">
        <f>VLOOKUP(C1174,[1]Werke!$A$1:$C$168,2,0)</f>
        <v>ACHG</v>
      </c>
      <c r="C1174" s="18" t="s">
        <v>344</v>
      </c>
      <c r="D1174" s="17">
        <f>VLOOKUP(C1174,[1]Maliteslimalan!$A$1:$B$210,2,0)</f>
        <v>8000012832</v>
      </c>
      <c r="E1174" s="19">
        <v>6</v>
      </c>
      <c r="F1174" s="20" t="str">
        <f>VLOOKUP(G1174,$U$1:$V$1730,2,0)</f>
        <v>N   107 739 01</v>
      </c>
      <c r="G1174" s="37">
        <v>928032000</v>
      </c>
      <c r="H1174" s="17">
        <f>VLOOKUP(G1174,Z$2:AA$1905,2,FALSE)</f>
        <v>6.5519999999999995E-2</v>
      </c>
      <c r="I1174" s="20"/>
      <c r="J1174" s="17">
        <f>VLOOKUP(G1174,W$2:X$1905,2,FALSE)</f>
        <v>150</v>
      </c>
      <c r="K1174" s="17">
        <f>I1174/J1174</f>
        <v>0</v>
      </c>
      <c r="L1174" s="22">
        <v>20</v>
      </c>
      <c r="M1174" s="22">
        <v>60</v>
      </c>
      <c r="N1174" s="22" t="s">
        <v>155</v>
      </c>
      <c r="O1174" s="22" t="str">
        <f>VLOOKUP(N1174,$AL$1285:$AM$1310,2,FALSE)</f>
        <v>001210</v>
      </c>
      <c r="P1174" s="22">
        <f>VLOOKUP(N1174,AC$2:AD$1905,2,FALSE)</f>
        <v>55</v>
      </c>
      <c r="Q1174" s="22"/>
      <c r="R1174" s="23" t="s">
        <v>153</v>
      </c>
      <c r="S1174" s="22">
        <f>VLOOKUP(R1174,AC$2:AD$1905,2,FALSE)</f>
        <v>0.56999999999999995</v>
      </c>
      <c r="T1174" s="24">
        <f>(H1174*I1174)+P1174*Q1174+S1174*K1174</f>
        <v>0</v>
      </c>
      <c r="U1174" s="25">
        <f>IF(TRIM(N1174&amp;"")="111444",
    IF(ROUNDUP(MAX(0,K1174-(MAX(1,Q1174)-1)*10)/10,0)=1,3,2),
    IF(TRIM(N1174&amp;"")="VWPAL",
        IF(TRIM(R1174&amp;"")="004147",1,2),
        ""
    )
)</f>
        <v>2</v>
      </c>
      <c r="V1174" s="26" t="str">
        <f>IF(OR(TRIM(N1174&amp;"")="111444",TRIM(N1174&amp;"")="VWPAL"),
    IF(K1174&lt;=0,"",
        IF(
            MIN(3,ROUNDUP(MAX(0,K1174-(MAX(1,Q1174)-1)*IF(TRIM(N1174&amp;"")="111444",10,20))/IF(TRIM(N1174&amp;"")="111444",10,20),0))=1,
            300,
            IF(
                MIN(3,ROUNDUP(MAX(0,K1174-(MAX(1,Q1174)-1)*IF(TRIM(N1174&amp;"")="111444",10,20))/IF(TRIM(N1174&amp;"")="111444",10,20),0))=2,
                450,
                600
            )
        )
    ),
    ""
)</f>
        <v/>
      </c>
    </row>
    <row r="1175" spans="1:22" ht="48" customHeight="1" x14ac:dyDescent="0.25">
      <c r="A1175" s="17"/>
      <c r="B1175" s="17"/>
      <c r="C1175" s="18"/>
      <c r="D1175" s="17"/>
      <c r="E1175" s="19"/>
      <c r="F1175" s="20"/>
      <c r="G1175" s="37"/>
      <c r="H1175" s="17"/>
      <c r="I1175" s="20"/>
      <c r="J1175" s="17"/>
      <c r="K1175" s="17"/>
      <c r="L1175" s="22"/>
      <c r="M1175" s="22"/>
      <c r="N1175" s="22"/>
      <c r="O1175" s="22"/>
      <c r="P1175" s="22"/>
      <c r="Q1175" s="22"/>
      <c r="R1175" s="23"/>
      <c r="S1175" s="22"/>
      <c r="T1175" s="24"/>
      <c r="U1175" s="25"/>
    </row>
    <row r="1176" spans="1:22" ht="48.2" customHeight="1" x14ac:dyDescent="0.25">
      <c r="A1176" s="17" t="str">
        <f>VLOOKUP(C1176,[1]Werke!$A$1:$C$168,3,0)</f>
        <v>W2</v>
      </c>
      <c r="B1176" s="17" t="str">
        <f>VLOOKUP(C1176,[1]Werke!$A$1:$C$168,2,0)</f>
        <v>UPSOR</v>
      </c>
      <c r="C1176" s="18" t="s">
        <v>343</v>
      </c>
      <c r="D1176" s="17" t="str">
        <f>VLOOKUP(C1176,[1]Maliteslimalan!$A$1:$B$210,2,0)</f>
        <v>8000013657</v>
      </c>
      <c r="E1176" s="19">
        <f>VLOOKUP(C1176,[1]Bestellnr.!$A$1:$B$174,2,0)</f>
        <v>0</v>
      </c>
      <c r="F1176" s="20" t="str">
        <f>VLOOKUP(G1176,$U$1:$V$1730,2,0)</f>
        <v>N   108 103 01</v>
      </c>
      <c r="G1176" s="37">
        <v>932883000</v>
      </c>
      <c r="H1176" s="17">
        <f>VLOOKUP(G1176,Z$2:AA$1905,2,FALSE)</f>
        <v>3.3110000000000001E-2</v>
      </c>
      <c r="I1176" s="20"/>
      <c r="J1176" s="17">
        <f>VLOOKUP(G1176,W$2:X$1905,2,FALSE)</f>
        <v>300</v>
      </c>
      <c r="K1176" s="17">
        <f>I1176/J1176</f>
        <v>0</v>
      </c>
      <c r="L1176" s="22">
        <v>16</v>
      </c>
      <c r="M1176" s="22">
        <v>48</v>
      </c>
      <c r="N1176" s="22" t="s">
        <v>342</v>
      </c>
      <c r="O1176" s="22">
        <f>VLOOKUP(N1176,$AL$1285:$AM$1310,2,FALSE)</f>
        <v>0</v>
      </c>
      <c r="P1176" s="22">
        <f>VLOOKUP(N1176,AC$2:AD$1905,2,FALSE)</f>
        <v>51</v>
      </c>
      <c r="Q1176" s="22"/>
      <c r="R1176" s="23" t="s">
        <v>153</v>
      </c>
      <c r="S1176" s="22">
        <f>VLOOKUP(R1176,AC$2:AD$1905,2,FALSE)</f>
        <v>0.56999999999999995</v>
      </c>
      <c r="T1176" s="24">
        <f>(H1176*I1176)+P1176*Q1176+S1176*K1176</f>
        <v>0</v>
      </c>
      <c r="U1176" s="25" t="str">
        <f>IF(TRIM(N1176&amp;"")="111444",
    IF(ROUNDUP(MAX(0,K1176-(MAX(1,Q1176)-1)*10)/10,0)=1,3,2),
    IF(TRIM(N1176&amp;"")="VWPAL",
        IF(TRIM(R1176&amp;"")="004147",1,2),
        ""
    )
)</f>
        <v/>
      </c>
      <c r="V1176" s="26" t="str">
        <f>IF(OR(TRIM(N1176&amp;"")="111444",TRIM(N1176&amp;"")="VWPAL"),
    IF(K1176&lt;=0,"",
        IF(
            MIN(3,ROUNDUP(MAX(0,K1176-(MAX(1,Q1176)-1)*IF(TRIM(N1176&amp;"")="111444",10,20))/IF(TRIM(N1176&amp;"")="111444",10,20),0))=1,
            300,
            IF(
                MIN(3,ROUNDUP(MAX(0,K1176-(MAX(1,Q1176)-1)*IF(TRIM(N1176&amp;"")="111444",10,20))/IF(TRIM(N1176&amp;"")="111444",10,20),0))=2,
                450,
                600
            )
        )
    ),
    ""
)</f>
        <v/>
      </c>
    </row>
    <row r="1177" spans="1:22" ht="48.2" customHeight="1" x14ac:dyDescent="0.25">
      <c r="A1177" s="17" t="str">
        <f>VLOOKUP(C1177,[1]Werke!$A$1:$C$168,3,0)</f>
        <v>L01</v>
      </c>
      <c r="B1177" s="17" t="str">
        <f>VLOOKUP(C1177,[1]Werke!$A$1:$C$168,2,0)</f>
        <v>PT02</v>
      </c>
      <c r="C1177" s="18" t="s">
        <v>345</v>
      </c>
      <c r="D1177" s="17" t="str">
        <f>VLOOKUP(C1177,[1]Maliteslimalan!$A$1:$B$210,2,0)</f>
        <v>8000012646</v>
      </c>
      <c r="E1177" s="19">
        <f>VLOOKUP(C1177,[1]Bestellnr.!$A$1:$B$174,2,0)</f>
        <v>0</v>
      </c>
      <c r="F1177" s="20" t="str">
        <f>VLOOKUP(G1177,$U$1:$V$1730,2,0)</f>
        <v>N   108 103 01</v>
      </c>
      <c r="G1177" s="37">
        <v>932883000</v>
      </c>
      <c r="H1177" s="17">
        <f>VLOOKUP(G1177,Z$2:AA$1905,2,FALSE)</f>
        <v>3.3110000000000001E-2</v>
      </c>
      <c r="I1177" s="20"/>
      <c r="J1177" s="17">
        <f>VLOOKUP(G1177,W$2:X$1905,2,FALSE)</f>
        <v>300</v>
      </c>
      <c r="K1177" s="17">
        <f>I1177/J1177</f>
        <v>0</v>
      </c>
      <c r="L1177" s="22">
        <v>20</v>
      </c>
      <c r="M1177" s="22">
        <v>60</v>
      </c>
      <c r="N1177" s="22" t="s">
        <v>155</v>
      </c>
      <c r="O1177" s="22" t="str">
        <f>VLOOKUP(N1177,$AL$1285:$AM$1310,2,FALSE)</f>
        <v>001210</v>
      </c>
      <c r="P1177" s="22">
        <f>VLOOKUP(N1177,AC$2:AD$1905,2,FALSE)</f>
        <v>55</v>
      </c>
      <c r="Q1177" s="22"/>
      <c r="R1177" s="23" t="s">
        <v>153</v>
      </c>
      <c r="S1177" s="22">
        <f>VLOOKUP(R1177,AC$2:AD$1905,2,FALSE)</f>
        <v>0.56999999999999995</v>
      </c>
      <c r="T1177" s="24">
        <f>(H1177*I1177)+P1177*Q1177+S1177*K1177</f>
        <v>0</v>
      </c>
      <c r="U1177" s="25">
        <f>IF(TRIM(N1177&amp;"")="111444",
    IF(ROUNDUP(MAX(0,K1177-(MAX(1,Q1177)-1)*10)/10,0)=1,3,2),
    IF(TRIM(N1177&amp;"")="VWPAL",
        IF(TRIM(R1177&amp;"")="004147",1,2),
        ""
    )
)</f>
        <v>2</v>
      </c>
      <c r="V1177" s="26" t="str">
        <f>IF(OR(TRIM(N1177&amp;"")="111444",TRIM(N1177&amp;"")="VWPAL"),
    IF(K1177&lt;=0,"",
        IF(
            MIN(3,ROUNDUP(MAX(0,K1177-(MAX(1,Q1177)-1)*IF(TRIM(N1177&amp;"")="111444",10,20))/IF(TRIM(N1177&amp;"")="111444",10,20),0))=1,
            300,
            IF(
                MIN(3,ROUNDUP(MAX(0,K1177-(MAX(1,Q1177)-1)*IF(TRIM(N1177&amp;"")="111444",10,20))/IF(TRIM(N1177&amp;"")="111444",10,20),0))=2,
                450,
                600
            )
        )
    ),
    ""
)</f>
        <v/>
      </c>
    </row>
    <row r="1178" spans="1:22" ht="48.2" customHeight="1" x14ac:dyDescent="0.25">
      <c r="A1178" s="17"/>
      <c r="B1178" s="17"/>
      <c r="C1178" s="18"/>
      <c r="D1178" s="17"/>
      <c r="E1178" s="19"/>
      <c r="F1178" s="20"/>
      <c r="G1178" s="37"/>
      <c r="H1178" s="17"/>
      <c r="I1178" s="20"/>
      <c r="J1178" s="17"/>
      <c r="K1178" s="17"/>
      <c r="L1178" s="22"/>
      <c r="M1178" s="22"/>
      <c r="N1178" s="22"/>
      <c r="O1178" s="22"/>
      <c r="P1178" s="22"/>
      <c r="Q1178" s="22"/>
      <c r="R1178" s="23"/>
      <c r="S1178" s="22"/>
      <c r="T1178" s="24"/>
      <c r="U1178" s="25"/>
    </row>
    <row r="1179" spans="1:22" ht="48.2" customHeight="1" x14ac:dyDescent="0.25">
      <c r="A1179" s="17" t="str">
        <f>VLOOKUP(C1179,[1]Werke!$A$1:$C$168,3,0)</f>
        <v>W2</v>
      </c>
      <c r="B1179" s="17" t="str">
        <f>VLOOKUP(C1179,[1]Werke!$A$1:$C$168,2,0)</f>
        <v>UPSOR</v>
      </c>
      <c r="C1179" s="18" t="s">
        <v>343</v>
      </c>
      <c r="D1179" s="17" t="str">
        <f>VLOOKUP(C1179,[1]Maliteslimalan!$A$1:$B$210,2,0)</f>
        <v>8000013657</v>
      </c>
      <c r="E1179" s="19">
        <f>VLOOKUP(C1179,[1]Bestellnr.!$A$1:$B$174,2,0)</f>
        <v>0</v>
      </c>
      <c r="F1179" s="20" t="str">
        <f>VLOOKUP(G1179,$U$1:$V$1730,2,0)</f>
        <v>N   108 626 01</v>
      </c>
      <c r="G1179" s="27">
        <v>940724000</v>
      </c>
      <c r="H1179" s="17">
        <f>VLOOKUP(G1179,Z$2:AA$1905,2,FALSE)</f>
        <v>4.3400000000000001E-2</v>
      </c>
      <c r="I1179" s="20"/>
      <c r="J1179" s="17">
        <f>VLOOKUP(G1179,W$2:X$1905,2,FALSE)</f>
        <v>250</v>
      </c>
      <c r="K1179" s="17">
        <f>I1179/J1179</f>
        <v>0</v>
      </c>
      <c r="L1179" s="22">
        <v>16</v>
      </c>
      <c r="M1179" s="22">
        <v>48</v>
      </c>
      <c r="N1179" s="22" t="s">
        <v>342</v>
      </c>
      <c r="O1179" s="22">
        <f>VLOOKUP(N1179,$AL$1285:$AM$1310,2,FALSE)</f>
        <v>0</v>
      </c>
      <c r="P1179" s="22">
        <f>VLOOKUP(N1179,AC$2:AD$1905,2,FALSE)</f>
        <v>51</v>
      </c>
      <c r="Q1179" s="22"/>
      <c r="R1179" s="23" t="s">
        <v>153</v>
      </c>
      <c r="S1179" s="22">
        <f>VLOOKUP(R1179,AC$2:AD$1905,2,FALSE)</f>
        <v>0.56999999999999995</v>
      </c>
      <c r="T1179" s="24">
        <f>(H1179*I1179)+P1179*Q1179+S1179*K1179</f>
        <v>0</v>
      </c>
      <c r="U1179" s="25" t="str">
        <f>IF(TRIM(N1179&amp;"")="111444",
    IF(ROUNDUP(MAX(0,K1179-(MAX(1,Q1179)-1)*10)/10,0)=1,3,2),
    IF(TRIM(N1179&amp;"")="VWPAL",
        IF(TRIM(R1179&amp;"")="004147",1,2),
        ""
    )
)</f>
        <v/>
      </c>
      <c r="V1179" s="26" t="str">
        <f>IF(OR(TRIM(N1179&amp;"")="111444",TRIM(N1179&amp;"")="VWPAL"),
    IF(K1179&lt;=0,"",
        IF(
            MIN(3,ROUNDUP(MAX(0,K1179-(MAX(1,Q1179)-1)*IF(TRIM(N1179&amp;"")="111444",10,20))/IF(TRIM(N1179&amp;"")="111444",10,20),0))=1,
            300,
            IF(
                MIN(3,ROUNDUP(MAX(0,K1179-(MAX(1,Q1179)-1)*IF(TRIM(N1179&amp;"")="111444",10,20))/IF(TRIM(N1179&amp;"")="111444",10,20),0))=2,
                450,
                600
            )
        )
    ),
    ""
)</f>
        <v/>
      </c>
    </row>
    <row r="1180" spans="1:22" ht="48.2" customHeight="1" x14ac:dyDescent="0.25">
      <c r="A1180" s="17"/>
      <c r="B1180" s="17"/>
      <c r="C1180" s="18"/>
      <c r="D1180" s="17"/>
      <c r="E1180" s="19"/>
      <c r="F1180" s="20"/>
      <c r="G1180" s="27"/>
      <c r="H1180" s="17"/>
      <c r="I1180" s="20"/>
      <c r="J1180" s="17"/>
      <c r="K1180" s="17"/>
      <c r="L1180" s="22"/>
      <c r="M1180" s="22"/>
      <c r="N1180" s="22"/>
      <c r="O1180" s="22"/>
      <c r="P1180" s="22"/>
      <c r="Q1180" s="22"/>
      <c r="R1180" s="23"/>
      <c r="S1180" s="22"/>
      <c r="T1180" s="24"/>
      <c r="U1180" s="25"/>
    </row>
    <row r="1181" spans="1:22" ht="48.2" customHeight="1" x14ac:dyDescent="0.25">
      <c r="A1181" s="17" t="str">
        <f>VLOOKUP(C1181,[1]Werke!$A$1:$C$168,3,0)</f>
        <v>W2</v>
      </c>
      <c r="B1181" s="17" t="str">
        <f>VLOOKUP(C1181,[1]Werke!$A$1:$C$168,2,0)</f>
        <v>UPSOR</v>
      </c>
      <c r="C1181" s="18" t="s">
        <v>343</v>
      </c>
      <c r="D1181" s="17" t="str">
        <f>VLOOKUP(C1181,[1]Maliteslimalan!$A$1:$B$210,2,0)</f>
        <v>8000013657</v>
      </c>
      <c r="E1181" s="19">
        <f>VLOOKUP(C1181,[1]Bestellnr.!$A$1:$B$174,2,0)</f>
        <v>0</v>
      </c>
      <c r="F1181" s="20" t="str">
        <f>VLOOKUP(G1181,$U$1:$V$1730,2,0)</f>
        <v>N   109 006 01</v>
      </c>
      <c r="G1181" s="39">
        <v>100665600</v>
      </c>
      <c r="H1181" s="17">
        <f>VLOOKUP(G1181,Z$2:AA$1905,2,FALSE)</f>
        <v>8.0000000000000002E-3</v>
      </c>
      <c r="I1181" s="20"/>
      <c r="J1181" s="17" t="str">
        <f>VLOOKUP(G1181,W$2:X$1905,2,FALSE)</f>
        <v>1000</v>
      </c>
      <c r="K1181" s="17">
        <f>I1181/J1181</f>
        <v>0</v>
      </c>
      <c r="L1181" s="22">
        <v>16</v>
      </c>
      <c r="M1181" s="22">
        <v>48</v>
      </c>
      <c r="N1181" s="22" t="s">
        <v>342</v>
      </c>
      <c r="O1181" s="22">
        <f>VLOOKUP(N1181,$AL$1285:$AM$1310,2,FALSE)</f>
        <v>0</v>
      </c>
      <c r="P1181" s="22">
        <f>VLOOKUP(N1181,AC$2:AD$1905,2,FALSE)</f>
        <v>51</v>
      </c>
      <c r="Q1181" s="22"/>
      <c r="R1181" s="23" t="s">
        <v>153</v>
      </c>
      <c r="S1181" s="22">
        <f>VLOOKUP(R1181,AC$2:AD$1905,2,FALSE)</f>
        <v>0.56999999999999995</v>
      </c>
      <c r="T1181" s="24">
        <f>(H1181*I1181)+P1181*Q1181+S1181*K1181</f>
        <v>0</v>
      </c>
      <c r="U1181" s="25" t="str">
        <f>IF(TRIM(N1181&amp;"")="111444",
    IF(ROUNDUP(MAX(0,K1181-(MAX(1,Q1181)-1)*10)/10,0)=1,3,2),
    IF(TRIM(N1181&amp;"")="VWPAL",
        IF(TRIM(R1181&amp;"")="004147",1,2),
        ""
    )
)</f>
        <v/>
      </c>
      <c r="V1181" s="26" t="str">
        <f>IF(OR(TRIM(N1181&amp;"")="111444",TRIM(N1181&amp;"")="VWPAL"),
    IF(K1181&lt;=0,"",
        IF(
            MIN(3,ROUNDUP(MAX(0,K1181-(MAX(1,Q1181)-1)*IF(TRIM(N1181&amp;"")="111444",10,20))/IF(TRIM(N1181&amp;"")="111444",10,20),0))=1,
            300,
            IF(
                MIN(3,ROUNDUP(MAX(0,K1181-(MAX(1,Q1181)-1)*IF(TRIM(N1181&amp;"")="111444",10,20))/IF(TRIM(N1181&amp;"")="111444",10,20),0))=2,
                450,
                600
            )
        )
    ),
    ""
)</f>
        <v/>
      </c>
    </row>
    <row r="1182" spans="1:22" ht="48.2" customHeight="1" x14ac:dyDescent="0.25">
      <c r="A1182" s="17"/>
      <c r="B1182" s="17"/>
      <c r="C1182" s="18"/>
      <c r="D1182" s="17"/>
      <c r="E1182" s="19"/>
      <c r="F1182" s="20"/>
      <c r="G1182" s="39"/>
      <c r="H1182" s="17"/>
      <c r="I1182" s="20"/>
      <c r="J1182" s="17"/>
      <c r="K1182" s="17"/>
      <c r="L1182" s="22"/>
      <c r="M1182" s="22"/>
      <c r="N1182" s="22"/>
      <c r="O1182" s="22"/>
      <c r="P1182" s="22"/>
      <c r="Q1182" s="22"/>
      <c r="R1182" s="23"/>
      <c r="S1182" s="22"/>
      <c r="T1182" s="24"/>
      <c r="U1182" s="25"/>
    </row>
    <row r="1183" spans="1:22" ht="48.2" customHeight="1" x14ac:dyDescent="0.25">
      <c r="A1183" s="17" t="str">
        <f>VLOOKUP(C1183,[1]Werke!$A$1:$C$168,3,0)</f>
        <v>L01</v>
      </c>
      <c r="B1183" s="17" t="str">
        <f>VLOOKUP(C1183,[1]Werke!$A$1:$C$168,2,0)</f>
        <v>KXG</v>
      </c>
      <c r="C1183" s="18" t="s">
        <v>346</v>
      </c>
      <c r="D1183" s="17" t="str">
        <f>VLOOKUP(C1183,[1]Maliteslimalan!$A$1:$B$210,2,0)</f>
        <v>8000012787</v>
      </c>
      <c r="E1183" s="19">
        <f>VLOOKUP(C1183,[1]Bestellnr.!$A$1:$B$174,2,0)</f>
        <v>0</v>
      </c>
      <c r="F1183" s="20" t="str">
        <f>VLOOKUP(G1183,$U$1:$V$1730,2,0)</f>
        <v>N   907 667 02</v>
      </c>
      <c r="G1183" s="27">
        <v>110021500</v>
      </c>
      <c r="H1183" s="17">
        <f>VLOOKUP(G1183,Z$2:AA$1905,2,FALSE)</f>
        <v>6.13E-3</v>
      </c>
      <c r="I1183" s="20"/>
      <c r="J1183" s="17">
        <f>VLOOKUP(G1183,W$2:X$1905,2,FALSE)</f>
        <v>1750</v>
      </c>
      <c r="K1183" s="17">
        <f>I1183/J1183</f>
        <v>0</v>
      </c>
      <c r="L1183" s="22">
        <v>20</v>
      </c>
      <c r="M1183" s="22">
        <v>60</v>
      </c>
      <c r="N1183" s="22" t="s">
        <v>155</v>
      </c>
      <c r="O1183" s="22" t="str">
        <f>VLOOKUP(N1183,$AL$1285:$AM$1310,2,FALSE)</f>
        <v>001210</v>
      </c>
      <c r="P1183" s="22">
        <f>VLOOKUP(N1183,AC$2:AD$1905,2,FALSE)</f>
        <v>55</v>
      </c>
      <c r="Q1183" s="22"/>
      <c r="R1183" s="23" t="s">
        <v>153</v>
      </c>
      <c r="S1183" s="22">
        <f>VLOOKUP(R1183,AC$2:AD$1905,2,FALSE)</f>
        <v>0.56999999999999995</v>
      </c>
      <c r="T1183" s="24">
        <f>(H1183*I1183)+P1183*Q1183+S1183*K1183</f>
        <v>0</v>
      </c>
      <c r="U1183" s="25">
        <f>IF(TRIM(N1183&amp;"")="111444",
    IF(ROUNDUP(MAX(0,K1183-(MAX(1,Q1183)-1)*10)/10,0)=1,3,2),
    IF(TRIM(N1183&amp;"")="VWPAL",
        IF(TRIM(R1183&amp;"")="004147",1,2),
        ""
    )
)</f>
        <v>2</v>
      </c>
      <c r="V1183" s="26" t="str">
        <f>IF(OR(TRIM(N1183&amp;"")="111444",TRIM(N1183&amp;"")="VWPAL"),
    IF(K1183&lt;=0,"",
        IF(
            MIN(3,ROUNDUP(MAX(0,K1183-(MAX(1,Q1183)-1)*IF(TRIM(N1183&amp;"")="111444",10,20))/IF(TRIM(N1183&amp;"")="111444",10,20),0))=1,
            300,
            IF(
                MIN(3,ROUNDUP(MAX(0,K1183-(MAX(1,Q1183)-1)*IF(TRIM(N1183&amp;"")="111444",10,20))/IF(TRIM(N1183&amp;"")="111444",10,20),0))=2,
                450,
                600
            )
        )
    ),
    ""
)</f>
        <v/>
      </c>
    </row>
    <row r="1184" spans="1:22" ht="48.2" customHeight="1" x14ac:dyDescent="0.25">
      <c r="A1184" s="17"/>
      <c r="B1184" s="17"/>
      <c r="C1184" s="18"/>
      <c r="D1184" s="17"/>
      <c r="E1184" s="19"/>
      <c r="F1184" s="20"/>
      <c r="G1184" s="27"/>
      <c r="H1184" s="17"/>
      <c r="I1184" s="20"/>
      <c r="J1184" s="17"/>
      <c r="K1184" s="17"/>
      <c r="L1184" s="22"/>
      <c r="M1184" s="22"/>
      <c r="N1184" s="22"/>
      <c r="O1184" s="22"/>
      <c r="P1184" s="22"/>
      <c r="Q1184" s="22"/>
      <c r="R1184" s="23"/>
      <c r="S1184" s="22"/>
      <c r="T1184" s="24"/>
      <c r="U1184" s="25"/>
    </row>
    <row r="1185" spans="1:22" ht="50.25" customHeight="1" x14ac:dyDescent="0.25">
      <c r="A1185" s="17" t="str">
        <f>VLOOKUP(C1185,[1]Werke!$A$1:$C$168,3,0)</f>
        <v>L01</v>
      </c>
      <c r="B1185" s="17" t="str">
        <f>VLOOKUP(C1185,[1]Werke!$A$1:$C$168,2,0)</f>
        <v>PT02</v>
      </c>
      <c r="C1185" s="18" t="s">
        <v>345</v>
      </c>
      <c r="D1185" s="17" t="str">
        <f>VLOOKUP(C1185,[1]Maliteslimalan!$A$1:$B$210,2,0)</f>
        <v>8000012646</v>
      </c>
      <c r="E1185" s="19">
        <f>VLOOKUP(C1185,[1]Bestellnr.!$A$1:$B$174,2,0)</f>
        <v>0</v>
      </c>
      <c r="F1185" s="20" t="str">
        <f>VLOOKUP(G1185,$U$1:$V$1730,2,0)</f>
        <v>N   908 342 01</v>
      </c>
      <c r="G1185" s="37">
        <v>937292000</v>
      </c>
      <c r="H1185" s="17">
        <f>VLOOKUP(G1185,Z$2:AA$1905,2,FALSE)</f>
        <v>7.6420000000000002E-2</v>
      </c>
      <c r="I1185" s="20"/>
      <c r="J1185" s="17">
        <f>VLOOKUP(G1185,W$2:X$1905,2,FALSE)</f>
        <v>100</v>
      </c>
      <c r="K1185" s="17">
        <f>I1185/J1185</f>
        <v>0</v>
      </c>
      <c r="L1185" s="22">
        <v>20</v>
      </c>
      <c r="M1185" s="22">
        <v>60</v>
      </c>
      <c r="N1185" s="22" t="s">
        <v>155</v>
      </c>
      <c r="O1185" s="22" t="str">
        <f>VLOOKUP(N1185,$AL$1285:$AM$1310,2,FALSE)</f>
        <v>001210</v>
      </c>
      <c r="P1185" s="22">
        <f>VLOOKUP(N1185,AC$2:AD$1905,2,FALSE)</f>
        <v>55</v>
      </c>
      <c r="Q1185" s="22"/>
      <c r="R1185" s="23" t="s">
        <v>153</v>
      </c>
      <c r="S1185" s="22">
        <f>VLOOKUP(R1185,AC$2:AD$1905,2,FALSE)</f>
        <v>0.56999999999999995</v>
      </c>
      <c r="T1185" s="24">
        <f>(H1185*I1185)+P1185*Q1185+S1185*K1185</f>
        <v>0</v>
      </c>
      <c r="U1185" s="25">
        <f>IF(TRIM(N1185&amp;"")="111444",
    IF(ROUNDUP(MAX(0,K1185-(MAX(1,Q1185)-1)*10)/10,0)=1,3,2),
    IF(TRIM(N1185&amp;"")="VWPAL",
        IF(TRIM(R1185&amp;"")="004147",1,2),
        ""
    )
)</f>
        <v>2</v>
      </c>
      <c r="V1185" s="26" t="str">
        <f>IF(OR(TRIM(N1185&amp;"")="111444",TRIM(N1185&amp;"")="VWPAL"),
    IF(K1185&lt;=0,"",
        IF(
            MIN(3,ROUNDUP(MAX(0,K1185-(MAX(1,Q1185)-1)*IF(TRIM(N1185&amp;"")="111444",10,20))/IF(TRIM(N1185&amp;"")="111444",10,20),0))=1,
            300,
            IF(
                MIN(3,ROUNDUP(MAX(0,K1185-(MAX(1,Q1185)-1)*IF(TRIM(N1185&amp;"")="111444",10,20))/IF(TRIM(N1185&amp;"")="111444",10,20),0))=2,
                450,
                600
            )
        )
    ),
    ""
)</f>
        <v/>
      </c>
    </row>
    <row r="1186" spans="1:22" ht="50.25" customHeight="1" x14ac:dyDescent="0.25">
      <c r="A1186" s="17" t="e">
        <f>VLOOKUP(C1186,[1]Werke!$A$1:$C$168,3,0)</f>
        <v>#N/A</v>
      </c>
      <c r="B1186" s="17" t="e">
        <f>VLOOKUP(C1186,[1]Werke!$A$1:$C$168,2,0)</f>
        <v>#N/A</v>
      </c>
      <c r="C1186" s="18" t="s">
        <v>347</v>
      </c>
      <c r="D1186" s="17" t="str">
        <f>VLOOKUP(C1186,[1]Maliteslimalan!$A$1:$B$210,2,0)</f>
        <v>8000012655</v>
      </c>
      <c r="E1186" s="19">
        <f>VLOOKUP(C1186,[1]Bestellnr.!$A$1:$B$174,2,0)</f>
        <v>0</v>
      </c>
      <c r="F1186" s="20" t="str">
        <f>VLOOKUP(G1186,$U$1:$V$1730,2,0)</f>
        <v>N   908 342 01</v>
      </c>
      <c r="G1186" s="37">
        <v>937292000</v>
      </c>
      <c r="H1186" s="17">
        <f>VLOOKUP(G1186,Z$2:AA$1905,2,FALSE)</f>
        <v>7.6420000000000002E-2</v>
      </c>
      <c r="I1186" s="20"/>
      <c r="J1186" s="17">
        <f>VLOOKUP(G1186,W$2:X$1905,2,FALSE)</f>
        <v>100</v>
      </c>
      <c r="K1186" s="17">
        <f>I1186/J1186</f>
        <v>0</v>
      </c>
      <c r="L1186" s="22">
        <v>16</v>
      </c>
      <c r="M1186" s="22">
        <v>48</v>
      </c>
      <c r="N1186" s="22" t="s">
        <v>342</v>
      </c>
      <c r="O1186" s="22">
        <f>VLOOKUP(N1186,$AL$1285:$AM$1310,2,FALSE)</f>
        <v>0</v>
      </c>
      <c r="P1186" s="22">
        <f>VLOOKUP(N1186,AC$2:AD$1905,2,FALSE)</f>
        <v>51</v>
      </c>
      <c r="Q1186" s="22"/>
      <c r="R1186" s="23" t="s">
        <v>153</v>
      </c>
      <c r="S1186" s="22">
        <f>VLOOKUP(R1186,AC$2:AD$1905,2,FALSE)</f>
        <v>0.56999999999999995</v>
      </c>
      <c r="T1186" s="24">
        <f>(H1186*I1186)+P1186*Q1186+S1186*K1186</f>
        <v>0</v>
      </c>
      <c r="U1186" s="25" t="str">
        <f>IF(TRIM(N1186&amp;"")="111444",
    IF(ROUNDUP(MAX(0,K1186-(MAX(1,Q1186)-1)*10)/10,0)=1,3,2),
    IF(TRIM(N1186&amp;"")="VWPAL",
        IF(TRIM(R1186&amp;"")="004147",1,2),
        ""
    )
)</f>
        <v/>
      </c>
      <c r="V1186" s="26" t="str">
        <f>IF(OR(TRIM(N1186&amp;"")="111444",TRIM(N1186&amp;"")="VWPAL"),
    IF(K1186&lt;=0,"",
        IF(
            MIN(3,ROUNDUP(MAX(0,K1186-(MAX(1,Q1186)-1)*IF(TRIM(N1186&amp;"")="111444",10,20))/IF(TRIM(N1186&amp;"")="111444",10,20),0))=1,
            300,
            IF(
                MIN(3,ROUNDUP(MAX(0,K1186-(MAX(1,Q1186)-1)*IF(TRIM(N1186&amp;"")="111444",10,20))/IF(TRIM(N1186&amp;"")="111444",10,20),0))=2,
                450,
                600
            )
        )
    ),
    ""
)</f>
        <v/>
      </c>
    </row>
    <row r="1187" spans="1:22" ht="48" customHeight="1" x14ac:dyDescent="0.25">
      <c r="A1187" s="17"/>
      <c r="B1187" s="17"/>
      <c r="C1187" s="18"/>
      <c r="D1187" s="17"/>
      <c r="E1187" s="19"/>
      <c r="F1187" s="20"/>
      <c r="G1187" s="37"/>
      <c r="H1187" s="17"/>
      <c r="I1187" s="20"/>
      <c r="J1187" s="17"/>
      <c r="K1187" s="17"/>
      <c r="L1187" s="22"/>
      <c r="M1187" s="22"/>
      <c r="N1187" s="22"/>
      <c r="O1187" s="22"/>
      <c r="P1187" s="22"/>
      <c r="Q1187" s="22"/>
      <c r="R1187" s="23"/>
      <c r="S1187" s="22"/>
      <c r="T1187" s="24"/>
      <c r="U1187" s="25"/>
    </row>
    <row r="1188" spans="1:22" ht="48.2" customHeight="1" x14ac:dyDescent="0.25">
      <c r="A1188" s="17" t="str">
        <f>VLOOKUP(C1188,[1]Werke!$A$1:$C$168,3,0)</f>
        <v>W2</v>
      </c>
      <c r="B1188" s="17" t="str">
        <f>VLOOKUP(C1188,[1]Werke!$A$1:$C$168,2,0)</f>
        <v>UPSOR</v>
      </c>
      <c r="C1188" s="18" t="s">
        <v>343</v>
      </c>
      <c r="D1188" s="17" t="str">
        <f>VLOOKUP(C1188,[1]Maliteslimalan!$A$1:$B$210,2,0)</f>
        <v>8000013657</v>
      </c>
      <c r="E1188" s="19">
        <f>VLOOKUP(C1188,[1]Bestellnr.!$A$1:$B$174,2,0)</f>
        <v>0</v>
      </c>
      <c r="F1188" s="20" t="str">
        <f>VLOOKUP(G1188,$U$1:$V$1730,2,0)</f>
        <v>N   909 897 02</v>
      </c>
      <c r="G1188" s="38">
        <v>100327900</v>
      </c>
      <c r="H1188" s="17">
        <f>VLOOKUP(G1188,Z$2:AA$1905,2,FALSE)</f>
        <v>1.3939999999999999E-2</v>
      </c>
      <c r="I1188" s="20"/>
      <c r="J1188" s="17">
        <f>VLOOKUP(G1188,W$2:X$1905,2,FALSE)</f>
        <v>900</v>
      </c>
      <c r="K1188" s="17">
        <f>I1188/J1188</f>
        <v>0</v>
      </c>
      <c r="L1188" s="22">
        <v>16</v>
      </c>
      <c r="M1188" s="22">
        <v>48</v>
      </c>
      <c r="N1188" s="22" t="s">
        <v>342</v>
      </c>
      <c r="O1188" s="22">
        <f>VLOOKUP(N1188,$AL$1285:$AM$1310,2,FALSE)</f>
        <v>0</v>
      </c>
      <c r="P1188" s="22">
        <f>VLOOKUP(N1188,AC$2:AD$1905,2,FALSE)</f>
        <v>51</v>
      </c>
      <c r="Q1188" s="22"/>
      <c r="R1188" s="23" t="s">
        <v>153</v>
      </c>
      <c r="S1188" s="22">
        <f>VLOOKUP(R1188,AC$2:AD$1905,2,FALSE)</f>
        <v>0.56999999999999995</v>
      </c>
      <c r="T1188" s="24">
        <f>(H1188*I1188)+P1188*Q1188+S1188*K1188</f>
        <v>0</v>
      </c>
      <c r="U1188" s="25" t="str">
        <f>IF(TRIM(N1188&amp;"")="111444",
    IF(ROUNDUP(MAX(0,K1188-(MAX(1,Q1188)-1)*10)/10,0)=1,3,2),
    IF(TRIM(N1188&amp;"")="VWPAL",
        IF(TRIM(R1188&amp;"")="004147",1,2),
        ""
    )
)</f>
        <v/>
      </c>
      <c r="V1188" s="26" t="str">
        <f>IF(OR(TRIM(N1188&amp;"")="111444",TRIM(N1188&amp;"")="VWPAL"),
    IF(K1188&lt;=0,"",
        IF(
            MIN(3,ROUNDUP(MAX(0,K1188-(MAX(1,Q1188)-1)*IF(TRIM(N1188&amp;"")="111444",10,20))/IF(TRIM(N1188&amp;"")="111444",10,20),0))=1,
            300,
            IF(
                MIN(3,ROUNDUP(MAX(0,K1188-(MAX(1,Q1188)-1)*IF(TRIM(N1188&amp;"")="111444",10,20))/IF(TRIM(N1188&amp;"")="111444",10,20),0))=2,
                450,
                600
            )
        )
    ),
    ""
)</f>
        <v/>
      </c>
    </row>
    <row r="1189" spans="1:22" ht="48" customHeight="1" x14ac:dyDescent="0.25">
      <c r="A1189" s="17"/>
      <c r="B1189" s="17"/>
      <c r="C1189" s="18"/>
      <c r="D1189" s="17"/>
      <c r="E1189" s="19"/>
      <c r="F1189" s="20"/>
      <c r="G1189" s="38"/>
      <c r="H1189" s="17"/>
      <c r="I1189" s="20"/>
      <c r="J1189" s="17"/>
      <c r="K1189" s="17"/>
      <c r="L1189" s="22"/>
      <c r="M1189" s="22"/>
      <c r="N1189" s="22"/>
      <c r="O1189" s="22"/>
      <c r="P1189" s="22"/>
      <c r="Q1189" s="22"/>
      <c r="R1189" s="23"/>
      <c r="S1189" s="22"/>
      <c r="T1189" s="24"/>
      <c r="U1189" s="25"/>
    </row>
    <row r="1190" spans="1:22" ht="48.2" customHeight="1" x14ac:dyDescent="0.25">
      <c r="A1190" s="17" t="str">
        <f>VLOOKUP(C1190,[1]Werke!$A$1:$C$168,3,0)</f>
        <v>B9</v>
      </c>
      <c r="B1190" s="17" t="str">
        <f>VLOOKUP(C1190,[1]Werke!$A$1:$C$168,2,0)</f>
        <v>BAU90</v>
      </c>
      <c r="C1190" s="18" t="s">
        <v>341</v>
      </c>
      <c r="D1190" s="17" t="str">
        <f>VLOOKUP(C1190,[1]Maliteslimalan!$A$1:$B$210,2,0)</f>
        <v>8000012552</v>
      </c>
      <c r="E1190" s="19">
        <f>VLOOKUP(C1190,[1]Bestellnr.!$A$1:$B$174,2,0)</f>
        <v>0</v>
      </c>
      <c r="F1190" s="20" t="str">
        <f>VLOOKUP(G1190,$U$1:$V$1730,2,0)</f>
        <v>N   910 734 02</v>
      </c>
      <c r="G1190" s="27">
        <v>931826000</v>
      </c>
      <c r="H1190" s="17">
        <f>VLOOKUP(G1190,Z$2:AA$1905,2,FALSE)</f>
        <v>3.2849999999999997E-2</v>
      </c>
      <c r="I1190" s="20"/>
      <c r="J1190" s="17">
        <f>VLOOKUP(G1190,W$2:X$1905,2,FALSE)</f>
        <v>250</v>
      </c>
      <c r="K1190" s="17">
        <f>I1190/J1190</f>
        <v>0</v>
      </c>
      <c r="L1190" s="22">
        <v>16</v>
      </c>
      <c r="M1190" s="22">
        <v>48</v>
      </c>
      <c r="N1190" s="22" t="s">
        <v>342</v>
      </c>
      <c r="O1190" s="22">
        <f>VLOOKUP(N1190,$AL$1285:$AM$1310,2,FALSE)</f>
        <v>0</v>
      </c>
      <c r="P1190" s="22">
        <f>VLOOKUP(N1190,AC$2:AD$1905,2,FALSE)</f>
        <v>51</v>
      </c>
      <c r="Q1190" s="22"/>
      <c r="R1190" s="23" t="s">
        <v>153</v>
      </c>
      <c r="S1190" s="22">
        <f>VLOOKUP(R1190,AC$2:AD$1905,2,FALSE)</f>
        <v>0.56999999999999995</v>
      </c>
      <c r="T1190" s="24">
        <f>(H1190*I1190)+P1190*Q1190+S1190*K1190</f>
        <v>0</v>
      </c>
      <c r="U1190" s="25" t="str">
        <f>IF(TRIM(N1190&amp;"")="111444",
    IF(ROUNDUP(MAX(0,K1190-(MAX(1,Q1190)-1)*10)/10,0)=1,3,2),
    IF(TRIM(N1190&amp;"")="VWPAL",
        IF(TRIM(R1190&amp;"")="004147",1,2),
        ""
    )
)</f>
        <v/>
      </c>
      <c r="V1190" s="26" t="str">
        <f>IF(OR(TRIM(N1190&amp;"")="111444",TRIM(N1190&amp;"")="VWPAL"),
    IF(K1190&lt;=0,"",
        IF(
            MIN(3,ROUNDUP(MAX(0,K1190-(MAX(1,Q1190)-1)*IF(TRIM(N1190&amp;"")="111444",10,20))/IF(TRIM(N1190&amp;"")="111444",10,20),0))=1,
            300,
            IF(
                MIN(3,ROUNDUP(MAX(0,K1190-(MAX(1,Q1190)-1)*IF(TRIM(N1190&amp;"")="111444",10,20))/IF(TRIM(N1190&amp;"")="111444",10,20),0))=2,
                450,
                600
            )
        )
    ),
    ""
)</f>
        <v/>
      </c>
    </row>
    <row r="1191" spans="1:22" ht="48.2" customHeight="1" x14ac:dyDescent="0.25">
      <c r="A1191" s="17" t="str">
        <f>VLOOKUP(C1191,[1]Werke!$A$1:$C$168,3,0)</f>
        <v>W2</v>
      </c>
      <c r="B1191" s="17" t="str">
        <f>VLOOKUP(C1191,[1]Werke!$A$1:$C$168,2,0)</f>
        <v>UPSOR</v>
      </c>
      <c r="C1191" s="18" t="s">
        <v>343</v>
      </c>
      <c r="D1191" s="17" t="str">
        <f>VLOOKUP(C1191,[1]Maliteslimalan!$A$1:$B$210,2,0)</f>
        <v>8000013657</v>
      </c>
      <c r="E1191" s="19">
        <f>VLOOKUP(C1191,[1]Bestellnr.!$A$1:$B$174,2,0)</f>
        <v>0</v>
      </c>
      <c r="F1191" s="20" t="str">
        <f>VLOOKUP(G1191,$U$1:$V$1730,2,0)</f>
        <v>N   910 734 02</v>
      </c>
      <c r="G1191" s="27">
        <v>931826000</v>
      </c>
      <c r="H1191" s="17">
        <f>VLOOKUP(G1191,Z$2:AA$1905,2,FALSE)</f>
        <v>3.2849999999999997E-2</v>
      </c>
      <c r="I1191" s="20"/>
      <c r="J1191" s="17">
        <f>VLOOKUP(G1191,W$2:X$1905,2,FALSE)</f>
        <v>250</v>
      </c>
      <c r="K1191" s="17">
        <f>I1191/J1191</f>
        <v>0</v>
      </c>
      <c r="L1191" s="22">
        <v>16</v>
      </c>
      <c r="M1191" s="22">
        <v>48</v>
      </c>
      <c r="N1191" s="22" t="s">
        <v>342</v>
      </c>
      <c r="O1191" s="22">
        <f>VLOOKUP(N1191,$AL$1285:$AM$1310,2,FALSE)</f>
        <v>0</v>
      </c>
      <c r="P1191" s="22">
        <f>VLOOKUP(N1191,AC$2:AD$1905,2,FALSE)</f>
        <v>51</v>
      </c>
      <c r="Q1191" s="22"/>
      <c r="R1191" s="23" t="s">
        <v>153</v>
      </c>
      <c r="S1191" s="22">
        <f>VLOOKUP(R1191,AC$2:AD$1905,2,FALSE)</f>
        <v>0.56999999999999995</v>
      </c>
      <c r="T1191" s="24">
        <f>(H1191*I1191)+P1191*Q1191+S1191*K1191</f>
        <v>0</v>
      </c>
      <c r="U1191" s="25" t="str">
        <f>IF(TRIM(N1191&amp;"")="111444",
    IF(ROUNDUP(MAX(0,K1191-(MAX(1,Q1191)-1)*10)/10,0)=1,3,2),
    IF(TRIM(N1191&amp;"")="VWPAL",
        IF(TRIM(R1191&amp;"")="004147",1,2),
        ""
    )
)</f>
        <v/>
      </c>
      <c r="V1191" s="26" t="str">
        <f>IF(OR(TRIM(N1191&amp;"")="111444",TRIM(N1191&amp;"")="VWPAL"),
    IF(K1191&lt;=0,"",
        IF(
            MIN(3,ROUNDUP(MAX(0,K1191-(MAX(1,Q1191)-1)*IF(TRIM(N1191&amp;"")="111444",10,20))/IF(TRIM(N1191&amp;"")="111444",10,20),0))=1,
            300,
            IF(
                MIN(3,ROUNDUP(MAX(0,K1191-(MAX(1,Q1191)-1)*IF(TRIM(N1191&amp;"")="111444",10,20))/IF(TRIM(N1191&amp;"")="111444",10,20),0))=2,
                450,
                600
            )
        )
    ),
    ""
)</f>
        <v/>
      </c>
    </row>
    <row r="1192" spans="1:22" ht="48.2" customHeight="1" x14ac:dyDescent="0.25">
      <c r="A1192" s="17"/>
      <c r="B1192" s="17"/>
      <c r="C1192" s="18"/>
      <c r="D1192" s="17"/>
      <c r="E1192" s="19"/>
      <c r="F1192" s="20"/>
      <c r="G1192" s="27"/>
      <c r="H1192" s="17"/>
      <c r="I1192" s="20"/>
      <c r="J1192" s="17"/>
      <c r="K1192" s="17"/>
      <c r="L1192" s="22"/>
      <c r="M1192" s="22"/>
      <c r="N1192" s="22"/>
      <c r="O1192" s="22"/>
      <c r="P1192" s="22"/>
      <c r="Q1192" s="22"/>
      <c r="R1192" s="23"/>
      <c r="S1192" s="22"/>
      <c r="T1192" s="24"/>
      <c r="U1192" s="25"/>
    </row>
    <row r="1193" spans="1:22" ht="48.2" customHeight="1" x14ac:dyDescent="0.25">
      <c r="A1193" s="17" t="str">
        <f>VLOOKUP(C1193,[1]Werke!$A$1:$C$168,3,0)</f>
        <v>W2</v>
      </c>
      <c r="B1193" s="17" t="str">
        <f>VLOOKUP(C1193,[1]Werke!$A$1:$C$168,2,0)</f>
        <v>UPSOR</v>
      </c>
      <c r="C1193" s="18" t="s">
        <v>343</v>
      </c>
      <c r="D1193" s="17" t="str">
        <f>VLOOKUP(C1193,[1]Maliteslimalan!$A$1:$B$210,2,0)</f>
        <v>8000013657</v>
      </c>
      <c r="E1193" s="19">
        <f>VLOOKUP(C1193,[1]Bestellnr.!$A$1:$B$174,2,0)</f>
        <v>0</v>
      </c>
      <c r="F1193" s="20" t="str">
        <f>VLOOKUP(G1193,$U$1:$V$1730,2,0)</f>
        <v>N   910 973 01</v>
      </c>
      <c r="G1193" s="38">
        <v>100328300</v>
      </c>
      <c r="H1193" s="17">
        <f>VLOOKUP(G1193,Z$2:AA$1905,2,FALSE)</f>
        <v>1.1129999999999999E-2</v>
      </c>
      <c r="I1193" s="20"/>
      <c r="J1193" s="17">
        <f>VLOOKUP(G1193,W$2:X$1905,2,FALSE)</f>
        <v>1000</v>
      </c>
      <c r="K1193" s="17">
        <f>I1193/J1193</f>
        <v>0</v>
      </c>
      <c r="L1193" s="22">
        <v>16</v>
      </c>
      <c r="M1193" s="22">
        <v>48</v>
      </c>
      <c r="N1193" s="22" t="s">
        <v>342</v>
      </c>
      <c r="O1193" s="22">
        <f>VLOOKUP(N1193,$AL$1285:$AM$1310,2,FALSE)</f>
        <v>0</v>
      </c>
      <c r="P1193" s="22">
        <f>VLOOKUP(N1193,AC$2:AD$1905,2,FALSE)</f>
        <v>51</v>
      </c>
      <c r="Q1193" s="22"/>
      <c r="R1193" s="23" t="s">
        <v>153</v>
      </c>
      <c r="S1193" s="22">
        <f>VLOOKUP(R1193,AC$2:AD$1905,2,FALSE)</f>
        <v>0.56999999999999995</v>
      </c>
      <c r="T1193" s="24">
        <f>(H1193*I1193)+P1193*Q1193+S1193*K1193</f>
        <v>0</v>
      </c>
      <c r="U1193" s="25" t="str">
        <f>IF(TRIM(N1193&amp;"")="111444",
    IF(ROUNDUP(MAX(0,K1193-(MAX(1,Q1193)-1)*10)/10,0)=1,3,2),
    IF(TRIM(N1193&amp;"")="VWPAL",
        IF(TRIM(R1193&amp;"")="004147",1,2),
        ""
    )
)</f>
        <v/>
      </c>
      <c r="V1193" s="26" t="str">
        <f>IF(OR(TRIM(N1193&amp;"")="111444",TRIM(N1193&amp;"")="VWPAL"),
    IF(K1193&lt;=0,"",
        IF(
            MIN(3,ROUNDUP(MAX(0,K1193-(MAX(1,Q1193)-1)*IF(TRIM(N1193&amp;"")="111444",10,20))/IF(TRIM(N1193&amp;"")="111444",10,20),0))=1,
            300,
            IF(
                MIN(3,ROUNDUP(MAX(0,K1193-(MAX(1,Q1193)-1)*IF(TRIM(N1193&amp;"")="111444",10,20))/IF(TRIM(N1193&amp;"")="111444",10,20),0))=2,
                450,
                600
            )
        )
    ),
    ""
)</f>
        <v/>
      </c>
    </row>
    <row r="1194" spans="1:22" ht="48.2" customHeight="1" x14ac:dyDescent="0.25">
      <c r="A1194" s="17" t="str">
        <f>VLOOKUP(C1194,[1]Werke!$A$1:$C$168,3,0)</f>
        <v>B9</v>
      </c>
      <c r="B1194" s="17" t="str">
        <f>VLOOKUP(C1194,[1]Werke!$A$1:$C$168,2,0)</f>
        <v>BAU90</v>
      </c>
      <c r="C1194" s="18" t="s">
        <v>341</v>
      </c>
      <c r="D1194" s="17" t="str">
        <f>VLOOKUP(C1194,[1]Maliteslimalan!$A$1:$B$210,2,0)</f>
        <v>8000012552</v>
      </c>
      <c r="E1194" s="19">
        <f>VLOOKUP(C1194,[1]Bestellnr.!$A$1:$B$174,2,0)</f>
        <v>0</v>
      </c>
      <c r="F1194" s="20" t="str">
        <f>VLOOKUP(G1194,$U$1:$V$1730,2,0)</f>
        <v>N   910 973 01</v>
      </c>
      <c r="G1194" s="38">
        <v>100328300</v>
      </c>
      <c r="H1194" s="17">
        <f>VLOOKUP(G1194,Z$2:AA$1905,2,FALSE)</f>
        <v>1.1129999999999999E-2</v>
      </c>
      <c r="I1194" s="20"/>
      <c r="J1194" s="17">
        <f>VLOOKUP(G1194,W$2:X$1905,2,FALSE)</f>
        <v>1000</v>
      </c>
      <c r="K1194" s="17">
        <f>I1194/J1194</f>
        <v>0</v>
      </c>
      <c r="L1194" s="22">
        <v>16</v>
      </c>
      <c r="M1194" s="22">
        <v>48</v>
      </c>
      <c r="N1194" s="22" t="s">
        <v>342</v>
      </c>
      <c r="O1194" s="22">
        <f>VLOOKUP(N1194,$AL$1285:$AM$1310,2,FALSE)</f>
        <v>0</v>
      </c>
      <c r="P1194" s="22">
        <f>VLOOKUP(N1194,AC$2:AD$1905,2,FALSE)</f>
        <v>51</v>
      </c>
      <c r="Q1194" s="22"/>
      <c r="R1194" s="23" t="s">
        <v>153</v>
      </c>
      <c r="S1194" s="22">
        <f>VLOOKUP(R1194,AC$2:AD$1905,2,FALSE)</f>
        <v>0.56999999999999995</v>
      </c>
      <c r="T1194" s="24">
        <f>(H1194*I1194)+P1194*Q1194+S1194*K1194</f>
        <v>0</v>
      </c>
      <c r="U1194" s="25" t="str">
        <f>IF(TRIM(N1194&amp;"")="111444",
    IF(ROUNDUP(MAX(0,K1194-(MAX(1,Q1194)-1)*10)/10,0)=1,3,2),
    IF(TRIM(N1194&amp;"")="VWPAL",
        IF(TRIM(R1194&amp;"")="004147",1,2),
        ""
    )
)</f>
        <v/>
      </c>
      <c r="V1194" s="26" t="str">
        <f>IF(OR(TRIM(N1194&amp;"")="111444",TRIM(N1194&amp;"")="VWPAL"),
    IF(K1194&lt;=0,"",
        IF(
            MIN(3,ROUNDUP(MAX(0,K1194-(MAX(1,Q1194)-1)*IF(TRIM(N1194&amp;"")="111444",10,20))/IF(TRIM(N1194&amp;"")="111444",10,20),0))=1,
            300,
            IF(
                MIN(3,ROUNDUP(MAX(0,K1194-(MAX(1,Q1194)-1)*IF(TRIM(N1194&amp;"")="111444",10,20))/IF(TRIM(N1194&amp;"")="111444",10,20),0))=2,
                450,
                600
            )
        )
    ),
    ""
)</f>
        <v/>
      </c>
    </row>
    <row r="1195" spans="1:22" ht="48.2" customHeight="1" x14ac:dyDescent="0.25">
      <c r="A1195" s="17"/>
      <c r="B1195" s="17"/>
      <c r="C1195" s="18"/>
      <c r="D1195" s="17"/>
      <c r="E1195" s="19"/>
      <c r="F1195" s="20"/>
      <c r="G1195" s="38"/>
      <c r="H1195" s="17"/>
      <c r="I1195" s="20"/>
      <c r="J1195" s="17"/>
      <c r="K1195" s="17"/>
      <c r="L1195" s="22"/>
      <c r="M1195" s="22"/>
      <c r="N1195" s="22"/>
      <c r="O1195" s="22"/>
      <c r="P1195" s="22"/>
      <c r="Q1195" s="22"/>
      <c r="R1195" s="23"/>
      <c r="S1195" s="22"/>
      <c r="T1195" s="24"/>
      <c r="U1195" s="25"/>
    </row>
    <row r="1196" spans="1:22" ht="48.2" customHeight="1" x14ac:dyDescent="0.25">
      <c r="A1196" s="17" t="str">
        <f>VLOOKUP(C1196,[1]Werke!$A$1:$C$168,3,0)</f>
        <v>W2</v>
      </c>
      <c r="B1196" s="17" t="str">
        <f>VLOOKUP(C1196,[1]Werke!$A$1:$C$168,2,0)</f>
        <v>UPSOR</v>
      </c>
      <c r="C1196" s="18" t="s">
        <v>343</v>
      </c>
      <c r="D1196" s="17" t="str">
        <f>VLOOKUP(C1196,[1]Maliteslimalan!$A$1:$B$210,2,0)</f>
        <v>8000013657</v>
      </c>
      <c r="E1196" s="19">
        <f>VLOOKUP(C1196,[1]Bestellnr.!$A$1:$B$174,2,0)</f>
        <v>0</v>
      </c>
      <c r="F1196" s="20" t="str">
        <f>VLOOKUP(G1196,$U$1:$V$1730,2,0)</f>
        <v>N   911 266 01</v>
      </c>
      <c r="G1196" s="37">
        <v>932337000</v>
      </c>
      <c r="H1196" s="17">
        <f>VLOOKUP(G1196,Z$2:AA$1905,2,FALSE)</f>
        <v>6.3400000000000001E-3</v>
      </c>
      <c r="I1196" s="20"/>
      <c r="J1196" s="17">
        <f>VLOOKUP(G1196,W$2:X$1905,2,FALSE)</f>
        <v>2400</v>
      </c>
      <c r="K1196" s="17">
        <f>I1196/J1196</f>
        <v>0</v>
      </c>
      <c r="L1196" s="22">
        <v>16</v>
      </c>
      <c r="M1196" s="22">
        <v>48</v>
      </c>
      <c r="N1196" s="22" t="s">
        <v>342</v>
      </c>
      <c r="O1196" s="22">
        <f>VLOOKUP(N1196,$AL$1285:$AM$1310,2,FALSE)</f>
        <v>0</v>
      </c>
      <c r="P1196" s="22">
        <f>VLOOKUP(N1196,AC$2:AD$1905,2,FALSE)</f>
        <v>51</v>
      </c>
      <c r="Q1196" s="22"/>
      <c r="R1196" s="23" t="s">
        <v>153</v>
      </c>
      <c r="S1196" s="22">
        <f>VLOOKUP(R1196,AC$2:AD$1905,2,FALSE)</f>
        <v>0.56999999999999995</v>
      </c>
      <c r="T1196" s="24">
        <f>(H1196*I1196)+P1196*Q1196+S1196*K1196</f>
        <v>0</v>
      </c>
      <c r="U1196" s="25" t="str">
        <f>IF(TRIM(N1196&amp;"")="111444",
    IF(ROUNDUP(MAX(0,K1196-(MAX(1,Q1196)-1)*10)/10,0)=1,3,2),
    IF(TRIM(N1196&amp;"")="VWPAL",
        IF(TRIM(R1196&amp;"")="004147",1,2),
        ""
    )
)</f>
        <v/>
      </c>
      <c r="V1196" s="26" t="str">
        <f>IF(OR(TRIM(N1196&amp;"")="111444",TRIM(N1196&amp;"")="VWPAL"),
    IF(K1196&lt;=0,"",
        IF(
            MIN(3,ROUNDUP(MAX(0,K1196-(MAX(1,Q1196)-1)*IF(TRIM(N1196&amp;"")="111444",10,20))/IF(TRIM(N1196&amp;"")="111444",10,20),0))=1,
            300,
            IF(
                MIN(3,ROUNDUP(MAX(0,K1196-(MAX(1,Q1196)-1)*IF(TRIM(N1196&amp;"")="111444",10,20))/IF(TRIM(N1196&amp;"")="111444",10,20),0))=2,
                450,
                600
            )
        )
    ),
    ""
)</f>
        <v/>
      </c>
    </row>
    <row r="1197" spans="1:22" ht="48.2" customHeight="1" x14ac:dyDescent="0.25">
      <c r="A1197" s="17" t="str">
        <f>VLOOKUP(C1197,[1]Werke!$A$1:$C$168,3,0)</f>
        <v>B9</v>
      </c>
      <c r="B1197" s="17" t="str">
        <f>VLOOKUP(C1197,[1]Werke!$A$1:$C$168,2,0)</f>
        <v>BAU90</v>
      </c>
      <c r="C1197" s="18" t="s">
        <v>341</v>
      </c>
      <c r="D1197" s="17" t="str">
        <f>VLOOKUP(C1197,[1]Maliteslimalan!$A$1:$B$210,2,0)</f>
        <v>8000012552</v>
      </c>
      <c r="E1197" s="19">
        <f>VLOOKUP(C1197,[1]Bestellnr.!$A$1:$B$174,2,0)</f>
        <v>0</v>
      </c>
      <c r="F1197" s="20" t="str">
        <f>VLOOKUP(G1197,$U$1:$V$1730,2,0)</f>
        <v>N   911 266 01</v>
      </c>
      <c r="G1197" s="37">
        <v>932337000</v>
      </c>
      <c r="H1197" s="17">
        <f>VLOOKUP(G1197,Z$2:AA$1905,2,FALSE)</f>
        <v>6.3400000000000001E-3</v>
      </c>
      <c r="I1197" s="20"/>
      <c r="J1197" s="17">
        <f>VLOOKUP(G1197,W$2:X$1905,2,FALSE)</f>
        <v>2400</v>
      </c>
      <c r="K1197" s="17">
        <f>I1197/J1197</f>
        <v>0</v>
      </c>
      <c r="L1197" s="22">
        <v>16</v>
      </c>
      <c r="M1197" s="22">
        <v>48</v>
      </c>
      <c r="N1197" s="22" t="s">
        <v>342</v>
      </c>
      <c r="O1197" s="22">
        <f>VLOOKUP(N1197,$AL$1285:$AM$1310,2,FALSE)</f>
        <v>0</v>
      </c>
      <c r="P1197" s="22">
        <f>VLOOKUP(N1197,AC$2:AD$1905,2,FALSE)</f>
        <v>51</v>
      </c>
      <c r="Q1197" s="22"/>
      <c r="R1197" s="23" t="s">
        <v>153</v>
      </c>
      <c r="S1197" s="22">
        <f>VLOOKUP(R1197,AC$2:AD$1905,2,FALSE)</f>
        <v>0.56999999999999995</v>
      </c>
      <c r="T1197" s="24">
        <f>(H1197*I1197)+P1197*Q1197+S1197*K1197</f>
        <v>0</v>
      </c>
      <c r="U1197" s="25" t="str">
        <f>IF(TRIM(N1197&amp;"")="111444",
    IF(ROUNDUP(MAX(0,K1197-(MAX(1,Q1197)-1)*10)/10,0)=1,3,2),
    IF(TRIM(N1197&amp;"")="VWPAL",
        IF(TRIM(R1197&amp;"")="004147",1,2),
        ""
    )
)</f>
        <v/>
      </c>
      <c r="V1197" s="26" t="str">
        <f>IF(OR(TRIM(N1197&amp;"")="111444",TRIM(N1197&amp;"")="VWPAL"),
    IF(K1197&lt;=0,"",
        IF(
            MIN(3,ROUNDUP(MAX(0,K1197-(MAX(1,Q1197)-1)*IF(TRIM(N1197&amp;"")="111444",10,20))/IF(TRIM(N1197&amp;"")="111444",10,20),0))=1,
            300,
            IF(
                MIN(3,ROUNDUP(MAX(0,K1197-(MAX(1,Q1197)-1)*IF(TRIM(N1197&amp;"")="111444",10,20))/IF(TRIM(N1197&amp;"")="111444",10,20),0))=2,
                450,
                600
            )
        )
    ),
    ""
)</f>
        <v/>
      </c>
    </row>
    <row r="1198" spans="1:22" ht="48.2" customHeight="1" x14ac:dyDescent="0.25">
      <c r="A1198" s="17"/>
      <c r="B1198" s="17"/>
      <c r="C1198" s="18"/>
      <c r="D1198" s="17"/>
      <c r="E1198" s="19"/>
      <c r="F1198" s="20"/>
      <c r="G1198" s="37"/>
      <c r="H1198" s="17"/>
      <c r="I1198" s="20"/>
      <c r="J1198" s="17"/>
      <c r="K1198" s="17"/>
      <c r="L1198" s="22"/>
      <c r="M1198" s="22"/>
      <c r="N1198" s="22"/>
      <c r="O1198" s="22"/>
      <c r="P1198" s="22"/>
      <c r="Q1198" s="22"/>
      <c r="R1198" s="23"/>
      <c r="S1198" s="22"/>
      <c r="T1198" s="24"/>
      <c r="U1198" s="25"/>
    </row>
    <row r="1199" spans="1:22" ht="48.2" customHeight="1" x14ac:dyDescent="0.25">
      <c r="A1199" s="17" t="str">
        <f>VLOOKUP(C1199,[1]Werke!$A$1:$C$168,3,0)</f>
        <v>L01</v>
      </c>
      <c r="B1199" s="17" t="str">
        <f>VLOOKUP(C1199,[1]Werke!$A$1:$C$168,2,0)</f>
        <v>KXG</v>
      </c>
      <c r="C1199" s="18" t="s">
        <v>346</v>
      </c>
      <c r="D1199" s="17" t="str">
        <f>VLOOKUP(C1199,[1]Maliteslimalan!$A$1:$B$210,2,0)</f>
        <v>8000012787</v>
      </c>
      <c r="E1199" s="19">
        <f>VLOOKUP(C1199,[1]Bestellnr.!$A$1:$B$174,2,0)</f>
        <v>0</v>
      </c>
      <c r="F1199" s="20" t="str">
        <f>VLOOKUP(G1199,$U$1:$V$1730,2,0)</f>
        <v>N   911 669 01</v>
      </c>
      <c r="G1199" s="37">
        <v>933036000</v>
      </c>
      <c r="H1199" s="17">
        <f>VLOOKUP(G1199,Z$2:AA$1905,2,FALSE)</f>
        <v>8.6499999999999997E-3</v>
      </c>
      <c r="I1199" s="20"/>
      <c r="J1199" s="17">
        <f>VLOOKUP(G1199,W$2:X$1905,2,FALSE)</f>
        <v>1700</v>
      </c>
      <c r="K1199" s="17">
        <f>I1199/J1199</f>
        <v>0</v>
      </c>
      <c r="L1199" s="22">
        <v>20</v>
      </c>
      <c r="M1199" s="22">
        <v>60</v>
      </c>
      <c r="N1199" s="22" t="s">
        <v>155</v>
      </c>
      <c r="O1199" s="22" t="str">
        <f>VLOOKUP(N1199,$AL$1285:$AM$1310,2,FALSE)</f>
        <v>001210</v>
      </c>
      <c r="P1199" s="22">
        <f>VLOOKUP(N1199,AC$2:AD$1905,2,FALSE)</f>
        <v>55</v>
      </c>
      <c r="Q1199" s="22"/>
      <c r="R1199" s="23" t="s">
        <v>153</v>
      </c>
      <c r="S1199" s="22">
        <f>VLOOKUP(R1199,AC$2:AD$1905,2,FALSE)</f>
        <v>0.56999999999999995</v>
      </c>
      <c r="T1199" s="24">
        <f>(H1199*I1199)+P1199*Q1199+S1199*K1199</f>
        <v>0</v>
      </c>
      <c r="U1199" s="25">
        <f>IF(TRIM(N1199&amp;"")="111444",
    IF(ROUNDUP(MAX(0,K1199-(MAX(1,Q1199)-1)*10)/10,0)=1,3,2),
    IF(TRIM(N1199&amp;"")="VWPAL",
        IF(TRIM(R1199&amp;"")="004147",1,2),
        ""
    )
)</f>
        <v>2</v>
      </c>
      <c r="V1199" s="26" t="str">
        <f>IF(OR(TRIM(N1199&amp;"")="111444",TRIM(N1199&amp;"")="VWPAL"),
    IF(K1199&lt;=0,"",
        IF(
            MIN(3,ROUNDUP(MAX(0,K1199-(MAX(1,Q1199)-1)*IF(TRIM(N1199&amp;"")="111444",10,20))/IF(TRIM(N1199&amp;"")="111444",10,20),0))=1,
            300,
            IF(
                MIN(3,ROUNDUP(MAX(0,K1199-(MAX(1,Q1199)-1)*IF(TRIM(N1199&amp;"")="111444",10,20))/IF(TRIM(N1199&amp;"")="111444",10,20),0))=2,
                450,
                600
            )
        )
    ),
    ""
)</f>
        <v/>
      </c>
    </row>
    <row r="1200" spans="1:22" ht="48.2" customHeight="1" x14ac:dyDescent="0.25">
      <c r="A1200" s="17" t="str">
        <f>VLOOKUP(C1200,[1]Werke!$A$1:$C$168,3,0)</f>
        <v>B9</v>
      </c>
      <c r="B1200" s="17" t="str">
        <f>VLOOKUP(C1200,[1]Werke!$A$1:$C$168,2,0)</f>
        <v>BAU90</v>
      </c>
      <c r="C1200" s="18" t="s">
        <v>341</v>
      </c>
      <c r="D1200" s="17" t="str">
        <f>VLOOKUP(C1200,[1]Maliteslimalan!$A$1:$B$210,2,0)</f>
        <v>8000012552</v>
      </c>
      <c r="E1200" s="19">
        <f>VLOOKUP(C1200,[1]Bestellnr.!$A$1:$B$174,2,0)</f>
        <v>0</v>
      </c>
      <c r="F1200" s="20" t="str">
        <f>VLOOKUP(G1200,$U$1:$V$1730,2,0)</f>
        <v>N   911 669 01</v>
      </c>
      <c r="G1200" s="37">
        <v>933036000</v>
      </c>
      <c r="H1200" s="17">
        <f>VLOOKUP(G1200,Z$2:AA$1905,2,FALSE)</f>
        <v>8.6499999999999997E-3</v>
      </c>
      <c r="I1200" s="20"/>
      <c r="J1200" s="17">
        <f>VLOOKUP(G1200,W$2:X$1905,2,FALSE)</f>
        <v>1700</v>
      </c>
      <c r="K1200" s="17">
        <f>I1200/J1200</f>
        <v>0</v>
      </c>
      <c r="L1200" s="22">
        <v>16</v>
      </c>
      <c r="M1200" s="22">
        <v>48</v>
      </c>
      <c r="N1200" s="22" t="s">
        <v>342</v>
      </c>
      <c r="O1200" s="22">
        <f>VLOOKUP(N1200,$AL$1285:$AM$1310,2,FALSE)</f>
        <v>0</v>
      </c>
      <c r="P1200" s="22">
        <f>VLOOKUP(N1200,AC$2:AD$1905,2,FALSE)</f>
        <v>51</v>
      </c>
      <c r="Q1200" s="22"/>
      <c r="R1200" s="23" t="s">
        <v>153</v>
      </c>
      <c r="S1200" s="22">
        <f>VLOOKUP(R1200,AC$2:AD$1905,2,FALSE)</f>
        <v>0.56999999999999995</v>
      </c>
      <c r="T1200" s="24">
        <f>(H1200*I1200)+P1200*Q1200+S1200*K1200</f>
        <v>0</v>
      </c>
      <c r="U1200" s="25" t="str">
        <f>IF(TRIM(N1200&amp;"")="111444",
    IF(ROUNDUP(MAX(0,K1200-(MAX(1,Q1200)-1)*10)/10,0)=1,3,2),
    IF(TRIM(N1200&amp;"")="VWPAL",
        IF(TRIM(R1200&amp;"")="004147",1,2),
        ""
    )
)</f>
        <v/>
      </c>
      <c r="V1200" s="26" t="str">
        <f>IF(OR(TRIM(N1200&amp;"")="111444",TRIM(N1200&amp;"")="VWPAL"),
    IF(K1200&lt;=0,"",
        IF(
            MIN(3,ROUNDUP(MAX(0,K1200-(MAX(1,Q1200)-1)*IF(TRIM(N1200&amp;"")="111444",10,20))/IF(TRIM(N1200&amp;"")="111444",10,20),0))=1,
            300,
            IF(
                MIN(3,ROUNDUP(MAX(0,K1200-(MAX(1,Q1200)-1)*IF(TRIM(N1200&amp;"")="111444",10,20))/IF(TRIM(N1200&amp;"")="111444",10,20),0))=2,
                450,
                600
            )
        )
    ),
    ""
)</f>
        <v/>
      </c>
    </row>
    <row r="1201" spans="1:24" ht="48.2" customHeight="1" x14ac:dyDescent="0.25">
      <c r="A1201" s="17"/>
      <c r="B1201" s="17"/>
      <c r="C1201" s="18"/>
      <c r="D1201" s="17"/>
      <c r="E1201" s="19"/>
      <c r="F1201" s="20"/>
      <c r="G1201" s="37"/>
      <c r="H1201" s="17"/>
      <c r="I1201" s="20"/>
      <c r="J1201" s="17"/>
      <c r="K1201" s="17"/>
      <c r="L1201" s="22"/>
      <c r="M1201" s="22"/>
      <c r="N1201" s="22"/>
      <c r="O1201" s="22"/>
      <c r="P1201" s="22"/>
      <c r="Q1201" s="22"/>
      <c r="R1201" s="23"/>
      <c r="S1201" s="22"/>
      <c r="T1201" s="24"/>
      <c r="U1201" s="25"/>
    </row>
    <row r="1202" spans="1:24" ht="48.2" customHeight="1" x14ac:dyDescent="0.25">
      <c r="A1202" s="17" t="str">
        <f>VLOOKUP(C1202,[1]Werke!$A$1:$C$168,3,0)</f>
        <v>W2</v>
      </c>
      <c r="B1202" s="17" t="str">
        <f>VLOOKUP(C1202,[1]Werke!$A$1:$C$168,2,0)</f>
        <v>UPSOR</v>
      </c>
      <c r="C1202" s="18" t="s">
        <v>343</v>
      </c>
      <c r="D1202" s="17" t="str">
        <f>VLOOKUP(C1202,[1]Maliteslimalan!$A$1:$B$210,2,0)</f>
        <v>8000013657</v>
      </c>
      <c r="E1202" s="19">
        <f>VLOOKUP(C1202,[1]Bestellnr.!$A$1:$B$174,2,0)</f>
        <v>0</v>
      </c>
      <c r="F1202" s="20" t="str">
        <f>VLOOKUP(G1202,$U$1:$V$1730,2,0)</f>
        <v>N   911 961 01</v>
      </c>
      <c r="G1202" s="40">
        <v>926672000</v>
      </c>
      <c r="H1202" s="17">
        <f>VLOOKUP(G1202,Z$2:AA$1905,2,FALSE)</f>
        <v>0.10524</v>
      </c>
      <c r="I1202" s="20"/>
      <c r="J1202" s="17">
        <f>VLOOKUP(G1202,W$2:X$1905,2,FALSE)</f>
        <v>100</v>
      </c>
      <c r="K1202" s="17">
        <f>I1202/J1202</f>
        <v>0</v>
      </c>
      <c r="L1202" s="22">
        <v>16</v>
      </c>
      <c r="M1202" s="22">
        <v>48</v>
      </c>
      <c r="N1202" s="22" t="s">
        <v>342</v>
      </c>
      <c r="O1202" s="22">
        <f>VLOOKUP(N1202,$AL$1285:$AM$1310,2,FALSE)</f>
        <v>0</v>
      </c>
      <c r="P1202" s="22">
        <f>VLOOKUP(N1202,AC$2:AD$1905,2,FALSE)</f>
        <v>51</v>
      </c>
      <c r="Q1202" s="22"/>
      <c r="R1202" s="23" t="s">
        <v>153</v>
      </c>
      <c r="S1202" s="22">
        <f>VLOOKUP(R1202,AC$2:AD$1905,2,FALSE)</f>
        <v>0.56999999999999995</v>
      </c>
      <c r="T1202" s="24">
        <f>(H1202*I1202)+P1202*Q1202+S1202*K1202</f>
        <v>0</v>
      </c>
      <c r="U1202" s="25" t="str">
        <f>IF(TRIM(N1202&amp;"")="111444",
    IF(ROUNDUP(MAX(0,K1202-(MAX(1,Q1202)-1)*10)/10,0)=1,3,2),
    IF(TRIM(N1202&amp;"")="VWPAL",
        IF(TRIM(R1202&amp;"")="004147",1,2),
        ""
    )
)</f>
        <v/>
      </c>
      <c r="V1202" s="26" t="str">
        <f>IF(OR(TRIM(N1202&amp;"")="111444",TRIM(N1202&amp;"")="VWPAL"),
    IF(K1202&lt;=0,"",
        IF(
            MIN(3,ROUNDUP(MAX(0,K1202-(MAX(1,Q1202)-1)*IF(TRIM(N1202&amp;"")="111444",10,20))/IF(TRIM(N1202&amp;"")="111444",10,20),0))=1,
            300,
            IF(
                MIN(3,ROUNDUP(MAX(0,K1202-(MAX(1,Q1202)-1)*IF(TRIM(N1202&amp;"")="111444",10,20))/IF(TRIM(N1202&amp;"")="111444",10,20),0))=2,
                450,
                600
            )
        )
    ),
    ""
)</f>
        <v/>
      </c>
    </row>
    <row r="1203" spans="1:24" ht="48.2" customHeight="1" x14ac:dyDescent="0.25">
      <c r="A1203" s="17" t="str">
        <f>VLOOKUP(C1203,[1]Werke!$A$1:$C$168,3,0)</f>
        <v>B9</v>
      </c>
      <c r="B1203" s="17" t="str">
        <f>VLOOKUP(C1203,[1]Werke!$A$1:$C$168,2,0)</f>
        <v>BAU90</v>
      </c>
      <c r="C1203" s="18" t="s">
        <v>341</v>
      </c>
      <c r="D1203" s="17" t="str">
        <f>VLOOKUP(C1203,[1]Maliteslimalan!$A$1:$B$210,2,0)</f>
        <v>8000012552</v>
      </c>
      <c r="E1203" s="19">
        <f>VLOOKUP(C1203,[1]Bestellnr.!$A$1:$B$174,2,0)</f>
        <v>0</v>
      </c>
      <c r="F1203" s="20" t="str">
        <f>VLOOKUP(G1203,$U$1:$V$1730,2,0)</f>
        <v>N   911 961 01</v>
      </c>
      <c r="G1203" s="40">
        <v>926672000</v>
      </c>
      <c r="H1203" s="17">
        <f>VLOOKUP(G1203,Z$2:AA$1905,2,FALSE)</f>
        <v>0.10524</v>
      </c>
      <c r="I1203" s="20"/>
      <c r="J1203" s="17">
        <f>VLOOKUP(G1203,W$2:X$1905,2,FALSE)</f>
        <v>100</v>
      </c>
      <c r="K1203" s="17">
        <f>I1203/J1203</f>
        <v>0</v>
      </c>
      <c r="L1203" s="22">
        <v>16</v>
      </c>
      <c r="M1203" s="22">
        <v>48</v>
      </c>
      <c r="N1203" s="22" t="s">
        <v>342</v>
      </c>
      <c r="O1203" s="22">
        <f>VLOOKUP(N1203,$AL$1285:$AM$1310,2,FALSE)</f>
        <v>0</v>
      </c>
      <c r="P1203" s="22">
        <f>VLOOKUP(N1203,AC$2:AD$1905,2,FALSE)</f>
        <v>51</v>
      </c>
      <c r="Q1203" s="22"/>
      <c r="R1203" s="23" t="s">
        <v>153</v>
      </c>
      <c r="S1203" s="22">
        <f>VLOOKUP(R1203,AC$2:AD$1905,2,FALSE)</f>
        <v>0.56999999999999995</v>
      </c>
      <c r="T1203" s="24">
        <f>(H1203*I1203)+P1203*Q1203+S1203*K1203</f>
        <v>0</v>
      </c>
      <c r="U1203" s="25" t="str">
        <f>IF(TRIM(N1203&amp;"")="111444",
    IF(ROUNDUP(MAX(0,K1203-(MAX(1,Q1203)-1)*10)/10,0)=1,3,2),
    IF(TRIM(N1203&amp;"")="VWPAL",
        IF(TRIM(R1203&amp;"")="004147",1,2),
        ""
    )
)</f>
        <v/>
      </c>
      <c r="V1203" s="26" t="str">
        <f>IF(OR(TRIM(N1203&amp;"")="111444",TRIM(N1203&amp;"")="VWPAL"),
    IF(K1203&lt;=0,"",
        IF(
            MIN(3,ROUNDUP(MAX(0,K1203-(MAX(1,Q1203)-1)*IF(TRIM(N1203&amp;"")="111444",10,20))/IF(TRIM(N1203&amp;"")="111444",10,20),0))=1,
            300,
            IF(
                MIN(3,ROUNDUP(MAX(0,K1203-(MAX(1,Q1203)-1)*IF(TRIM(N1203&amp;"")="111444",10,20))/IF(TRIM(N1203&amp;"")="111444",10,20),0))=2,
                450,
                600
            )
        )
    ),
    ""
)</f>
        <v/>
      </c>
      <c r="X1203" s="16">
        <v>3000355292</v>
      </c>
    </row>
    <row r="1204" spans="1:24" ht="48.2" customHeight="1" x14ac:dyDescent="0.25">
      <c r="A1204" s="17"/>
      <c r="B1204" s="17"/>
      <c r="C1204" s="18"/>
      <c r="D1204" s="17"/>
      <c r="E1204" s="19"/>
      <c r="F1204" s="20"/>
      <c r="G1204" s="40"/>
      <c r="H1204" s="17"/>
      <c r="I1204" s="20"/>
      <c r="J1204" s="17"/>
      <c r="K1204" s="17"/>
      <c r="L1204" s="22"/>
      <c r="M1204" s="22"/>
      <c r="N1204" s="22"/>
      <c r="O1204" s="22"/>
      <c r="P1204" s="22"/>
      <c r="Q1204" s="22"/>
      <c r="R1204" s="23"/>
      <c r="S1204" s="22"/>
      <c r="T1204" s="24"/>
      <c r="U1204" s="25"/>
      <c r="X1204" s="16">
        <v>3000347451</v>
      </c>
    </row>
    <row r="1205" spans="1:24" ht="48.2" customHeight="1" x14ac:dyDescent="0.25">
      <c r="A1205" s="17" t="str">
        <f>VLOOKUP(C1205,[1]Werke!$A$1:$C$168,3,0)</f>
        <v>W2</v>
      </c>
      <c r="B1205" s="17" t="str">
        <f>VLOOKUP(C1205,[1]Werke!$A$1:$C$168,2,0)</f>
        <v>UPSOR</v>
      </c>
      <c r="C1205" s="18" t="s">
        <v>343</v>
      </c>
      <c r="D1205" s="17" t="str">
        <f>VLOOKUP(C1205,[1]Maliteslimalan!$A$1:$B$210,2,0)</f>
        <v>8000013657</v>
      </c>
      <c r="E1205" s="19">
        <f>VLOOKUP(C1205,[1]Bestellnr.!$A$1:$B$174,2,0)</f>
        <v>0</v>
      </c>
      <c r="F1205" s="20" t="str">
        <f>VLOOKUP(G1205,$U$1:$V$1730,2,0)</f>
        <v>N   912 184 01</v>
      </c>
      <c r="G1205" s="27">
        <v>970695000</v>
      </c>
      <c r="H1205" s="17">
        <f>VLOOKUP(G1205,Z$2:AA$1905,2,FALSE)</f>
        <v>1.7250000000000001E-2</v>
      </c>
      <c r="I1205" s="20"/>
      <c r="J1205" s="17">
        <f>VLOOKUP(G1205,W$2:X$1905,2,FALSE)</f>
        <v>800</v>
      </c>
      <c r="K1205" s="17">
        <f>I1205/J1205</f>
        <v>0</v>
      </c>
      <c r="L1205" s="22">
        <v>16</v>
      </c>
      <c r="M1205" s="22">
        <v>48</v>
      </c>
      <c r="N1205" s="22" t="s">
        <v>342</v>
      </c>
      <c r="O1205" s="22">
        <f>VLOOKUP(N1205,$AL$1285:$AM$1310,2,FALSE)</f>
        <v>0</v>
      </c>
      <c r="P1205" s="22">
        <f>VLOOKUP(N1205,AC$2:AD$1905,2,FALSE)</f>
        <v>51</v>
      </c>
      <c r="Q1205" s="22"/>
      <c r="R1205" s="23" t="s">
        <v>153</v>
      </c>
      <c r="S1205" s="22">
        <f>VLOOKUP(R1205,AC$2:AD$1905,2,FALSE)</f>
        <v>0.56999999999999995</v>
      </c>
      <c r="T1205" s="24">
        <f>(H1205*I1205)+P1205*Q1205+S1205*K1205</f>
        <v>0</v>
      </c>
      <c r="U1205" s="25" t="str">
        <f>IF(TRIM(N1205&amp;"")="111444",
    IF(ROUNDUP(MAX(0,K1205-(MAX(1,Q1205)-1)*10)/10,0)=1,3,2),
    IF(TRIM(N1205&amp;"")="VWPAL",
        IF(TRIM(R1205&amp;"")="004147",1,2),
        ""
    )
)</f>
        <v/>
      </c>
      <c r="V1205" s="26" t="str">
        <f>IF(OR(TRIM(N1205&amp;"")="111444",TRIM(N1205&amp;"")="VWPAL"),
    IF(K1205&lt;=0,"",
        IF(
            MIN(3,ROUNDUP(MAX(0,K1205-(MAX(1,Q1205)-1)*IF(TRIM(N1205&amp;"")="111444",10,20))/IF(TRIM(N1205&amp;"")="111444",10,20),0))=1,
            300,
            IF(
                MIN(3,ROUNDUP(MAX(0,K1205-(MAX(1,Q1205)-1)*IF(TRIM(N1205&amp;"")="111444",10,20))/IF(TRIM(N1205&amp;"")="111444",10,20),0))=2,
                450,
                600
            )
        )
    ),
    ""
)</f>
        <v/>
      </c>
    </row>
    <row r="1206" spans="1:24" ht="48.2" customHeight="1" x14ac:dyDescent="0.25">
      <c r="A1206" s="17"/>
      <c r="B1206" s="17"/>
      <c r="C1206" s="18"/>
      <c r="D1206" s="17"/>
      <c r="E1206" s="19"/>
      <c r="F1206" s="20"/>
      <c r="G1206" s="27"/>
      <c r="H1206" s="17"/>
      <c r="I1206" s="20"/>
      <c r="J1206" s="17"/>
      <c r="K1206" s="17"/>
      <c r="L1206" s="22"/>
      <c r="M1206" s="22"/>
      <c r="N1206" s="22"/>
      <c r="O1206" s="22"/>
      <c r="P1206" s="22"/>
      <c r="Q1206" s="22"/>
      <c r="R1206" s="23"/>
      <c r="S1206" s="22"/>
      <c r="T1206" s="24"/>
      <c r="U1206" s="25"/>
    </row>
    <row r="1207" spans="1:24" ht="48.2" customHeight="1" x14ac:dyDescent="0.25">
      <c r="A1207" s="17" t="str">
        <f>VLOOKUP(C1207,[1]Werke!$A$1:$C$168,3,0)</f>
        <v>B9</v>
      </c>
      <c r="B1207" s="17" t="str">
        <f>VLOOKUP(C1207,[1]Werke!$A$1:$C$168,2,0)</f>
        <v>BAU90</v>
      </c>
      <c r="C1207" s="18" t="s">
        <v>341</v>
      </c>
      <c r="D1207" s="17" t="str">
        <f>VLOOKUP(C1207,[1]Maliteslimalan!$A$1:$B$210,2,0)</f>
        <v>8000012552</v>
      </c>
      <c r="E1207" s="19">
        <f>VLOOKUP(C1207,[1]Bestellnr.!$A$1:$B$174,2,0)</f>
        <v>0</v>
      </c>
      <c r="F1207" s="20" t="str">
        <f>VLOOKUP(G1207,$U$1:$V$1730,2,0)</f>
        <v>N   912 280 01</v>
      </c>
      <c r="G1207" s="37">
        <v>936769000</v>
      </c>
      <c r="H1207" s="17">
        <f>VLOOKUP(G1207,Z$2:AA$1905,2,FALSE)</f>
        <v>0.22858000000000001</v>
      </c>
      <c r="I1207" s="20"/>
      <c r="J1207" s="17">
        <v>40</v>
      </c>
      <c r="K1207" s="17">
        <f>I1207/J1207</f>
        <v>0</v>
      </c>
      <c r="L1207" s="22">
        <v>16</v>
      </c>
      <c r="M1207" s="22">
        <v>48</v>
      </c>
      <c r="N1207" s="22" t="s">
        <v>342</v>
      </c>
      <c r="O1207" s="22">
        <f>VLOOKUP(N1207,$AL$1285:$AM$1310,2,FALSE)</f>
        <v>0</v>
      </c>
      <c r="P1207" s="22">
        <f>VLOOKUP(N1207,AC$2:AD$1905,2,FALSE)</f>
        <v>51</v>
      </c>
      <c r="Q1207" s="22"/>
      <c r="R1207" s="23" t="s">
        <v>153</v>
      </c>
      <c r="S1207" s="22">
        <f>VLOOKUP(R1207,AC$2:AD$1905,2,FALSE)</f>
        <v>0.56999999999999995</v>
      </c>
      <c r="T1207" s="24">
        <f>(H1207*I1207)+P1207*Q1207+S1207*K1207</f>
        <v>0</v>
      </c>
      <c r="U1207" s="25" t="str">
        <f>IF(TRIM(N1207&amp;"")="111444",
    IF(ROUNDUP(MAX(0,K1207-(MAX(1,Q1207)-1)*10)/10,0)=1,3,2),
    IF(TRIM(N1207&amp;"")="VWPAL",
        IF(TRIM(R1207&amp;"")="004147",1,2),
        ""
    )
)</f>
        <v/>
      </c>
      <c r="V1207" s="26" t="str">
        <f>IF(OR(TRIM(N1207&amp;"")="111444",TRIM(N1207&amp;"")="VWPAL"),
    IF(K1207&lt;=0,"",
        IF(
            MIN(3,ROUNDUP(MAX(0,K1207-(MAX(1,Q1207)-1)*IF(TRIM(N1207&amp;"")="111444",10,20))/IF(TRIM(N1207&amp;"")="111444",10,20),0))=1,
            300,
            IF(
                MIN(3,ROUNDUP(MAX(0,K1207-(MAX(1,Q1207)-1)*IF(TRIM(N1207&amp;"")="111444",10,20))/IF(TRIM(N1207&amp;"")="111444",10,20),0))=2,
                450,
                600
            )
        )
    ),
    ""
)</f>
        <v/>
      </c>
    </row>
    <row r="1208" spans="1:24" ht="48.2" customHeight="1" x14ac:dyDescent="0.25">
      <c r="A1208" s="17" t="str">
        <f>VLOOKUP(C1208,[1]Werke!$A$1:$C$168,3,0)</f>
        <v>L01</v>
      </c>
      <c r="B1208" s="17" t="str">
        <f>VLOOKUP(C1208,[1]Werke!$A$1:$C$168,2,0)</f>
        <v>PT02</v>
      </c>
      <c r="C1208" s="18" t="s">
        <v>345</v>
      </c>
      <c r="D1208" s="17" t="str">
        <f>VLOOKUP(C1208,[1]Maliteslimalan!$A$1:$B$210,2,0)</f>
        <v>8000012646</v>
      </c>
      <c r="E1208" s="19">
        <f>VLOOKUP(C1208,[1]Bestellnr.!$A$1:$B$174,2,0)</f>
        <v>0</v>
      </c>
      <c r="F1208" s="20" t="str">
        <f>VLOOKUP(G1208,$U$1:$V$1730,2,0)</f>
        <v>N   912 280 01</v>
      </c>
      <c r="G1208" s="37">
        <v>936769000</v>
      </c>
      <c r="H1208" s="17">
        <f>VLOOKUP(G1208,Z$2:AA$1905,2,FALSE)</f>
        <v>0.22858000000000001</v>
      </c>
      <c r="I1208" s="20"/>
      <c r="J1208" s="17">
        <v>60</v>
      </c>
      <c r="K1208" s="17">
        <f>I1208/J1208</f>
        <v>0</v>
      </c>
      <c r="L1208" s="22">
        <v>10</v>
      </c>
      <c r="M1208" s="22">
        <v>30</v>
      </c>
      <c r="N1208" s="22" t="s">
        <v>155</v>
      </c>
      <c r="O1208" s="22" t="str">
        <f>VLOOKUP(N1208,$AL$1285:$AM$1310,2,FALSE)</f>
        <v>001210</v>
      </c>
      <c r="P1208" s="22">
        <f>VLOOKUP(N1208,AC$2:AD$1905,2,FALSE)</f>
        <v>55</v>
      </c>
      <c r="Q1208" s="22"/>
      <c r="R1208" s="23" t="s">
        <v>175</v>
      </c>
      <c r="S1208" s="22">
        <f>VLOOKUP(R1208,AC$2:AD$1905,2,FALSE)</f>
        <v>1.08</v>
      </c>
      <c r="T1208" s="24">
        <f>(H1208*I1208)+P1208*Q1208+S1208*K1208</f>
        <v>0</v>
      </c>
      <c r="U1208" s="25">
        <f>IF(TRIM(N1208&amp;"")="111444",
    IF(ROUNDUP(MAX(0,K1208-(MAX(1,Q1208)-1)*10)/10,0)=1,3,2),
    IF(TRIM(N1208&amp;"")="VWPAL",
        IF(TRIM(R1208&amp;"")="004147",1,2),
        ""
    )
)</f>
        <v>1</v>
      </c>
      <c r="V1208" s="26" t="str">
        <f>IF(OR(TRIM(N1208&amp;"")="111444",TRIM(N1208&amp;"")="VWPAL"),
    IF(K1208&lt;=0,"",
        IF(
            MIN(3,ROUNDUP(MAX(0,K1208-(MAX(1,Q1208)-1)*IF(TRIM(N1208&amp;"")="111444",10,20))/IF(TRIM(N1208&amp;"")="111444",10,20),0))=1,
            300,
            IF(
                MIN(3,ROUNDUP(MAX(0,K1208-(MAX(1,Q1208)-1)*IF(TRIM(N1208&amp;"")="111444",10,20))/IF(TRIM(N1208&amp;"")="111444",10,20),0))=2,
                450,
                600
            )
        )
    ),
    ""
)</f>
        <v/>
      </c>
    </row>
    <row r="1209" spans="1:24" ht="48.2" customHeight="1" x14ac:dyDescent="0.25">
      <c r="A1209" s="17"/>
      <c r="B1209" s="17"/>
      <c r="C1209" s="18"/>
      <c r="D1209" s="17"/>
      <c r="E1209" s="19"/>
      <c r="F1209" s="20"/>
      <c r="G1209" s="37"/>
      <c r="H1209" s="17"/>
      <c r="I1209" s="20"/>
      <c r="J1209" s="17"/>
      <c r="K1209" s="17"/>
      <c r="L1209" s="22"/>
      <c r="M1209" s="22"/>
      <c r="N1209" s="22"/>
      <c r="O1209" s="22"/>
      <c r="P1209" s="22"/>
      <c r="Q1209" s="22"/>
      <c r="R1209" s="23"/>
      <c r="S1209" s="22"/>
      <c r="T1209" s="24"/>
      <c r="U1209" s="25"/>
    </row>
    <row r="1210" spans="1:24" ht="48.2" customHeight="1" x14ac:dyDescent="0.25">
      <c r="A1210" s="17" t="e">
        <f>VLOOKUP(C1210,[1]Werke!$A$1:$C$168,3,0)</f>
        <v>#N/A</v>
      </c>
      <c r="B1210" s="17" t="e">
        <f>VLOOKUP(C1210,[1]Werke!$A$1:$C$168,2,0)</f>
        <v>#N/A</v>
      </c>
      <c r="C1210" s="18" t="s">
        <v>347</v>
      </c>
      <c r="D1210" s="17" t="str">
        <f>VLOOKUP(C1210,[1]Maliteslimalan!$A$1:$B$210,2,0)</f>
        <v>8000012655</v>
      </c>
      <c r="E1210" s="19">
        <f>VLOOKUP(C1210,[1]Bestellnr.!$A$1:$B$174,2,0)</f>
        <v>0</v>
      </c>
      <c r="F1210" s="20" t="str">
        <f>VLOOKUP(G1210,$U$1:$V$1730,2,0)</f>
        <v>N   912 449 01</v>
      </c>
      <c r="G1210" s="37">
        <v>936010001</v>
      </c>
      <c r="H1210" s="17">
        <f>VLOOKUP(G1210,Z$2:AA$1905,2,FALSE)</f>
        <v>0.13452</v>
      </c>
      <c r="I1210" s="20"/>
      <c r="J1210" s="17">
        <f>VLOOKUP(G1210,W$2:X$1905,2,FALSE)</f>
        <v>90</v>
      </c>
      <c r="K1210" s="17">
        <f>I1210/J1210</f>
        <v>0</v>
      </c>
      <c r="L1210" s="22">
        <v>16</v>
      </c>
      <c r="M1210" s="22">
        <v>48</v>
      </c>
      <c r="N1210" s="22" t="s">
        <v>342</v>
      </c>
      <c r="O1210" s="22">
        <f>VLOOKUP(N1210,$AL$1285:$AM$1310,2,FALSE)</f>
        <v>0</v>
      </c>
      <c r="P1210" s="22">
        <f>VLOOKUP(N1210,AC$2:AD$1905,2,FALSE)</f>
        <v>51</v>
      </c>
      <c r="Q1210" s="22"/>
      <c r="R1210" s="23" t="s">
        <v>153</v>
      </c>
      <c r="S1210" s="22">
        <f>VLOOKUP(R1210,AC$2:AD$1905,2,FALSE)</f>
        <v>0.56999999999999995</v>
      </c>
      <c r="T1210" s="24">
        <f>(H1210*I1210)+P1210*Q1210+S1210*K1210</f>
        <v>0</v>
      </c>
      <c r="U1210" s="25" t="str">
        <f>IF(TRIM(N1210&amp;"")="111444",
    IF(ROUNDUP(MAX(0,K1210-(MAX(1,Q1210)-1)*10)/10,0)=1,3,2),
    IF(TRIM(N1210&amp;"")="VWPAL",
        IF(TRIM(R1210&amp;"")="004147",1,2),
        ""
    )
)</f>
        <v/>
      </c>
      <c r="V1210" s="26" t="str">
        <f>IF(OR(TRIM(N1210&amp;"")="111444",TRIM(N1210&amp;"")="VWPAL"),
    IF(K1210&lt;=0,"",
        IF(
            MIN(3,ROUNDUP(MAX(0,K1210-(MAX(1,Q1210)-1)*IF(TRIM(N1210&amp;"")="111444",10,20))/IF(TRIM(N1210&amp;"")="111444",10,20),0))=1,
            300,
            IF(
                MIN(3,ROUNDUP(MAX(0,K1210-(MAX(1,Q1210)-1)*IF(TRIM(N1210&amp;"")="111444",10,20))/IF(TRIM(N1210&amp;"")="111444",10,20),0))=2,
                450,
                600
            )
        )
    ),
    ""
)</f>
        <v/>
      </c>
    </row>
    <row r="1211" spans="1:24" ht="48.2" customHeight="1" x14ac:dyDescent="0.25">
      <c r="A1211" s="17" t="str">
        <f>VLOOKUP(C1211,[1]Werke!$A$1:$C$168,3,0)</f>
        <v>L01</v>
      </c>
      <c r="B1211" s="17" t="str">
        <f>VLOOKUP(C1211,[1]Werke!$A$1:$C$168,2,0)</f>
        <v>PT02</v>
      </c>
      <c r="C1211" s="18" t="s">
        <v>345</v>
      </c>
      <c r="D1211" s="17" t="str">
        <f>VLOOKUP(C1211,[1]Maliteslimalan!$A$1:$B$210,2,0)</f>
        <v>8000012646</v>
      </c>
      <c r="E1211" s="19">
        <f>VLOOKUP(C1211,[1]Bestellnr.!$A$1:$B$174,2,0)</f>
        <v>0</v>
      </c>
      <c r="F1211" s="20" t="str">
        <f>VLOOKUP(G1211,$U$1:$V$1730,2,0)</f>
        <v>N   912 449 01</v>
      </c>
      <c r="G1211" s="37">
        <v>936010001</v>
      </c>
      <c r="H1211" s="17">
        <f>VLOOKUP(G1211,Z$2:AA$1905,2,FALSE)</f>
        <v>0.13452</v>
      </c>
      <c r="I1211" s="20"/>
      <c r="J1211" s="17">
        <f>VLOOKUP(G1211,W$2:X$1905,2,FALSE)</f>
        <v>90</v>
      </c>
      <c r="K1211" s="17">
        <f>I1211/J1211</f>
        <v>0</v>
      </c>
      <c r="L1211" s="22">
        <v>20</v>
      </c>
      <c r="M1211" s="22">
        <v>20</v>
      </c>
      <c r="N1211" s="22" t="s">
        <v>155</v>
      </c>
      <c r="O1211" s="22" t="str">
        <f>VLOOKUP(N1211,$AL$1285:$AM$1310,2,FALSE)</f>
        <v>001210</v>
      </c>
      <c r="P1211" s="22">
        <f>VLOOKUP(N1211,AC$2:AD$1905,2,FALSE)</f>
        <v>55</v>
      </c>
      <c r="Q1211" s="22"/>
      <c r="R1211" s="23" t="s">
        <v>153</v>
      </c>
      <c r="S1211" s="22">
        <f>VLOOKUP(R1211,AC$2:AD$1905,2,FALSE)</f>
        <v>0.56999999999999995</v>
      </c>
      <c r="T1211" s="24">
        <f>(H1211*I1211)+P1211*Q1211+S1211*K1211</f>
        <v>0</v>
      </c>
      <c r="U1211" s="25">
        <f>IF(TRIM(N1211&amp;"")="111444",
    IF(ROUNDUP(MAX(0,K1211-(MAX(1,Q1211)-1)*10)/10,0)=1,3,2),
    IF(TRIM(N1211&amp;"")="VWPAL",
        IF(TRIM(R1211&amp;"")="004147",1,2),
        ""
    )
)</f>
        <v>2</v>
      </c>
      <c r="V1211" s="26" t="str">
        <f>IF(OR(TRIM(N1211&amp;"")="111444",TRIM(N1211&amp;"")="VWPAL"),
    IF(K1211&lt;=0,"",
        IF(
            MIN(3,ROUNDUP(MAX(0,K1211-(MAX(1,Q1211)-1)*IF(TRIM(N1211&amp;"")="111444",10,20))/IF(TRIM(N1211&amp;"")="111444",10,20),0))=1,
            300,
            IF(
                MIN(3,ROUNDUP(MAX(0,K1211-(MAX(1,Q1211)-1)*IF(TRIM(N1211&amp;"")="111444",10,20))/IF(TRIM(N1211&amp;"")="111444",10,20),0))=2,
                450,
                600
            )
        )
    ),
    ""
)</f>
        <v/>
      </c>
    </row>
    <row r="1212" spans="1:24" ht="48.2" customHeight="1" x14ac:dyDescent="0.25">
      <c r="A1212" s="17"/>
      <c r="B1212" s="17"/>
      <c r="C1212" s="18"/>
      <c r="D1212" s="17"/>
      <c r="E1212" s="19"/>
      <c r="F1212" s="20"/>
      <c r="G1212" s="37"/>
      <c r="H1212" s="17"/>
      <c r="I1212" s="20"/>
      <c r="J1212" s="17"/>
      <c r="K1212" s="17"/>
      <c r="L1212" s="22"/>
      <c r="M1212" s="22"/>
      <c r="N1212" s="22"/>
      <c r="O1212" s="22"/>
      <c r="P1212" s="22"/>
      <c r="Q1212" s="22"/>
      <c r="R1212" s="23"/>
      <c r="S1212" s="22"/>
      <c r="T1212" s="24"/>
      <c r="U1212" s="25"/>
    </row>
    <row r="1213" spans="1:24" ht="48.2" customHeight="1" x14ac:dyDescent="0.25">
      <c r="A1213" s="17" t="e">
        <f>VLOOKUP(C1213,[1]Werke!$A$1:$C$168,3,0)</f>
        <v>#N/A</v>
      </c>
      <c r="B1213" s="17" t="e">
        <f>VLOOKUP(C1213,[1]Werke!$A$1:$C$168,2,0)</f>
        <v>#N/A</v>
      </c>
      <c r="C1213" s="18" t="s">
        <v>347</v>
      </c>
      <c r="D1213" s="17" t="str">
        <f>VLOOKUP(C1213,[1]Maliteslimalan!$A$1:$B$210,2,0)</f>
        <v>8000012655</v>
      </c>
      <c r="E1213" s="19">
        <f>VLOOKUP(C1213,[1]Bestellnr.!$A$1:$B$174,2,0)</f>
        <v>0</v>
      </c>
      <c r="F1213" s="20" t="str">
        <f>VLOOKUP(G1213,$U$1:$V$1730,2,0)</f>
        <v>N   912 613 02</v>
      </c>
      <c r="G1213" s="37">
        <v>939495000</v>
      </c>
      <c r="H1213" s="17">
        <f>VLOOKUP(G1213,Z$2:AA$1905,2,FALSE)</f>
        <v>8.0999999999999996E-3</v>
      </c>
      <c r="I1213" s="20"/>
      <c r="J1213" s="17" t="str">
        <f>VLOOKUP(G1213,W$2:X$1905,2,FALSE)</f>
        <v>1800</v>
      </c>
      <c r="K1213" s="17">
        <f>I1213/J1213</f>
        <v>0</v>
      </c>
      <c r="L1213" s="22">
        <v>16</v>
      </c>
      <c r="M1213" s="22">
        <v>48</v>
      </c>
      <c r="N1213" s="22" t="s">
        <v>342</v>
      </c>
      <c r="O1213" s="22">
        <f>VLOOKUP(N1213,$AL$1285:$AM$1310,2,FALSE)</f>
        <v>0</v>
      </c>
      <c r="P1213" s="22">
        <f>VLOOKUP(N1213,AC$2:AD$1905,2,FALSE)</f>
        <v>51</v>
      </c>
      <c r="Q1213" s="22"/>
      <c r="R1213" s="23" t="s">
        <v>153</v>
      </c>
      <c r="S1213" s="22">
        <f>VLOOKUP(R1213,AC$2:AD$1905,2,FALSE)</f>
        <v>0.56999999999999995</v>
      </c>
      <c r="T1213" s="24">
        <f>(H1213*I1213)+P1213*Q1213+S1213*K1213</f>
        <v>0</v>
      </c>
      <c r="U1213" s="25" t="str">
        <f>IF(TRIM(N1213&amp;"")="111444",
    IF(ROUNDUP(MAX(0,K1213-(MAX(1,Q1213)-1)*10)/10,0)=1,3,2),
    IF(TRIM(N1213&amp;"")="VWPAL",
        IF(TRIM(R1213&amp;"")="004147",1,2),
        ""
    )
)</f>
        <v/>
      </c>
      <c r="V1213" s="26" t="str">
        <f>IF(OR(TRIM(N1213&amp;"")="111444",TRIM(N1213&amp;"")="VWPAL"),
    IF(K1213&lt;=0,"",
        IF(
            MIN(3,ROUNDUP(MAX(0,K1213-(MAX(1,Q1213)-1)*IF(TRIM(N1213&amp;"")="111444",10,20))/IF(TRIM(N1213&amp;"")="111444",10,20),0))=1,
            300,
            IF(
                MIN(3,ROUNDUP(MAX(0,K1213-(MAX(1,Q1213)-1)*IF(TRIM(N1213&amp;"")="111444",10,20))/IF(TRIM(N1213&amp;"")="111444",10,20),0))=2,
                450,
                600
            )
        )
    ),
    ""
)</f>
        <v/>
      </c>
    </row>
    <row r="1214" spans="1:24" ht="48.2" customHeight="1" x14ac:dyDescent="0.25">
      <c r="A1214" s="17" t="str">
        <f>VLOOKUP(C1214,[1]Werke!$A$1:$C$168,3,0)</f>
        <v>W2</v>
      </c>
      <c r="B1214" s="17" t="str">
        <f>VLOOKUP(C1214,[1]Werke!$A$1:$C$168,2,0)</f>
        <v>UPSOR</v>
      </c>
      <c r="C1214" s="18" t="s">
        <v>343</v>
      </c>
      <c r="D1214" s="17" t="str">
        <f>VLOOKUP(C1214,[1]Maliteslimalan!$A$1:$B$210,2,0)</f>
        <v>8000013657</v>
      </c>
      <c r="E1214" s="19">
        <f>VLOOKUP(C1214,[1]Bestellnr.!$A$1:$B$174,2,0)</f>
        <v>0</v>
      </c>
      <c r="F1214" s="20" t="str">
        <f>VLOOKUP(G1214,$U$1:$V$1730,2,0)</f>
        <v>N   912 613 02</v>
      </c>
      <c r="G1214" s="37">
        <v>939495000</v>
      </c>
      <c r="H1214" s="17">
        <f>VLOOKUP(G1214,Z$2:AA$1905,2,FALSE)</f>
        <v>8.0999999999999996E-3</v>
      </c>
      <c r="I1214" s="20"/>
      <c r="J1214" s="17" t="str">
        <f>VLOOKUP(G1214,W$2:X$1905,2,FALSE)</f>
        <v>1800</v>
      </c>
      <c r="K1214" s="17">
        <f>I1214/J1214</f>
        <v>0</v>
      </c>
      <c r="L1214" s="22">
        <v>16</v>
      </c>
      <c r="M1214" s="22">
        <v>48</v>
      </c>
      <c r="N1214" s="22" t="s">
        <v>342</v>
      </c>
      <c r="O1214" s="22">
        <f>VLOOKUP(N1214,$AL$1285:$AM$1310,2,FALSE)</f>
        <v>0</v>
      </c>
      <c r="P1214" s="22">
        <f>VLOOKUP(N1214,AC$2:AD$1905,2,FALSE)</f>
        <v>51</v>
      </c>
      <c r="Q1214" s="22"/>
      <c r="R1214" s="23" t="s">
        <v>153</v>
      </c>
      <c r="S1214" s="22">
        <f>VLOOKUP(R1214,AC$2:AD$1905,2,FALSE)</f>
        <v>0.56999999999999995</v>
      </c>
      <c r="T1214" s="24">
        <f>(H1214*I1214)+P1214*Q1214+S1214*K1214</f>
        <v>0</v>
      </c>
      <c r="U1214" s="25" t="str">
        <f>IF(TRIM(N1214&amp;"")="111444",
    IF(ROUNDUP(MAX(0,K1214-(MAX(1,Q1214)-1)*10)/10,0)=1,3,2),
    IF(TRIM(N1214&amp;"")="VWPAL",
        IF(TRIM(R1214&amp;"")="004147",1,2),
        ""
    )
)</f>
        <v/>
      </c>
      <c r="V1214" s="26" t="str">
        <f>IF(OR(TRIM(N1214&amp;"")="111444",TRIM(N1214&amp;"")="VWPAL"),
    IF(K1214&lt;=0,"",
        IF(
            MIN(3,ROUNDUP(MAX(0,K1214-(MAX(1,Q1214)-1)*IF(TRIM(N1214&amp;"")="111444",10,20))/IF(TRIM(N1214&amp;"")="111444",10,20),0))=1,
            300,
            IF(
                MIN(3,ROUNDUP(MAX(0,K1214-(MAX(1,Q1214)-1)*IF(TRIM(N1214&amp;"")="111444",10,20))/IF(TRIM(N1214&amp;"")="111444",10,20),0))=2,
                450,
                600
            )
        )
    ),
    ""
)</f>
        <v/>
      </c>
    </row>
    <row r="1215" spans="1:24" ht="48.2" customHeight="1" x14ac:dyDescent="0.25">
      <c r="A1215" s="17"/>
      <c r="B1215" s="17"/>
      <c r="C1215" s="18"/>
      <c r="D1215" s="17"/>
      <c r="E1215" s="19"/>
      <c r="F1215" s="20"/>
      <c r="G1215" s="37"/>
      <c r="H1215" s="17"/>
      <c r="I1215" s="20"/>
      <c r="J1215" s="17"/>
      <c r="K1215" s="17"/>
      <c r="L1215" s="22"/>
      <c r="M1215" s="22"/>
      <c r="N1215" s="22"/>
      <c r="O1215" s="22"/>
      <c r="P1215" s="22"/>
      <c r="Q1215" s="22"/>
      <c r="R1215" s="23"/>
      <c r="S1215" s="22"/>
      <c r="T1215" s="24"/>
      <c r="U1215" s="25"/>
    </row>
    <row r="1216" spans="1:24" ht="48.2" customHeight="1" x14ac:dyDescent="0.25">
      <c r="A1216" s="17" t="str">
        <f>VLOOKUP(C1216,[1]Werke!$A$1:$C$168,3,0)</f>
        <v>W2</v>
      </c>
      <c r="B1216" s="17" t="str">
        <f>VLOOKUP(C1216,[1]Werke!$A$1:$C$168,2,0)</f>
        <v>UPSOR</v>
      </c>
      <c r="C1216" s="18" t="s">
        <v>343</v>
      </c>
      <c r="D1216" s="17" t="str">
        <f>VLOOKUP(C1216,[1]Maliteslimalan!$A$1:$B$210,2,0)</f>
        <v>8000013657</v>
      </c>
      <c r="E1216" s="19">
        <f>VLOOKUP(C1216,[1]Bestellnr.!$A$1:$B$174,2,0)</f>
        <v>0</v>
      </c>
      <c r="F1216" s="20" t="str">
        <f>VLOOKUP(G1216,$U$1:$V$1730,2,0)</f>
        <v>N   912 616 01</v>
      </c>
      <c r="G1216" s="37">
        <v>969196000</v>
      </c>
      <c r="H1216" s="17">
        <f>VLOOKUP(G1216,Z$2:AA$1905,2,FALSE)</f>
        <v>5.7000000000000002E-3</v>
      </c>
      <c r="I1216" s="20"/>
      <c r="J1216" s="17">
        <f>VLOOKUP(G1216,W$2:X$1905,2,FALSE)</f>
        <v>2000</v>
      </c>
      <c r="K1216" s="17">
        <f>I1216/J1216</f>
        <v>0</v>
      </c>
      <c r="L1216" s="22">
        <v>16</v>
      </c>
      <c r="M1216" s="22">
        <v>48</v>
      </c>
      <c r="N1216" s="22" t="s">
        <v>342</v>
      </c>
      <c r="O1216" s="22">
        <f>VLOOKUP(N1216,$AL$1285:$AM$1310,2,FALSE)</f>
        <v>0</v>
      </c>
      <c r="P1216" s="22">
        <f>VLOOKUP(N1216,AC$2:AD$1905,2,FALSE)</f>
        <v>51</v>
      </c>
      <c r="Q1216" s="22"/>
      <c r="R1216" s="23" t="s">
        <v>153</v>
      </c>
      <c r="S1216" s="22">
        <f>VLOOKUP(R1216,AC$2:AD$1905,2,FALSE)</f>
        <v>0.56999999999999995</v>
      </c>
      <c r="T1216" s="24">
        <f>(H1216*I1216)+P1216*Q1216+S1216*K1216</f>
        <v>0</v>
      </c>
      <c r="U1216" s="25" t="str">
        <f>IF(TRIM(N1216&amp;"")="111444",
    IF(ROUNDUP(MAX(0,K1216-(MAX(1,Q1216)-1)*10)/10,0)=1,3,2),
    IF(TRIM(N1216&amp;"")="VWPAL",
        IF(TRIM(R1216&amp;"")="004147",1,2),
        ""
    )
)</f>
        <v/>
      </c>
      <c r="V1216" s="26" t="str">
        <f>IF(OR(TRIM(N1216&amp;"")="111444",TRIM(N1216&amp;"")="VWPAL"),
    IF(K1216&lt;=0,"",
        IF(
            MIN(3,ROUNDUP(MAX(0,K1216-(MAX(1,Q1216)-1)*IF(TRIM(N1216&amp;"")="111444",10,20))/IF(TRIM(N1216&amp;"")="111444",10,20),0))=1,
            300,
            IF(
                MIN(3,ROUNDUP(MAX(0,K1216-(MAX(1,Q1216)-1)*IF(TRIM(N1216&amp;"")="111444",10,20))/IF(TRIM(N1216&amp;"")="111444",10,20),0))=2,
                450,
                600
            )
        )
    ),
    ""
)</f>
        <v/>
      </c>
    </row>
    <row r="1217" spans="1:22" ht="48.2" customHeight="1" x14ac:dyDescent="0.25">
      <c r="A1217" s="17"/>
      <c r="B1217" s="17"/>
      <c r="C1217" s="18"/>
      <c r="D1217" s="17"/>
      <c r="E1217" s="19"/>
      <c r="F1217" s="20"/>
      <c r="G1217" s="37"/>
      <c r="H1217" s="17"/>
      <c r="I1217" s="20"/>
      <c r="J1217" s="17"/>
      <c r="K1217" s="17"/>
      <c r="L1217" s="22"/>
      <c r="M1217" s="22"/>
      <c r="N1217" s="22"/>
      <c r="O1217" s="22"/>
      <c r="P1217" s="22"/>
      <c r="Q1217" s="22"/>
      <c r="R1217" s="23"/>
      <c r="S1217" s="22"/>
      <c r="T1217" s="24"/>
      <c r="U1217" s="25"/>
    </row>
    <row r="1218" spans="1:22" ht="48.2" customHeight="1" x14ac:dyDescent="0.25">
      <c r="A1218" s="17" t="str">
        <f>VLOOKUP(C1218,[1]Werke!$A$1:$C$168,3,0)</f>
        <v>L01</v>
      </c>
      <c r="B1218" s="17" t="str">
        <f>VLOOKUP(C1218,[1]Werke!$A$1:$C$168,2,0)</f>
        <v>KXG</v>
      </c>
      <c r="C1218" s="18" t="s">
        <v>346</v>
      </c>
      <c r="D1218" s="17" t="str">
        <f>VLOOKUP(C1218,[1]Maliteslimalan!$A$1:$B$210,2,0)</f>
        <v>8000012787</v>
      </c>
      <c r="E1218" s="19">
        <f>VLOOKUP(C1218,[1]Bestellnr.!$A$1:$B$174,2,0)</f>
        <v>0</v>
      </c>
      <c r="F1218" s="20" t="str">
        <f>VLOOKUP(G1218,$U$1:$V$1730,2,0)</f>
        <v>N   912 637 01</v>
      </c>
      <c r="G1218" s="37">
        <v>936809000</v>
      </c>
      <c r="H1218" s="17">
        <f>VLOOKUP(G1218,Z$2:AA$1905,2,FALSE)</f>
        <v>1.865E-2</v>
      </c>
      <c r="I1218" s="20"/>
      <c r="J1218" s="17">
        <f>VLOOKUP(G1218,W$2:X$1905,2,FALSE)</f>
        <v>700</v>
      </c>
      <c r="K1218" s="17">
        <f>I1218/J1218</f>
        <v>0</v>
      </c>
      <c r="L1218" s="22">
        <v>20</v>
      </c>
      <c r="M1218" s="22">
        <v>60</v>
      </c>
      <c r="N1218" s="22" t="s">
        <v>155</v>
      </c>
      <c r="O1218" s="22" t="str">
        <f>VLOOKUP(N1218,$AL$1285:$AM$1310,2,FALSE)</f>
        <v>001210</v>
      </c>
      <c r="P1218" s="22">
        <f>VLOOKUP(N1218,AC$2:AD$1905,2,FALSE)</f>
        <v>55</v>
      </c>
      <c r="Q1218" s="22"/>
      <c r="R1218" s="23" t="s">
        <v>153</v>
      </c>
      <c r="S1218" s="22">
        <f>VLOOKUP(R1218,AC$2:AD$1905,2,FALSE)</f>
        <v>0.56999999999999995</v>
      </c>
      <c r="T1218" s="24">
        <f>(H1218*I1218)+P1218*Q1218+S1218*K1218</f>
        <v>0</v>
      </c>
      <c r="U1218" s="25">
        <f>IF(TRIM(N1218&amp;"")="111444",
    IF(ROUNDUP(MAX(0,K1218-(MAX(1,Q1218)-1)*10)/10,0)=1,3,2),
    IF(TRIM(N1218&amp;"")="VWPAL",
        IF(TRIM(R1218&amp;"")="004147",1,2),
        ""
    )
)</f>
        <v>2</v>
      </c>
      <c r="V1218" s="26" t="str">
        <f>IF(OR(TRIM(N1218&amp;"")="111444",TRIM(N1218&amp;"")="VWPAL"),
    IF(K1218&lt;=0,"",
        IF(
            MIN(3,ROUNDUP(MAX(0,K1218-(MAX(1,Q1218)-1)*IF(TRIM(N1218&amp;"")="111444",10,20))/IF(TRIM(N1218&amp;"")="111444",10,20),0))=1,
            300,
            IF(
                MIN(3,ROUNDUP(MAX(0,K1218-(MAX(1,Q1218)-1)*IF(TRIM(N1218&amp;"")="111444",10,20))/IF(TRIM(N1218&amp;"")="111444",10,20),0))=2,
                450,
                600
            )
        )
    ),
    ""
)</f>
        <v/>
      </c>
    </row>
    <row r="1219" spans="1:22" ht="48.2" customHeight="1" x14ac:dyDescent="0.25">
      <c r="A1219" s="17" t="str">
        <f>VLOOKUP(C1219,[1]Werke!$A$1:$C$168,3,0)</f>
        <v>B9</v>
      </c>
      <c r="B1219" s="17" t="str">
        <f>VLOOKUP(C1219,[1]Werke!$A$1:$C$168,2,0)</f>
        <v>BAU90</v>
      </c>
      <c r="C1219" s="18" t="s">
        <v>341</v>
      </c>
      <c r="D1219" s="17" t="str">
        <f>VLOOKUP(C1219,[1]Maliteslimalan!$A$1:$B$210,2,0)</f>
        <v>8000012552</v>
      </c>
      <c r="E1219" s="19">
        <f>VLOOKUP(C1219,[1]Bestellnr.!$A$1:$B$174,2,0)</f>
        <v>0</v>
      </c>
      <c r="F1219" s="20" t="str">
        <f>VLOOKUP(G1219,$U$1:$V$1730,2,0)</f>
        <v>N   912 637 01</v>
      </c>
      <c r="G1219" s="37">
        <v>936809000</v>
      </c>
      <c r="H1219" s="17">
        <f>VLOOKUP(G1219,Z$2:AA$1905,2,FALSE)</f>
        <v>1.865E-2</v>
      </c>
      <c r="I1219" s="20"/>
      <c r="J1219" s="17">
        <f>VLOOKUP(G1219,W$2:X$1905,2,FALSE)</f>
        <v>700</v>
      </c>
      <c r="K1219" s="17">
        <f>I1219/J1219</f>
        <v>0</v>
      </c>
      <c r="L1219" s="22">
        <v>16</v>
      </c>
      <c r="M1219" s="22">
        <v>48</v>
      </c>
      <c r="N1219" s="22" t="s">
        <v>342</v>
      </c>
      <c r="O1219" s="22">
        <f>VLOOKUP(N1219,$AL$1285:$AM$1310,2,FALSE)</f>
        <v>0</v>
      </c>
      <c r="P1219" s="22">
        <f>VLOOKUP(N1219,AC$2:AD$1905,2,FALSE)</f>
        <v>51</v>
      </c>
      <c r="Q1219" s="22"/>
      <c r="R1219" s="23" t="s">
        <v>153</v>
      </c>
      <c r="S1219" s="22">
        <f>VLOOKUP(R1219,AC$2:AD$1905,2,FALSE)</f>
        <v>0.56999999999999995</v>
      </c>
      <c r="T1219" s="24">
        <f>(H1219*I1219)+P1219*Q1219+S1219*K1219</f>
        <v>0</v>
      </c>
      <c r="U1219" s="25" t="str">
        <f>IF(TRIM(N1219&amp;"")="111444",
    IF(ROUNDUP(MAX(0,K1219-(MAX(1,Q1219)-1)*10)/10,0)=1,3,2),
    IF(TRIM(N1219&amp;"")="VWPAL",
        IF(TRIM(R1219&amp;"")="004147",1,2),
        ""
    )
)</f>
        <v/>
      </c>
      <c r="V1219" s="26" t="str">
        <f>IF(OR(TRIM(N1219&amp;"")="111444",TRIM(N1219&amp;"")="VWPAL"),
    IF(K1219&lt;=0,"",
        IF(
            MIN(3,ROUNDUP(MAX(0,K1219-(MAX(1,Q1219)-1)*IF(TRIM(N1219&amp;"")="111444",10,20))/IF(TRIM(N1219&amp;"")="111444",10,20),0))=1,
            300,
            IF(
                MIN(3,ROUNDUP(MAX(0,K1219-(MAX(1,Q1219)-1)*IF(TRIM(N1219&amp;"")="111444",10,20))/IF(TRIM(N1219&amp;"")="111444",10,20),0))=2,
                450,
                600
            )
        )
    ),
    ""
)</f>
        <v/>
      </c>
    </row>
    <row r="1220" spans="1:22" ht="48.2" customHeight="1" x14ac:dyDescent="0.25">
      <c r="A1220" s="17"/>
      <c r="B1220" s="17"/>
      <c r="C1220" s="18"/>
      <c r="D1220" s="17"/>
      <c r="E1220" s="19"/>
      <c r="F1220" s="20"/>
      <c r="G1220" s="37"/>
      <c r="H1220" s="17"/>
      <c r="I1220" s="20"/>
      <c r="J1220" s="17"/>
      <c r="K1220" s="17"/>
      <c r="L1220" s="22"/>
      <c r="M1220" s="22"/>
      <c r="N1220" s="22"/>
      <c r="O1220" s="22"/>
      <c r="P1220" s="22"/>
      <c r="Q1220" s="22"/>
      <c r="R1220" s="23"/>
      <c r="S1220" s="22"/>
      <c r="T1220" s="24"/>
      <c r="U1220" s="25"/>
    </row>
    <row r="1221" spans="1:22" ht="48.2" customHeight="1" x14ac:dyDescent="0.25">
      <c r="A1221" s="17" t="str">
        <f>VLOOKUP(C1221,[1]Werke!$A$1:$C$168,3,0)</f>
        <v>W2</v>
      </c>
      <c r="B1221" s="17" t="str">
        <f>VLOOKUP(C1221,[1]Werke!$A$1:$C$168,2,0)</f>
        <v>UPSOR</v>
      </c>
      <c r="C1221" s="18" t="s">
        <v>343</v>
      </c>
      <c r="D1221" s="17" t="str">
        <f>VLOOKUP(C1221,[1]Maliteslimalan!$A$1:$B$210,2,0)</f>
        <v>8000013657</v>
      </c>
      <c r="E1221" s="19">
        <f>VLOOKUP(C1221,[1]Bestellnr.!$A$1:$B$174,2,0)</f>
        <v>0</v>
      </c>
      <c r="F1221" s="20" t="str">
        <f>VLOOKUP(G1221,$U$1:$V$1730,2,0)</f>
        <v>N   913 012 01</v>
      </c>
      <c r="G1221" s="38">
        <v>100449600</v>
      </c>
      <c r="H1221" s="17">
        <f>VLOOKUP(G1221,Z$2:AA$1905,2,FALSE)</f>
        <v>3.7499999999999999E-2</v>
      </c>
      <c r="I1221" s="20"/>
      <c r="J1221" s="17" t="str">
        <f>VLOOKUP(G1221,W$2:X$1905,2,FALSE)</f>
        <v>250</v>
      </c>
      <c r="K1221" s="17">
        <f>I1221/J1221</f>
        <v>0</v>
      </c>
      <c r="L1221" s="22">
        <v>16</v>
      </c>
      <c r="M1221" s="22">
        <v>48</v>
      </c>
      <c r="N1221" s="22" t="s">
        <v>342</v>
      </c>
      <c r="O1221" s="22">
        <f>VLOOKUP(N1221,$AL$1285:$AM$1310,2,FALSE)</f>
        <v>0</v>
      </c>
      <c r="P1221" s="22">
        <f>VLOOKUP(N1221,AC$2:AD$1905,2,FALSE)</f>
        <v>51</v>
      </c>
      <c r="Q1221" s="22"/>
      <c r="R1221" s="23" t="s">
        <v>153</v>
      </c>
      <c r="S1221" s="22">
        <f>VLOOKUP(R1221,AC$2:AD$1905,2,FALSE)</f>
        <v>0.56999999999999995</v>
      </c>
      <c r="T1221" s="24">
        <f>(H1221*I1221)+P1221*Q1221+S1221*K1221</f>
        <v>0</v>
      </c>
      <c r="U1221" s="25" t="str">
        <f>IF(TRIM(N1221&amp;"")="111444",
    IF(ROUNDUP(MAX(0,K1221-(MAX(1,Q1221)-1)*10)/10,0)=1,3,2),
    IF(TRIM(N1221&amp;"")="VWPAL",
        IF(TRIM(R1221&amp;"")="004147",1,2),
        ""
    )
)</f>
        <v/>
      </c>
      <c r="V1221" s="26" t="str">
        <f>IF(OR(TRIM(N1221&amp;"")="111444",TRIM(N1221&amp;"")="VWPAL"),
    IF(K1221&lt;=0,"",
        IF(
            MIN(3,ROUNDUP(MAX(0,K1221-(MAX(1,Q1221)-1)*IF(TRIM(N1221&amp;"")="111444",10,20))/IF(TRIM(N1221&amp;"")="111444",10,20),0))=1,
            300,
            IF(
                MIN(3,ROUNDUP(MAX(0,K1221-(MAX(1,Q1221)-1)*IF(TRIM(N1221&amp;"")="111444",10,20))/IF(TRIM(N1221&amp;"")="111444",10,20),0))=2,
                450,
                600
            )
        )
    ),
    ""
)</f>
        <v/>
      </c>
    </row>
    <row r="1222" spans="1:22" ht="48.2" customHeight="1" x14ac:dyDescent="0.25">
      <c r="A1222" s="17"/>
      <c r="B1222" s="17"/>
      <c r="C1222" s="18"/>
      <c r="D1222" s="17"/>
      <c r="E1222" s="19"/>
      <c r="F1222" s="20"/>
      <c r="G1222" s="38"/>
      <c r="H1222" s="17"/>
      <c r="I1222" s="20"/>
      <c r="J1222" s="17"/>
      <c r="K1222" s="17"/>
      <c r="L1222" s="22"/>
      <c r="M1222" s="22"/>
      <c r="N1222" s="22"/>
      <c r="O1222" s="22"/>
      <c r="P1222" s="22"/>
      <c r="Q1222" s="22"/>
      <c r="R1222" s="23"/>
      <c r="S1222" s="22"/>
      <c r="T1222" s="24"/>
      <c r="U1222" s="25"/>
    </row>
    <row r="1223" spans="1:22" ht="48.2" customHeight="1" x14ac:dyDescent="0.25">
      <c r="A1223" s="17" t="str">
        <f>VLOOKUP(C1223,[1]Werke!$A$1:$C$168,3,0)</f>
        <v>L01</v>
      </c>
      <c r="B1223" s="17" t="str">
        <f>VLOOKUP(C1223,[1]Werke!$A$1:$C$168,2,0)</f>
        <v>ACHG</v>
      </c>
      <c r="C1223" s="18" t="s">
        <v>344</v>
      </c>
      <c r="D1223" s="17">
        <f>VLOOKUP(C1223,[1]Maliteslimalan!$A$1:$B$210,2,0)</f>
        <v>8000012832</v>
      </c>
      <c r="E1223" s="19">
        <v>6</v>
      </c>
      <c r="F1223" s="20" t="str">
        <f t="shared" ref="F1223:F1228" si="571">VLOOKUP(G1223,$U$1:$V$1730,2,0)</f>
        <v>WHT 009 642</v>
      </c>
      <c r="G1223" s="39">
        <v>100197700</v>
      </c>
      <c r="H1223" s="17">
        <f t="shared" ref="H1223:H1228" si="572">VLOOKUP(G1223,Z$2:AA$1905,2,FALSE)</f>
        <v>9.0469999999999995E-2</v>
      </c>
      <c r="I1223" s="20"/>
      <c r="J1223" s="17">
        <f t="shared" ref="J1223:J1228" si="573">VLOOKUP(G1223,W$2:X$1905,2,FALSE)</f>
        <v>100</v>
      </c>
      <c r="K1223" s="17">
        <f t="shared" ref="K1223:K1228" si="574">I1223/J1223</f>
        <v>0</v>
      </c>
      <c r="L1223" s="22">
        <v>20</v>
      </c>
      <c r="M1223" s="22">
        <v>60</v>
      </c>
      <c r="N1223" s="22" t="s">
        <v>155</v>
      </c>
      <c r="O1223" s="22" t="str">
        <f t="shared" ref="O1223:O1228" si="575">VLOOKUP(N1223,$AL$1285:$AM$1310,2,FALSE)</f>
        <v>001210</v>
      </c>
      <c r="P1223" s="22">
        <f t="shared" ref="P1223:P1228" si="576">VLOOKUP(N1223,AC$2:AD$1905,2,FALSE)</f>
        <v>55</v>
      </c>
      <c r="Q1223" s="22"/>
      <c r="R1223" s="23" t="s">
        <v>153</v>
      </c>
      <c r="S1223" s="22">
        <f t="shared" ref="S1223:S1228" si="577">VLOOKUP(R1223,AC$2:AD$1905,2,FALSE)</f>
        <v>0.56999999999999995</v>
      </c>
      <c r="T1223" s="24">
        <f t="shared" ref="T1223:T1228" si="578">(H1223*I1223)+P1223*Q1223+S1223*K1223</f>
        <v>0</v>
      </c>
      <c r="U1223" s="25">
        <f t="shared" ref="U1223:U1228" si="579">IF(TRIM(N1223&amp;"")="111444",
    IF(ROUNDUP(MAX(0,K1223-(MAX(1,Q1223)-1)*10)/10,0)=1,3,2),
    IF(TRIM(N1223&amp;"")="VWPAL",
        IF(TRIM(R1223&amp;"")="004147",1,2),
        ""
    )
)</f>
        <v>2</v>
      </c>
      <c r="V1223" s="26" t="str">
        <f t="shared" ref="V1223:V1228" si="580">IF(OR(TRIM(N1223&amp;"")="111444",TRIM(N1223&amp;"")="VWPAL"),
    IF(K1223&lt;=0,"",
        IF(
            MIN(3,ROUNDUP(MAX(0,K1223-(MAX(1,Q1223)-1)*IF(TRIM(N1223&amp;"")="111444",10,20))/IF(TRIM(N1223&amp;"")="111444",10,20),0))=1,
            300,
            IF(
                MIN(3,ROUNDUP(MAX(0,K1223-(MAX(1,Q1223)-1)*IF(TRIM(N1223&amp;"")="111444",10,20))/IF(TRIM(N1223&amp;"")="111444",10,20),0))=2,
                450,
                600
            )
        )
    ),
    ""
)</f>
        <v/>
      </c>
    </row>
    <row r="1224" spans="1:22" ht="48.2" customHeight="1" x14ac:dyDescent="0.25">
      <c r="A1224" s="17" t="e">
        <f>VLOOKUP(C1224,[1]Werke!$A$1:$C$168,3,0)</f>
        <v>#N/A</v>
      </c>
      <c r="B1224" s="17" t="e">
        <f>VLOOKUP(C1224,[1]Werke!$A$1:$C$168,2,0)</f>
        <v>#N/A</v>
      </c>
      <c r="C1224" s="18" t="s">
        <v>347</v>
      </c>
      <c r="D1224" s="17" t="str">
        <f>VLOOKUP(C1224,[1]Maliteslimalan!$A$1:$B$210,2,0)</f>
        <v>8000012655</v>
      </c>
      <c r="E1224" s="19">
        <f>VLOOKUP(C1224,[1]Bestellnr.!$A$1:$B$174,2,0)</f>
        <v>0</v>
      </c>
      <c r="F1224" s="20" t="str">
        <f t="shared" si="571"/>
        <v>WHT 009 642</v>
      </c>
      <c r="G1224" s="39">
        <v>100197700</v>
      </c>
      <c r="H1224" s="17">
        <f t="shared" si="572"/>
        <v>9.0469999999999995E-2</v>
      </c>
      <c r="I1224" s="20"/>
      <c r="J1224" s="17">
        <f t="shared" si="573"/>
        <v>100</v>
      </c>
      <c r="K1224" s="17">
        <f t="shared" si="574"/>
        <v>0</v>
      </c>
      <c r="L1224" s="22">
        <v>16</v>
      </c>
      <c r="M1224" s="22">
        <v>48</v>
      </c>
      <c r="N1224" s="22" t="s">
        <v>342</v>
      </c>
      <c r="O1224" s="22">
        <f t="shared" si="575"/>
        <v>0</v>
      </c>
      <c r="P1224" s="22">
        <f t="shared" si="576"/>
        <v>51</v>
      </c>
      <c r="Q1224" s="22"/>
      <c r="R1224" s="23" t="s">
        <v>153</v>
      </c>
      <c r="S1224" s="22">
        <f t="shared" si="577"/>
        <v>0.56999999999999995</v>
      </c>
      <c r="T1224" s="24">
        <f t="shared" si="578"/>
        <v>0</v>
      </c>
      <c r="U1224" s="25" t="str">
        <f t="shared" si="579"/>
        <v/>
      </c>
      <c r="V1224" s="26" t="str">
        <f t="shared" si="580"/>
        <v/>
      </c>
    </row>
    <row r="1225" spans="1:22" ht="48.2" customHeight="1" x14ac:dyDescent="0.25">
      <c r="A1225" s="17" t="e">
        <f>VLOOKUP(C1225,[1]Werke!$A$1:$C$168,3,0)</f>
        <v>#N/A</v>
      </c>
      <c r="B1225" s="17" t="e">
        <f>VLOOKUP(C1225,[1]Werke!$A$1:$C$168,2,0)</f>
        <v>#N/A</v>
      </c>
      <c r="C1225" s="18"/>
      <c r="D1225" s="17" t="e">
        <f>VLOOKUP(C1225,[1]Maliteslimalan!$A$1:$B$210,2,0)</f>
        <v>#N/A</v>
      </c>
      <c r="E1225" s="19" t="e">
        <f>VLOOKUP(C1225,[1]Bestellnr.!$A$1:$B$174,2,0)</f>
        <v>#N/A</v>
      </c>
      <c r="F1225" s="20" t="e">
        <f t="shared" si="571"/>
        <v>#N/A</v>
      </c>
      <c r="G1225" s="17"/>
      <c r="H1225" s="17" t="e">
        <f t="shared" si="572"/>
        <v>#N/A</v>
      </c>
      <c r="I1225" s="20"/>
      <c r="J1225" s="17" t="e">
        <f t="shared" si="573"/>
        <v>#N/A</v>
      </c>
      <c r="K1225" s="17" t="e">
        <f t="shared" si="574"/>
        <v>#N/A</v>
      </c>
      <c r="L1225" s="22"/>
      <c r="M1225" s="22"/>
      <c r="N1225" s="22"/>
      <c r="O1225" s="22" t="e">
        <f t="shared" si="575"/>
        <v>#N/A</v>
      </c>
      <c r="P1225" s="22">
        <f t="shared" si="576"/>
        <v>0</v>
      </c>
      <c r="Q1225" s="22"/>
      <c r="R1225" s="23"/>
      <c r="S1225" s="22">
        <f t="shared" si="577"/>
        <v>0</v>
      </c>
      <c r="T1225" s="24" t="e">
        <f t="shared" si="578"/>
        <v>#N/A</v>
      </c>
      <c r="U1225" s="25" t="str">
        <f t="shared" si="579"/>
        <v/>
      </c>
      <c r="V1225" s="26" t="str">
        <f t="shared" si="580"/>
        <v/>
      </c>
    </row>
    <row r="1226" spans="1:22" ht="48.2" customHeight="1" x14ac:dyDescent="0.25">
      <c r="A1226" s="17" t="str">
        <f>VLOOKUP(C1226,[1]Werke!$A$1:$C$168,3,0)</f>
        <v>W2</v>
      </c>
      <c r="B1226" s="17" t="str">
        <f>VLOOKUP(C1226,[1]Werke!$A$1:$C$168,2,0)</f>
        <v>UPSOR</v>
      </c>
      <c r="C1226" s="18" t="s">
        <v>343</v>
      </c>
      <c r="D1226" s="17" t="str">
        <f>VLOOKUP(C1226,[1]Maliteslimalan!$A$1:$B$210,2,0)</f>
        <v>8000013657</v>
      </c>
      <c r="E1226" s="19">
        <f>VLOOKUP(C1226,[1]Bestellnr.!$A$1:$B$174,2,0)</f>
        <v>0</v>
      </c>
      <c r="F1226" s="20" t="str">
        <f t="shared" si="571"/>
        <v>N   912 056 02</v>
      </c>
      <c r="G1226" s="17">
        <v>930730000</v>
      </c>
      <c r="H1226" s="17">
        <f t="shared" si="572"/>
        <v>1.5440000000000001E-2</v>
      </c>
      <c r="I1226" s="20"/>
      <c r="J1226" s="17" t="str">
        <f t="shared" si="573"/>
        <v>700</v>
      </c>
      <c r="K1226" s="17">
        <f t="shared" si="574"/>
        <v>0</v>
      </c>
      <c r="L1226" s="22">
        <v>16</v>
      </c>
      <c r="M1226" s="22">
        <v>48</v>
      </c>
      <c r="N1226" s="22" t="s">
        <v>342</v>
      </c>
      <c r="O1226" s="22">
        <f t="shared" si="575"/>
        <v>0</v>
      </c>
      <c r="P1226" s="22">
        <f t="shared" si="576"/>
        <v>51</v>
      </c>
      <c r="Q1226" s="22"/>
      <c r="R1226" s="23" t="s">
        <v>153</v>
      </c>
      <c r="S1226" s="22">
        <f t="shared" si="577"/>
        <v>0.56999999999999995</v>
      </c>
      <c r="T1226" s="24">
        <f t="shared" si="578"/>
        <v>0</v>
      </c>
      <c r="U1226" s="25" t="str">
        <f t="shared" si="579"/>
        <v/>
      </c>
      <c r="V1226" s="26" t="str">
        <f t="shared" si="580"/>
        <v/>
      </c>
    </row>
    <row r="1227" spans="1:22" ht="48.2" customHeight="1" x14ac:dyDescent="0.25">
      <c r="A1227" s="17" t="e">
        <f>VLOOKUP(C1227,[1]Werke!$A$1:$C$168,3,0)</f>
        <v>#N/A</v>
      </c>
      <c r="B1227" s="17" t="e">
        <f>VLOOKUP(C1227,[1]Werke!$A$1:$C$168,2,0)</f>
        <v>#N/A</v>
      </c>
      <c r="C1227" s="18"/>
      <c r="D1227" s="17" t="e">
        <f>VLOOKUP(C1227,[1]Maliteslimalan!$A$1:$B$210,2,0)</f>
        <v>#N/A</v>
      </c>
      <c r="E1227" s="19" t="e">
        <f>VLOOKUP(C1227,[1]Bestellnr.!$A$1:$B$174,2,0)</f>
        <v>#N/A</v>
      </c>
      <c r="F1227" s="20" t="e">
        <f t="shared" si="571"/>
        <v>#N/A</v>
      </c>
      <c r="G1227" s="17"/>
      <c r="H1227" s="17" t="e">
        <f t="shared" si="572"/>
        <v>#N/A</v>
      </c>
      <c r="I1227" s="20"/>
      <c r="J1227" s="17" t="e">
        <f t="shared" si="573"/>
        <v>#N/A</v>
      </c>
      <c r="K1227" s="17" t="e">
        <f t="shared" si="574"/>
        <v>#N/A</v>
      </c>
      <c r="L1227" s="22"/>
      <c r="M1227" s="22"/>
      <c r="N1227" s="22"/>
      <c r="O1227" s="22" t="e">
        <f t="shared" si="575"/>
        <v>#N/A</v>
      </c>
      <c r="P1227" s="22">
        <f t="shared" si="576"/>
        <v>0</v>
      </c>
      <c r="Q1227" s="22"/>
      <c r="R1227" s="23"/>
      <c r="S1227" s="22">
        <f t="shared" si="577"/>
        <v>0</v>
      </c>
      <c r="T1227" s="24" t="e">
        <f t="shared" si="578"/>
        <v>#N/A</v>
      </c>
      <c r="U1227" s="25" t="str">
        <f t="shared" si="579"/>
        <v/>
      </c>
      <c r="V1227" s="26" t="str">
        <f t="shared" si="580"/>
        <v/>
      </c>
    </row>
    <row r="1228" spans="1:22" ht="48.2" customHeight="1" x14ac:dyDescent="0.25">
      <c r="A1228" s="17">
        <f>VLOOKUP(C1228,[1]Werke!$A$1:$C$168,3,0)</f>
        <v>13</v>
      </c>
      <c r="B1228" s="17" t="str">
        <f>VLOOKUP(C1228,[1]Werke!$A$1:$C$168,2,0)</f>
        <v>LZ2</v>
      </c>
      <c r="C1228" s="18" t="s">
        <v>348</v>
      </c>
      <c r="D1228" s="17">
        <f>VLOOKUP(C1228,[1]Maliteslimalan!$A$1:$B$210,2,0)</f>
        <v>8000016625</v>
      </c>
      <c r="E1228" s="19" t="e">
        <f>VLOOKUP(C1228,[1]Bestellnr.!$A$1:$B$174,2,0)</f>
        <v>#N/A</v>
      </c>
      <c r="F1228" s="20" t="str">
        <f t="shared" si="571"/>
        <v>N   015 082 10</v>
      </c>
      <c r="G1228" s="17">
        <v>970723000</v>
      </c>
      <c r="H1228" s="17">
        <f t="shared" si="572"/>
        <v>3.3800000000000002E-3</v>
      </c>
      <c r="I1228" s="20"/>
      <c r="J1228" s="17">
        <f t="shared" si="573"/>
        <v>4300</v>
      </c>
      <c r="K1228" s="17">
        <f t="shared" si="574"/>
        <v>0</v>
      </c>
      <c r="L1228" s="22">
        <v>10</v>
      </c>
      <c r="M1228" s="22">
        <v>10</v>
      </c>
      <c r="N1228" s="22">
        <v>111444</v>
      </c>
      <c r="O1228" s="22" t="str">
        <f t="shared" si="575"/>
        <v>001006</v>
      </c>
      <c r="P1228" s="22">
        <f t="shared" si="576"/>
        <v>34</v>
      </c>
      <c r="Q1228" s="22"/>
      <c r="R1228" s="23" t="s">
        <v>153</v>
      </c>
      <c r="S1228" s="22">
        <f t="shared" si="577"/>
        <v>0.56999999999999995</v>
      </c>
      <c r="T1228" s="24">
        <f t="shared" si="578"/>
        <v>0</v>
      </c>
      <c r="U1228" s="25">
        <f t="shared" si="579"/>
        <v>2</v>
      </c>
      <c r="V1228" s="26" t="str">
        <f t="shared" si="580"/>
        <v/>
      </c>
    </row>
    <row r="1229" spans="1:22" ht="48.2" customHeight="1" x14ac:dyDescent="0.25">
      <c r="A1229" s="17"/>
      <c r="B1229" s="17"/>
      <c r="C1229" s="18"/>
      <c r="D1229" s="17"/>
      <c r="E1229" s="19"/>
      <c r="F1229" s="20"/>
      <c r="G1229" s="17"/>
      <c r="H1229" s="17"/>
      <c r="I1229" s="20"/>
      <c r="J1229" s="17"/>
      <c r="K1229" s="17"/>
      <c r="L1229" s="22"/>
      <c r="M1229" s="22"/>
      <c r="N1229" s="22"/>
      <c r="O1229" s="22"/>
      <c r="P1229" s="22"/>
      <c r="Q1229" s="22"/>
      <c r="R1229" s="23"/>
      <c r="S1229" s="22"/>
      <c r="T1229" s="24"/>
      <c r="U1229" s="25"/>
    </row>
    <row r="1230" spans="1:22" ht="48.2" customHeight="1" x14ac:dyDescent="0.25">
      <c r="A1230" s="17">
        <f>VLOOKUP(C1230,[1]Werke!$A$1:$C$168,3,0)</f>
        <v>15</v>
      </c>
      <c r="B1230" s="17" t="str">
        <f>VLOOKUP(C1230,[1]Werke!$A$1:$C$168,2,0)</f>
        <v>H1A</v>
      </c>
      <c r="C1230" s="18" t="s">
        <v>349</v>
      </c>
      <c r="D1230" s="17">
        <f>VLOOKUP(C1230,[1]Maliteslimalan!$A$1:$B$210,2,0)</f>
        <v>8000018393</v>
      </c>
      <c r="E1230" s="19" t="e">
        <f>VLOOKUP(C1230,[1]Bestellnr.!$A$1:$B$174,2,0)</f>
        <v>#N/A</v>
      </c>
      <c r="F1230" s="20" t="str">
        <f>VLOOKUP(G1230,$U$1:$V$1730,2,0)</f>
        <v>N   912 637 01</v>
      </c>
      <c r="G1230" s="37">
        <v>936809000</v>
      </c>
      <c r="H1230" s="17">
        <f>VLOOKUP(G1230,Z$2:AA$1905,2,FALSE)</f>
        <v>1.865E-2</v>
      </c>
      <c r="I1230" s="20"/>
      <c r="J1230" s="17">
        <f>VLOOKUP(G1230,W$2:X$1905,2,FALSE)</f>
        <v>700</v>
      </c>
      <c r="K1230" s="17">
        <f>I1230/J1230</f>
        <v>0</v>
      </c>
      <c r="L1230" s="22">
        <v>20</v>
      </c>
      <c r="M1230" s="22">
        <v>40</v>
      </c>
      <c r="N1230" s="22" t="s">
        <v>155</v>
      </c>
      <c r="O1230" s="22" t="str">
        <f>VLOOKUP(N1230,$AL$1285:$AM$1310,2,FALSE)</f>
        <v>001210</v>
      </c>
      <c r="P1230" s="22">
        <f>VLOOKUP(N1230,AC$2:AD$1905,2,FALSE)</f>
        <v>55</v>
      </c>
      <c r="Q1230" s="22"/>
      <c r="R1230" s="23" t="s">
        <v>153</v>
      </c>
      <c r="S1230" s="22">
        <f>VLOOKUP(R1230,AC$2:AD$1905,2,FALSE)</f>
        <v>0.56999999999999995</v>
      </c>
      <c r="T1230" s="24">
        <f>(H1230*I1230)+P1230*Q1230+S1230*K1230</f>
        <v>0</v>
      </c>
      <c r="U1230" s="25">
        <f>IF(TRIM(N1230&amp;"")="111444",
    IF(ROUNDUP(MAX(0,K1230-(MAX(1,Q1230)-1)*10)/10,0)=1,3,2),
    IF(TRIM(N1230&amp;"")="VWPAL",
        IF(TRIM(R1230&amp;"")="004147",1,2),
        ""
    )
)</f>
        <v>2</v>
      </c>
      <c r="V1230" s="26" t="str">
        <f>IF(OR(TRIM(N1230&amp;"")="111444",TRIM(N1230&amp;"")="VWPAL"),
    IF(K1230&lt;=0,"",
        IF(
            MIN(3,ROUNDUP(MAX(0,K1230-(MAX(1,Q1230)-1)*IF(TRIM(N1230&amp;"")="111444",10,20))/IF(TRIM(N1230&amp;"")="111444",10,20),0))=1,
            300,
            IF(
                MIN(3,ROUNDUP(MAX(0,K1230-(MAX(1,Q1230)-1)*IF(TRIM(N1230&amp;"")="111444",10,20))/IF(TRIM(N1230&amp;"")="111444",10,20),0))=2,
                450,
                600
            )
        )
    ),
    ""
)</f>
        <v/>
      </c>
    </row>
    <row r="1231" spans="1:22" ht="48.2" customHeight="1" x14ac:dyDescent="0.25">
      <c r="A1231" s="17">
        <f>VLOOKUP(C1231,[1]Werke!$A$1:$C$168,3,0)</f>
        <v>15</v>
      </c>
      <c r="B1231" s="17" t="str">
        <f>VLOOKUP(C1231,[1]Werke!$A$1:$C$168,2,0)</f>
        <v>H1A</v>
      </c>
      <c r="C1231" s="18" t="s">
        <v>349</v>
      </c>
      <c r="D1231" s="17">
        <f>VLOOKUP(C1231,[1]Maliteslimalan!$A$1:$B$210,2,0)</f>
        <v>8000018393</v>
      </c>
      <c r="E1231" s="19" t="e">
        <f>VLOOKUP(C1231,[1]Bestellnr.!$A$1:$B$174,2,0)</f>
        <v>#N/A</v>
      </c>
      <c r="F1231" s="20" t="str">
        <f>VLOOKUP(G1231,$U$1:$V$1730,2,0)</f>
        <v>N   912 056 02</v>
      </c>
      <c r="G1231" s="37">
        <v>930730000</v>
      </c>
      <c r="H1231" s="17">
        <f>VLOOKUP(G1231,Z$2:AA$1905,2,FALSE)</f>
        <v>1.5440000000000001E-2</v>
      </c>
      <c r="I1231" s="20"/>
      <c r="J1231" s="17" t="str">
        <f>VLOOKUP(G1231,W$2:X$1905,2,FALSE)</f>
        <v>700</v>
      </c>
      <c r="K1231" s="17">
        <f>I1231/J1231</f>
        <v>0</v>
      </c>
      <c r="L1231" s="22">
        <v>10</v>
      </c>
      <c r="M1231" s="22">
        <v>30</v>
      </c>
      <c r="N1231" s="22">
        <v>111444</v>
      </c>
      <c r="O1231" s="22" t="str">
        <f>VLOOKUP(N1231,$AL$1285:$AM$1310,2,FALSE)</f>
        <v>001006</v>
      </c>
      <c r="P1231" s="22">
        <f>VLOOKUP(N1231,AC$2:AD$1905,2,FALSE)</f>
        <v>34</v>
      </c>
      <c r="Q1231" s="22"/>
      <c r="R1231" s="23" t="s">
        <v>350</v>
      </c>
      <c r="S1231" s="22" t="e">
        <f>VLOOKUP(R1231,AC$2:AD$1905,2,FALSE)</f>
        <v>#N/A</v>
      </c>
      <c r="T1231" s="24" t="e">
        <f>(H1231*I1231)+P1231*Q1231+S1231*K1231</f>
        <v>#N/A</v>
      </c>
      <c r="U1231" s="25">
        <f>IF(TRIM(N1231&amp;"")="111444",
    IF(ROUNDUP(MAX(0,K1231-(MAX(1,Q1231)-1)*10)/10,0)=1,3,2),
    IF(TRIM(N1231&amp;"")="VWPAL",
        IF(TRIM(R1231&amp;"")="004147",1,2),
        ""
    )
)</f>
        <v>2</v>
      </c>
      <c r="V1231" s="26" t="str">
        <f>IF(OR(TRIM(N1231&amp;"")="111444",TRIM(N1231&amp;"")="VWPAL"),
    IF(K1231&lt;=0,"",
        IF(
            MIN(3,ROUNDUP(MAX(0,K1231-(MAX(1,Q1231)-1)*IF(TRIM(N1231&amp;"")="111444",10,20))/IF(TRIM(N1231&amp;"")="111444",10,20),0))=1,
            300,
            IF(
                MIN(3,ROUNDUP(MAX(0,K1231-(MAX(1,Q1231)-1)*IF(TRIM(N1231&amp;"")="111444",10,20))/IF(TRIM(N1231&amp;"")="111444",10,20),0))=2,
                450,
                600
            )
        )
    ),
    ""
)</f>
        <v/>
      </c>
    </row>
    <row r="1232" spans="1:22" ht="48.2" customHeight="1" x14ac:dyDescent="0.25">
      <c r="A1232" s="17">
        <f>VLOOKUP(C1232,[1]Werke!$A$1:$C$168,3,0)</f>
        <v>15</v>
      </c>
      <c r="B1232" s="17" t="str">
        <f>VLOOKUP(C1232,[1]Werke!$A$1:$C$168,2,0)</f>
        <v>H1A</v>
      </c>
      <c r="C1232" s="18" t="s">
        <v>349</v>
      </c>
      <c r="D1232" s="17">
        <f>VLOOKUP(C1232,[1]Maliteslimalan!$A$1:$B$210,2,0)</f>
        <v>8000018393</v>
      </c>
      <c r="E1232" s="19" t="e">
        <f>VLOOKUP(C1232,[1]Bestellnr.!$A$1:$B$174,2,0)</f>
        <v>#N/A</v>
      </c>
      <c r="F1232" s="20" t="str">
        <f>VLOOKUP(G1232,$U$1:$V$1730,2,0)</f>
        <v>N   907 988 05</v>
      </c>
      <c r="G1232" s="27">
        <v>970697000</v>
      </c>
      <c r="H1232" s="17">
        <f>VLOOKUP(G1232,Z$2:AA$1905,2,FALSE)</f>
        <v>9.2599999999999991E-3</v>
      </c>
      <c r="I1232" s="20"/>
      <c r="J1232" s="17">
        <f>VLOOKUP(G1232,W$2:X$1905,2,FALSE)</f>
        <v>1550</v>
      </c>
      <c r="K1232" s="17">
        <f>I1232/J1232</f>
        <v>0</v>
      </c>
      <c r="L1232" s="22">
        <v>10</v>
      </c>
      <c r="M1232" s="22">
        <v>20</v>
      </c>
      <c r="N1232" s="22">
        <v>111444</v>
      </c>
      <c r="O1232" s="22" t="str">
        <f>VLOOKUP(N1232,$AL$1285:$AM$1310,2,FALSE)</f>
        <v>001006</v>
      </c>
      <c r="P1232" s="22">
        <f>VLOOKUP(N1232,AC$2:AD$1905,2,FALSE)</f>
        <v>34</v>
      </c>
      <c r="Q1232" s="22"/>
      <c r="R1232" s="23" t="s">
        <v>153</v>
      </c>
      <c r="S1232" s="22">
        <f>VLOOKUP(R1232,AC$2:AD$1905,2,FALSE)</f>
        <v>0.56999999999999995</v>
      </c>
      <c r="T1232" s="24">
        <f>(H1232*I1232)+P1232*Q1232+S1232*K1232</f>
        <v>0</v>
      </c>
      <c r="U1232" s="25">
        <f>IF(TRIM(N1232&amp;"")="111444",
    IF(ROUNDUP(MAX(0,K1232-(MAX(1,Q1232)-1)*10)/10,0)=1,3,2),
    IF(TRIM(N1232&amp;"")="VWPAL",
        IF(TRIM(R1232&amp;"")="004147",1,2),
        ""
    )
)</f>
        <v>2</v>
      </c>
      <c r="V1232" s="26" t="str">
        <f>IF(OR(TRIM(N1232&amp;"")="111444",TRIM(N1232&amp;"")="VWPAL"),
    IF(K1232&lt;=0,"",
        IF(
            MIN(3,ROUNDUP(MAX(0,K1232-(MAX(1,Q1232)-1)*IF(TRIM(N1232&amp;"")="111444",10,20))/IF(TRIM(N1232&amp;"")="111444",10,20),0))=1,
            300,
            IF(
                MIN(3,ROUNDUP(MAX(0,K1232-(MAX(1,Q1232)-1)*IF(TRIM(N1232&amp;"")="111444",10,20))/IF(TRIM(N1232&amp;"")="111444",10,20),0))=2,
                450,
                600
            )
        )
    ),
    ""
)</f>
        <v/>
      </c>
    </row>
    <row r="1233" spans="1:22" ht="48.2" customHeight="1" x14ac:dyDescent="0.25">
      <c r="A1233" s="17"/>
      <c r="B1233" s="17"/>
      <c r="C1233" s="18"/>
      <c r="D1233" s="17"/>
      <c r="E1233" s="19"/>
      <c r="F1233" s="20"/>
      <c r="G1233" s="27"/>
      <c r="H1233" s="17"/>
      <c r="I1233" s="20"/>
      <c r="J1233" s="17"/>
      <c r="K1233" s="17"/>
      <c r="L1233" s="22"/>
      <c r="M1233" s="22"/>
      <c r="N1233" s="22"/>
      <c r="O1233" s="22"/>
      <c r="P1233" s="22"/>
      <c r="Q1233" s="22"/>
      <c r="R1233" s="23"/>
      <c r="S1233" s="22"/>
      <c r="T1233" s="24"/>
      <c r="U1233" s="25"/>
    </row>
    <row r="1234" spans="1:22" ht="48.2" customHeight="1" x14ac:dyDescent="0.25">
      <c r="A1234" s="17" t="e">
        <f>VLOOKUP(C1234,[1]Werke!$A$1:$C$168,3,0)</f>
        <v>#N/A</v>
      </c>
      <c r="B1234" s="17" t="e">
        <f>VLOOKUP(C1234,[1]Werke!$A$1:$C$168,2,0)</f>
        <v>#N/A</v>
      </c>
      <c r="C1234" s="18"/>
      <c r="D1234" s="17" t="e">
        <f>VLOOKUP(C1234,[1]Maliteslimalan!$A$1:$B$210,2,0)</f>
        <v>#N/A</v>
      </c>
      <c r="E1234" s="19" t="e">
        <f>VLOOKUP(C1234,[1]Bestellnr.!$A$1:$B$174,2,0)</f>
        <v>#N/A</v>
      </c>
      <c r="F1234" s="20" t="e">
        <f t="shared" ref="F1234:F1297" si="581">VLOOKUP(G1234,$U$1:$V$1730,2,0)</f>
        <v>#N/A</v>
      </c>
      <c r="G1234" s="17"/>
      <c r="H1234" s="17" t="e">
        <f t="shared" ref="H1234:H1297" si="582">VLOOKUP(G1234,Z$2:AA$1905,2,FALSE)</f>
        <v>#N/A</v>
      </c>
      <c r="I1234" s="20"/>
      <c r="J1234" s="17" t="e">
        <f t="shared" ref="J1234:J1297" si="583">VLOOKUP(G1234,W$2:X$1905,2,FALSE)</f>
        <v>#N/A</v>
      </c>
      <c r="K1234" s="17" t="e">
        <f t="shared" ref="K1234:K1297" si="584">I1234/J1234</f>
        <v>#N/A</v>
      </c>
      <c r="L1234" s="22"/>
      <c r="M1234" s="22"/>
      <c r="N1234" s="22"/>
      <c r="O1234" s="22" t="e">
        <f t="shared" ref="O1234:O1297" si="585">VLOOKUP(N1234,$AL$1285:$AM$1310,2,FALSE)</f>
        <v>#N/A</v>
      </c>
      <c r="P1234" s="22">
        <f t="shared" ref="P1234:P1297" si="586">VLOOKUP(N1234,AC$2:AD$1905,2,FALSE)</f>
        <v>0</v>
      </c>
      <c r="Q1234" s="22"/>
      <c r="R1234" s="23"/>
      <c r="S1234" s="22">
        <f t="shared" ref="S1234:S1297" si="587">VLOOKUP(R1234,AC$2:AD$1905,2,FALSE)</f>
        <v>0</v>
      </c>
      <c r="T1234" s="24" t="e">
        <f t="shared" ref="T1234:T1297" si="588">(H1234*I1234)+P1234*Q1234+S1234*K1234</f>
        <v>#N/A</v>
      </c>
      <c r="U1234" s="25" t="str">
        <f t="shared" ref="U1234:U1283" si="589">IF(TRIM(N1234&amp;"")="111444",
    IF(ROUNDUP(MAX(0,K1234-(MAX(1,Q1234)-1)*10)/10,0)=1,3,2),
    IF(TRIM(N1234&amp;"")="VWPAL",
        IF(TRIM(R1234&amp;"")="004147",1,2),
        ""
    )
)</f>
        <v/>
      </c>
      <c r="V1234" s="26" t="str">
        <f t="shared" ref="V1234:V1283" si="590">IF(OR(TRIM(N1234&amp;"")="111444",TRIM(N1234&amp;"")="VWPAL"),
    IF(K1234&lt;=0,"",
        IF(
            MIN(3,ROUNDUP(MAX(0,K1234-(MAX(1,Q1234)-1)*IF(TRIM(N1234&amp;"")="111444",10,20))/IF(TRIM(N1234&amp;"")="111444",10,20),0))=1,
            300,
            IF(
                MIN(3,ROUNDUP(MAX(0,K1234-(MAX(1,Q1234)-1)*IF(TRIM(N1234&amp;"")="111444",10,20))/IF(TRIM(N1234&amp;"")="111444",10,20),0))=2,
                450,
                600
            )
        )
    ),
    ""
)</f>
        <v/>
      </c>
    </row>
    <row r="1235" spans="1:22" ht="48.2" customHeight="1" x14ac:dyDescent="0.25">
      <c r="A1235" s="17">
        <f>VLOOKUP(C1235,[1]Werke!$A$1:$C$168,3,0)</f>
        <v>88</v>
      </c>
      <c r="B1235" s="17" t="str">
        <f>VLOOKUP(C1235,[1]Werke!$A$1:$C$168,2,0)</f>
        <v>02</v>
      </c>
      <c r="C1235" s="20" t="s">
        <v>167</v>
      </c>
      <c r="D1235" s="17" t="str">
        <f>VLOOKUP(C1235,[1]Maliteslimalan!$A$1:$B$210,2,0)</f>
        <v>8000012643</v>
      </c>
      <c r="E1235" s="19" t="str">
        <f>VLOOKUP(C1235,[1]Bestellnr.!$A$1:$B$174,2,0)</f>
        <v>000088</v>
      </c>
      <c r="F1235" s="20" t="str">
        <f t="shared" si="581"/>
        <v>N   911 873 01</v>
      </c>
      <c r="G1235" s="17">
        <v>932228000</v>
      </c>
      <c r="H1235" s="17">
        <f t="shared" si="582"/>
        <v>1.9439999999999999E-2</v>
      </c>
      <c r="I1235" s="20"/>
      <c r="J1235" s="17">
        <f t="shared" si="583"/>
        <v>600</v>
      </c>
      <c r="K1235" s="17">
        <f t="shared" si="584"/>
        <v>0</v>
      </c>
      <c r="L1235" s="22">
        <v>10</v>
      </c>
      <c r="M1235" s="22">
        <v>30</v>
      </c>
      <c r="N1235" s="22">
        <v>111444</v>
      </c>
      <c r="O1235" s="22" t="str">
        <f t="shared" si="585"/>
        <v>001006</v>
      </c>
      <c r="P1235" s="22">
        <f t="shared" si="586"/>
        <v>34</v>
      </c>
      <c r="Q1235" s="22"/>
      <c r="R1235" s="23" t="s">
        <v>153</v>
      </c>
      <c r="S1235" s="22">
        <f t="shared" si="587"/>
        <v>0.56999999999999995</v>
      </c>
      <c r="T1235" s="24">
        <f t="shared" si="588"/>
        <v>0</v>
      </c>
      <c r="U1235" s="25">
        <f t="shared" si="589"/>
        <v>2</v>
      </c>
      <c r="V1235" s="26" t="str">
        <f t="shared" si="590"/>
        <v/>
      </c>
    </row>
    <row r="1236" spans="1:22" ht="48.2" customHeight="1" x14ac:dyDescent="0.25">
      <c r="A1236" s="17">
        <f>VLOOKUP(C1236,[1]Werke!$A$1:$C$168,3,0)</f>
        <v>88</v>
      </c>
      <c r="B1236" s="17" t="str">
        <f>VLOOKUP(C1236,[1]Werke!$A$1:$C$168,2,0)</f>
        <v>02</v>
      </c>
      <c r="C1236" s="20" t="s">
        <v>167</v>
      </c>
      <c r="D1236" s="17" t="str">
        <f>VLOOKUP(C1236,[1]Maliteslimalan!$A$1:$B$210,2,0)</f>
        <v>8000012643</v>
      </c>
      <c r="E1236" s="19" t="str">
        <f>VLOOKUP(C1236,[1]Bestellnr.!$A$1:$B$174,2,0)</f>
        <v>000088</v>
      </c>
      <c r="F1236" s="20" t="str">
        <f t="shared" si="581"/>
        <v>8B1 614 306</v>
      </c>
      <c r="G1236" s="17">
        <v>100458000</v>
      </c>
      <c r="H1236" s="17">
        <f t="shared" si="582"/>
        <v>5.7500000000000002E-2</v>
      </c>
      <c r="I1236" s="20"/>
      <c r="J1236" s="17" t="str">
        <f t="shared" si="583"/>
        <v>200</v>
      </c>
      <c r="K1236" s="17">
        <f t="shared" si="584"/>
        <v>0</v>
      </c>
      <c r="L1236" s="22">
        <v>10</v>
      </c>
      <c r="M1236" s="22">
        <v>30</v>
      </c>
      <c r="N1236" s="22">
        <v>111444</v>
      </c>
      <c r="O1236" s="22" t="str">
        <f t="shared" si="585"/>
        <v>001006</v>
      </c>
      <c r="P1236" s="22">
        <f t="shared" si="586"/>
        <v>34</v>
      </c>
      <c r="Q1236" s="22"/>
      <c r="R1236" s="23" t="s">
        <v>153</v>
      </c>
      <c r="S1236" s="22">
        <f t="shared" si="587"/>
        <v>0.56999999999999995</v>
      </c>
      <c r="T1236" s="24">
        <f t="shared" si="588"/>
        <v>0</v>
      </c>
      <c r="U1236" s="25">
        <f t="shared" si="589"/>
        <v>2</v>
      </c>
      <c r="V1236" s="26" t="str">
        <f t="shared" si="590"/>
        <v/>
      </c>
    </row>
    <row r="1237" spans="1:22" ht="48.2" customHeight="1" x14ac:dyDescent="0.25">
      <c r="A1237" s="17">
        <f>VLOOKUP(C1237,[1]Werke!$A$1:$C$168,3,0)</f>
        <v>88</v>
      </c>
      <c r="B1237" s="17" t="str">
        <f>VLOOKUP(C1237,[1]Werke!$A$1:$C$168,2,0)</f>
        <v>02</v>
      </c>
      <c r="C1237" s="20" t="s">
        <v>167</v>
      </c>
      <c r="D1237" s="17" t="str">
        <f>VLOOKUP(C1237,[1]Maliteslimalan!$A$1:$B$210,2,0)</f>
        <v>8000012643</v>
      </c>
      <c r="E1237" s="19" t="str">
        <f>VLOOKUP(C1237,[1]Bestellnr.!$A$1:$B$174,2,0)</f>
        <v>000088</v>
      </c>
      <c r="F1237" s="20" t="str">
        <f t="shared" si="581"/>
        <v>N   015 081 6</v>
      </c>
      <c r="G1237" s="17">
        <v>970696000</v>
      </c>
      <c r="H1237" s="17">
        <f t="shared" si="582"/>
        <v>2.053E-2</v>
      </c>
      <c r="I1237" s="20"/>
      <c r="J1237" s="17">
        <f t="shared" si="583"/>
        <v>700</v>
      </c>
      <c r="K1237" s="17">
        <f t="shared" si="584"/>
        <v>0</v>
      </c>
      <c r="L1237" s="22">
        <v>10</v>
      </c>
      <c r="M1237" s="22">
        <v>30</v>
      </c>
      <c r="N1237" s="22">
        <v>111444</v>
      </c>
      <c r="O1237" s="22" t="str">
        <f t="shared" si="585"/>
        <v>001006</v>
      </c>
      <c r="P1237" s="22">
        <f t="shared" si="586"/>
        <v>34</v>
      </c>
      <c r="Q1237" s="22"/>
      <c r="R1237" s="23" t="s">
        <v>153</v>
      </c>
      <c r="S1237" s="22">
        <f t="shared" si="587"/>
        <v>0.56999999999999995</v>
      </c>
      <c r="T1237" s="24">
        <f t="shared" si="588"/>
        <v>0</v>
      </c>
      <c r="U1237" s="25">
        <f t="shared" si="589"/>
        <v>2</v>
      </c>
      <c r="V1237" s="26" t="str">
        <f t="shared" si="590"/>
        <v/>
      </c>
    </row>
    <row r="1238" spans="1:22" ht="48.2" customHeight="1" x14ac:dyDescent="0.25">
      <c r="A1238" s="17">
        <f>VLOOKUP(C1238,[1]Werke!$A$1:$C$168,3,0)</f>
        <v>88</v>
      </c>
      <c r="B1238" s="17" t="str">
        <f>VLOOKUP(C1238,[1]Werke!$A$1:$C$168,2,0)</f>
        <v>02</v>
      </c>
      <c r="C1238" s="20" t="s">
        <v>167</v>
      </c>
      <c r="D1238" s="17" t="str">
        <f>VLOOKUP(C1238,[1]Maliteslimalan!$A$1:$B$210,2,0)</f>
        <v>8000012643</v>
      </c>
      <c r="E1238" s="19" t="str">
        <f>VLOOKUP(C1238,[1]Bestellnr.!$A$1:$B$174,2,0)</f>
        <v>000088</v>
      </c>
      <c r="F1238" s="20" t="str">
        <f t="shared" si="581"/>
        <v>N   015 081 8</v>
      </c>
      <c r="G1238" s="17">
        <v>110082700</v>
      </c>
      <c r="H1238" s="17">
        <f t="shared" si="582"/>
        <v>2.053E-2</v>
      </c>
      <c r="I1238" s="20"/>
      <c r="J1238" s="17">
        <f t="shared" si="583"/>
        <v>500</v>
      </c>
      <c r="K1238" s="17">
        <f t="shared" si="584"/>
        <v>0</v>
      </c>
      <c r="L1238" s="22">
        <v>10</v>
      </c>
      <c r="M1238" s="22">
        <v>30</v>
      </c>
      <c r="N1238" s="22">
        <v>111444</v>
      </c>
      <c r="O1238" s="22" t="str">
        <f t="shared" si="585"/>
        <v>001006</v>
      </c>
      <c r="P1238" s="22">
        <f t="shared" si="586"/>
        <v>34</v>
      </c>
      <c r="Q1238" s="22"/>
      <c r="R1238" s="23" t="s">
        <v>153</v>
      </c>
      <c r="S1238" s="22">
        <f t="shared" si="587"/>
        <v>0.56999999999999995</v>
      </c>
      <c r="T1238" s="24">
        <f t="shared" si="588"/>
        <v>0</v>
      </c>
      <c r="U1238" s="25">
        <f t="shared" si="589"/>
        <v>2</v>
      </c>
      <c r="V1238" s="26" t="str">
        <f t="shared" si="590"/>
        <v/>
      </c>
    </row>
    <row r="1239" spans="1:22" ht="48.2" customHeight="1" x14ac:dyDescent="0.25">
      <c r="A1239" s="17">
        <f>VLOOKUP(C1239,[1]Werke!$A$1:$C$168,3,0)</f>
        <v>88</v>
      </c>
      <c r="B1239" s="17" t="str">
        <f>VLOOKUP(C1239,[1]Werke!$A$1:$C$168,2,0)</f>
        <v>02</v>
      </c>
      <c r="C1239" s="20" t="s">
        <v>167</v>
      </c>
      <c r="D1239" s="17" t="str">
        <f>VLOOKUP(C1239,[1]Maliteslimalan!$A$1:$B$210,2,0)</f>
        <v>8000012643</v>
      </c>
      <c r="E1239" s="19" t="str">
        <f>VLOOKUP(C1239,[1]Bestellnr.!$A$1:$B$174,2,0)</f>
        <v>000088</v>
      </c>
      <c r="F1239" s="20" t="str">
        <f t="shared" si="581"/>
        <v>N   015 082 10</v>
      </c>
      <c r="G1239" s="17">
        <v>970723000</v>
      </c>
      <c r="H1239" s="17">
        <f t="shared" si="582"/>
        <v>3.3800000000000002E-3</v>
      </c>
      <c r="I1239" s="20"/>
      <c r="J1239" s="17">
        <f t="shared" si="583"/>
        <v>4300</v>
      </c>
      <c r="K1239" s="17">
        <f t="shared" si="584"/>
        <v>0</v>
      </c>
      <c r="L1239" s="22">
        <v>10</v>
      </c>
      <c r="M1239" s="22">
        <v>30</v>
      </c>
      <c r="N1239" s="22">
        <v>111444</v>
      </c>
      <c r="O1239" s="22" t="str">
        <f t="shared" si="585"/>
        <v>001006</v>
      </c>
      <c r="P1239" s="22">
        <f t="shared" si="586"/>
        <v>34</v>
      </c>
      <c r="Q1239" s="22"/>
      <c r="R1239" s="23" t="s">
        <v>153</v>
      </c>
      <c r="S1239" s="22">
        <f t="shared" si="587"/>
        <v>0.56999999999999995</v>
      </c>
      <c r="T1239" s="24">
        <f t="shared" si="588"/>
        <v>0</v>
      </c>
      <c r="U1239" s="25">
        <f t="shared" si="589"/>
        <v>2</v>
      </c>
      <c r="V1239" s="26" t="str">
        <f t="shared" si="590"/>
        <v/>
      </c>
    </row>
    <row r="1240" spans="1:22" ht="48.2" customHeight="1" x14ac:dyDescent="0.25">
      <c r="A1240" s="17">
        <f>VLOOKUP(C1240,[1]Werke!$A$1:$C$168,3,0)</f>
        <v>88</v>
      </c>
      <c r="B1240" s="17" t="str">
        <f>VLOOKUP(C1240,[1]Werke!$A$1:$C$168,2,0)</f>
        <v>02</v>
      </c>
      <c r="C1240" s="20" t="s">
        <v>167</v>
      </c>
      <c r="D1240" s="17" t="str">
        <f>VLOOKUP(C1240,[1]Maliteslimalan!$A$1:$B$210,2,0)</f>
        <v>8000012643</v>
      </c>
      <c r="E1240" s="19" t="str">
        <f>VLOOKUP(C1240,[1]Bestellnr.!$A$1:$B$174,2,0)</f>
        <v>000088</v>
      </c>
      <c r="F1240" s="20" t="str">
        <f t="shared" si="581"/>
        <v>N  10405704</v>
      </c>
      <c r="G1240" s="17">
        <v>100602000</v>
      </c>
      <c r="H1240" s="17">
        <f t="shared" si="582"/>
        <v>1.068E-2</v>
      </c>
      <c r="I1240" s="20"/>
      <c r="J1240" s="17">
        <f t="shared" si="583"/>
        <v>1000</v>
      </c>
      <c r="K1240" s="17">
        <f t="shared" si="584"/>
        <v>0</v>
      </c>
      <c r="L1240" s="22">
        <v>10</v>
      </c>
      <c r="M1240" s="22">
        <v>30</v>
      </c>
      <c r="N1240" s="22">
        <v>111444</v>
      </c>
      <c r="O1240" s="22" t="str">
        <f t="shared" si="585"/>
        <v>001006</v>
      </c>
      <c r="P1240" s="22">
        <f t="shared" si="586"/>
        <v>34</v>
      </c>
      <c r="Q1240" s="22"/>
      <c r="R1240" s="23" t="s">
        <v>153</v>
      </c>
      <c r="S1240" s="22">
        <f t="shared" si="587"/>
        <v>0.56999999999999995</v>
      </c>
      <c r="T1240" s="24">
        <f t="shared" si="588"/>
        <v>0</v>
      </c>
      <c r="U1240" s="25">
        <f t="shared" si="589"/>
        <v>2</v>
      </c>
      <c r="V1240" s="26" t="str">
        <f t="shared" si="590"/>
        <v/>
      </c>
    </row>
    <row r="1241" spans="1:22" ht="48.2" customHeight="1" x14ac:dyDescent="0.25">
      <c r="A1241" s="17">
        <f>VLOOKUP(C1241,[1]Werke!$A$1:$C$168,3,0)</f>
        <v>88</v>
      </c>
      <c r="B1241" s="17" t="str">
        <f>VLOOKUP(C1241,[1]Werke!$A$1:$C$168,2,0)</f>
        <v>02</v>
      </c>
      <c r="C1241" s="20" t="s">
        <v>167</v>
      </c>
      <c r="D1241" s="17" t="str">
        <f>VLOOKUP(C1241,[1]Maliteslimalan!$A$1:$B$210,2,0)</f>
        <v>8000012643</v>
      </c>
      <c r="E1241" s="19" t="str">
        <f>VLOOKUP(C1241,[1]Bestellnr.!$A$1:$B$174,2,0)</f>
        <v>000088</v>
      </c>
      <c r="F1241" s="20" t="str">
        <f t="shared" si="581"/>
        <v>N   104 562 01</v>
      </c>
      <c r="G1241" s="17">
        <v>100325100</v>
      </c>
      <c r="H1241" s="17">
        <f t="shared" si="582"/>
        <v>7.3000000000000001E-3</v>
      </c>
      <c r="I1241" s="20"/>
      <c r="J1241" s="17">
        <f t="shared" si="583"/>
        <v>1900</v>
      </c>
      <c r="K1241" s="17">
        <f t="shared" si="584"/>
        <v>0</v>
      </c>
      <c r="L1241" s="22">
        <v>10</v>
      </c>
      <c r="M1241" s="22">
        <v>30</v>
      </c>
      <c r="N1241" s="22">
        <v>111444</v>
      </c>
      <c r="O1241" s="22" t="str">
        <f t="shared" si="585"/>
        <v>001006</v>
      </c>
      <c r="P1241" s="22">
        <f t="shared" si="586"/>
        <v>34</v>
      </c>
      <c r="Q1241" s="22"/>
      <c r="R1241" s="23" t="s">
        <v>153</v>
      </c>
      <c r="S1241" s="22">
        <f t="shared" si="587"/>
        <v>0.56999999999999995</v>
      </c>
      <c r="T1241" s="24">
        <f t="shared" si="588"/>
        <v>0</v>
      </c>
      <c r="U1241" s="25">
        <f t="shared" si="589"/>
        <v>2</v>
      </c>
      <c r="V1241" s="26" t="str">
        <f t="shared" si="590"/>
        <v/>
      </c>
    </row>
    <row r="1242" spans="1:22" ht="48.2" customHeight="1" x14ac:dyDescent="0.25">
      <c r="A1242" s="17">
        <f>VLOOKUP(C1242,[1]Werke!$A$1:$C$168,3,0)</f>
        <v>88</v>
      </c>
      <c r="B1242" s="17" t="str">
        <f>VLOOKUP(C1242,[1]Werke!$A$1:$C$168,2,0)</f>
        <v>02</v>
      </c>
      <c r="C1242" s="20" t="s">
        <v>167</v>
      </c>
      <c r="D1242" s="17" t="str">
        <f>VLOOKUP(C1242,[1]Maliteslimalan!$A$1:$B$210,2,0)</f>
        <v>8000012643</v>
      </c>
      <c r="E1242" s="19" t="str">
        <f>VLOOKUP(C1242,[1]Bestellnr.!$A$1:$B$174,2,0)</f>
        <v>000088</v>
      </c>
      <c r="F1242" s="20" t="str">
        <f t="shared" si="581"/>
        <v>N   106 610 02</v>
      </c>
      <c r="G1242" s="17">
        <v>100326600</v>
      </c>
      <c r="H1242" s="17">
        <f t="shared" si="582"/>
        <v>7.1399999999999996E-3</v>
      </c>
      <c r="I1242" s="20"/>
      <c r="J1242" s="17">
        <f t="shared" si="583"/>
        <v>1500</v>
      </c>
      <c r="K1242" s="17">
        <f t="shared" si="584"/>
        <v>0</v>
      </c>
      <c r="L1242" s="22">
        <v>10</v>
      </c>
      <c r="M1242" s="22">
        <v>30</v>
      </c>
      <c r="N1242" s="22">
        <v>111444</v>
      </c>
      <c r="O1242" s="22" t="str">
        <f t="shared" si="585"/>
        <v>001006</v>
      </c>
      <c r="P1242" s="22">
        <f t="shared" si="586"/>
        <v>34</v>
      </c>
      <c r="Q1242" s="22"/>
      <c r="R1242" s="23" t="s">
        <v>153</v>
      </c>
      <c r="S1242" s="22">
        <f t="shared" si="587"/>
        <v>0.56999999999999995</v>
      </c>
      <c r="T1242" s="24">
        <f t="shared" si="588"/>
        <v>0</v>
      </c>
      <c r="U1242" s="25">
        <f t="shared" si="589"/>
        <v>2</v>
      </c>
      <c r="V1242" s="26" t="str">
        <f t="shared" si="590"/>
        <v/>
      </c>
    </row>
    <row r="1243" spans="1:22" ht="48.2" customHeight="1" x14ac:dyDescent="0.25">
      <c r="A1243" s="17">
        <f>VLOOKUP(C1243,[1]Werke!$A$1:$C$168,3,0)</f>
        <v>88</v>
      </c>
      <c r="B1243" s="17" t="str">
        <f>VLOOKUP(C1243,[1]Werke!$A$1:$C$168,2,0)</f>
        <v>02</v>
      </c>
      <c r="C1243" s="20" t="s">
        <v>167</v>
      </c>
      <c r="D1243" s="17" t="str">
        <f>VLOOKUP(C1243,[1]Maliteslimalan!$A$1:$B$210,2,0)</f>
        <v>8000012643</v>
      </c>
      <c r="E1243" s="19" t="str">
        <f>VLOOKUP(C1243,[1]Bestellnr.!$A$1:$B$174,2,0)</f>
        <v>000088</v>
      </c>
      <c r="F1243" s="20" t="str">
        <f t="shared" si="581"/>
        <v>N   107 135 03</v>
      </c>
      <c r="G1243" s="17">
        <v>100635300</v>
      </c>
      <c r="H1243" s="17">
        <f t="shared" si="582"/>
        <v>1.788E-2</v>
      </c>
      <c r="I1243" s="20"/>
      <c r="J1243" s="17" t="str">
        <f t="shared" si="583"/>
        <v>750</v>
      </c>
      <c r="K1243" s="17">
        <f t="shared" si="584"/>
        <v>0</v>
      </c>
      <c r="L1243" s="22">
        <v>10</v>
      </c>
      <c r="M1243" s="22">
        <v>30</v>
      </c>
      <c r="N1243" s="22">
        <v>111444</v>
      </c>
      <c r="O1243" s="22" t="str">
        <f t="shared" si="585"/>
        <v>001006</v>
      </c>
      <c r="P1243" s="22">
        <f t="shared" si="586"/>
        <v>34</v>
      </c>
      <c r="Q1243" s="22"/>
      <c r="R1243" s="23" t="s">
        <v>153</v>
      </c>
      <c r="S1243" s="22">
        <f t="shared" si="587"/>
        <v>0.56999999999999995</v>
      </c>
      <c r="T1243" s="24">
        <f t="shared" si="588"/>
        <v>0</v>
      </c>
      <c r="U1243" s="25">
        <f t="shared" si="589"/>
        <v>2</v>
      </c>
      <c r="V1243" s="26" t="str">
        <f t="shared" si="590"/>
        <v/>
      </c>
    </row>
    <row r="1244" spans="1:22" ht="48.2" customHeight="1" x14ac:dyDescent="0.25">
      <c r="A1244" s="17">
        <f>VLOOKUP(C1244,[1]Werke!$A$1:$C$168,3,0)</f>
        <v>88</v>
      </c>
      <c r="B1244" s="17" t="str">
        <f>VLOOKUP(C1244,[1]Werke!$A$1:$C$168,2,0)</f>
        <v>02</v>
      </c>
      <c r="C1244" s="20" t="s">
        <v>167</v>
      </c>
      <c r="D1244" s="17" t="str">
        <f>VLOOKUP(C1244,[1]Maliteslimalan!$A$1:$B$210,2,0)</f>
        <v>8000012643</v>
      </c>
      <c r="E1244" s="19" t="str">
        <f>VLOOKUP(C1244,[1]Bestellnr.!$A$1:$B$174,2,0)</f>
        <v>000088</v>
      </c>
      <c r="F1244" s="20" t="str">
        <f t="shared" si="581"/>
        <v>N   107 170 01</v>
      </c>
      <c r="G1244" s="17">
        <v>926128000</v>
      </c>
      <c r="H1244" s="17">
        <f t="shared" si="582"/>
        <v>1.41E-2</v>
      </c>
      <c r="I1244" s="20"/>
      <c r="J1244" s="17">
        <f t="shared" si="583"/>
        <v>800</v>
      </c>
      <c r="K1244" s="17">
        <f t="shared" si="584"/>
        <v>0</v>
      </c>
      <c r="L1244" s="22">
        <v>10</v>
      </c>
      <c r="M1244" s="22">
        <v>30</v>
      </c>
      <c r="N1244" s="22">
        <v>111444</v>
      </c>
      <c r="O1244" s="22" t="str">
        <f t="shared" si="585"/>
        <v>001006</v>
      </c>
      <c r="P1244" s="22">
        <f t="shared" si="586"/>
        <v>34</v>
      </c>
      <c r="Q1244" s="22"/>
      <c r="R1244" s="23" t="s">
        <v>153</v>
      </c>
      <c r="S1244" s="22">
        <f t="shared" si="587"/>
        <v>0.56999999999999995</v>
      </c>
      <c r="T1244" s="24">
        <f t="shared" si="588"/>
        <v>0</v>
      </c>
      <c r="U1244" s="25">
        <f t="shared" si="589"/>
        <v>2</v>
      </c>
      <c r="V1244" s="26" t="str">
        <f t="shared" si="590"/>
        <v/>
      </c>
    </row>
    <row r="1245" spans="1:22" ht="48.2" customHeight="1" x14ac:dyDescent="0.25">
      <c r="A1245" s="17">
        <f>VLOOKUP(C1245,[1]Werke!$A$1:$C$168,3,0)</f>
        <v>88</v>
      </c>
      <c r="B1245" s="17" t="str">
        <f>VLOOKUP(C1245,[1]Werke!$A$1:$C$168,2,0)</f>
        <v>02</v>
      </c>
      <c r="C1245" s="20" t="s">
        <v>167</v>
      </c>
      <c r="D1245" s="17" t="str">
        <f>VLOOKUP(C1245,[1]Maliteslimalan!$A$1:$B$210,2,0)</f>
        <v>8000012643</v>
      </c>
      <c r="E1245" s="19" t="str">
        <f>VLOOKUP(C1245,[1]Bestellnr.!$A$1:$B$174,2,0)</f>
        <v>000088</v>
      </c>
      <c r="F1245" s="20" t="str">
        <f t="shared" si="581"/>
        <v>N   107 511 01</v>
      </c>
      <c r="G1245" s="17">
        <v>100327000</v>
      </c>
      <c r="H1245" s="17">
        <f t="shared" si="582"/>
        <v>7.1399999999999996E-3</v>
      </c>
      <c r="I1245" s="20"/>
      <c r="J1245" s="17">
        <f t="shared" si="583"/>
        <v>2100</v>
      </c>
      <c r="K1245" s="17">
        <f t="shared" si="584"/>
        <v>0</v>
      </c>
      <c r="L1245" s="22">
        <v>10</v>
      </c>
      <c r="M1245" s="22">
        <v>30</v>
      </c>
      <c r="N1245" s="22">
        <v>111444</v>
      </c>
      <c r="O1245" s="22" t="str">
        <f t="shared" si="585"/>
        <v>001006</v>
      </c>
      <c r="P1245" s="22">
        <f t="shared" si="586"/>
        <v>34</v>
      </c>
      <c r="Q1245" s="22"/>
      <c r="R1245" s="23" t="s">
        <v>153</v>
      </c>
      <c r="S1245" s="22">
        <f t="shared" si="587"/>
        <v>0.56999999999999995</v>
      </c>
      <c r="T1245" s="24">
        <f t="shared" si="588"/>
        <v>0</v>
      </c>
      <c r="U1245" s="25">
        <f t="shared" si="589"/>
        <v>2</v>
      </c>
      <c r="V1245" s="26" t="str">
        <f t="shared" si="590"/>
        <v/>
      </c>
    </row>
    <row r="1246" spans="1:22" ht="48.2" customHeight="1" x14ac:dyDescent="0.25">
      <c r="A1246" s="17">
        <f>VLOOKUP(C1246,[1]Werke!$A$1:$C$168,3,0)</f>
        <v>88</v>
      </c>
      <c r="B1246" s="17" t="str">
        <f>VLOOKUP(C1246,[1]Werke!$A$1:$C$168,2,0)</f>
        <v>02</v>
      </c>
      <c r="C1246" s="20" t="s">
        <v>167</v>
      </c>
      <c r="D1246" s="17" t="str">
        <f>VLOOKUP(C1246,[1]Maliteslimalan!$A$1:$B$210,2,0)</f>
        <v>8000012643</v>
      </c>
      <c r="E1246" s="19" t="str">
        <f>VLOOKUP(C1246,[1]Bestellnr.!$A$1:$B$174,2,0)</f>
        <v>000088</v>
      </c>
      <c r="F1246" s="20" t="str">
        <f t="shared" si="581"/>
        <v>N   107 658 02</v>
      </c>
      <c r="G1246" s="17">
        <v>100260400</v>
      </c>
      <c r="H1246" s="17">
        <f t="shared" si="582"/>
        <v>2.043E-2</v>
      </c>
      <c r="I1246" s="20"/>
      <c r="J1246" s="17">
        <f t="shared" si="583"/>
        <v>500</v>
      </c>
      <c r="K1246" s="17">
        <f t="shared" si="584"/>
        <v>0</v>
      </c>
      <c r="L1246" s="22">
        <v>10</v>
      </c>
      <c r="M1246" s="22">
        <v>30</v>
      </c>
      <c r="N1246" s="22">
        <v>111444</v>
      </c>
      <c r="O1246" s="22" t="str">
        <f t="shared" si="585"/>
        <v>001006</v>
      </c>
      <c r="P1246" s="22">
        <f t="shared" si="586"/>
        <v>34</v>
      </c>
      <c r="Q1246" s="22"/>
      <c r="R1246" s="23" t="s">
        <v>153</v>
      </c>
      <c r="S1246" s="22">
        <f t="shared" si="587"/>
        <v>0.56999999999999995</v>
      </c>
      <c r="T1246" s="24">
        <f t="shared" si="588"/>
        <v>0</v>
      </c>
      <c r="U1246" s="25">
        <f t="shared" si="589"/>
        <v>2</v>
      </c>
      <c r="V1246" s="26" t="str">
        <f t="shared" si="590"/>
        <v/>
      </c>
    </row>
    <row r="1247" spans="1:22" ht="48.2" customHeight="1" x14ac:dyDescent="0.25">
      <c r="A1247" s="17">
        <f>VLOOKUP(C1247,[1]Werke!$A$1:$C$168,3,0)</f>
        <v>88</v>
      </c>
      <c r="B1247" s="17" t="str">
        <f>VLOOKUP(C1247,[1]Werke!$A$1:$C$168,2,0)</f>
        <v>02</v>
      </c>
      <c r="C1247" s="20" t="s">
        <v>167</v>
      </c>
      <c r="D1247" s="17" t="str">
        <f>VLOOKUP(C1247,[1]Maliteslimalan!$A$1:$B$210,2,0)</f>
        <v>8000012643</v>
      </c>
      <c r="E1247" s="19" t="str">
        <f>VLOOKUP(C1247,[1]Bestellnr.!$A$1:$B$174,2,0)</f>
        <v>000088</v>
      </c>
      <c r="F1247" s="20" t="str">
        <f t="shared" si="581"/>
        <v>N   102 861 10</v>
      </c>
      <c r="G1247" s="17">
        <v>970692000</v>
      </c>
      <c r="H1247" s="17">
        <f t="shared" si="582"/>
        <v>1.4800000000000001E-2</v>
      </c>
      <c r="I1247" s="20"/>
      <c r="J1247" s="17">
        <f t="shared" si="583"/>
        <v>950</v>
      </c>
      <c r="K1247" s="17">
        <f t="shared" si="584"/>
        <v>0</v>
      </c>
      <c r="L1247" s="22">
        <v>10</v>
      </c>
      <c r="M1247" s="22">
        <v>30</v>
      </c>
      <c r="N1247" s="22">
        <v>111444</v>
      </c>
      <c r="O1247" s="22" t="str">
        <f t="shared" si="585"/>
        <v>001006</v>
      </c>
      <c r="P1247" s="22">
        <f t="shared" si="586"/>
        <v>34</v>
      </c>
      <c r="Q1247" s="22"/>
      <c r="R1247" s="23" t="s">
        <v>153</v>
      </c>
      <c r="S1247" s="22">
        <f t="shared" si="587"/>
        <v>0.56999999999999995</v>
      </c>
      <c r="T1247" s="24">
        <f t="shared" si="588"/>
        <v>0</v>
      </c>
      <c r="U1247" s="25">
        <f t="shared" si="589"/>
        <v>2</v>
      </c>
      <c r="V1247" s="26" t="str">
        <f t="shared" si="590"/>
        <v/>
      </c>
    </row>
    <row r="1248" spans="1:22" ht="48.2" customHeight="1" x14ac:dyDescent="0.25">
      <c r="A1248" s="17">
        <f>VLOOKUP(C1248,[1]Werke!$A$1:$C$168,3,0)</f>
        <v>88</v>
      </c>
      <c r="B1248" s="17" t="str">
        <f>VLOOKUP(C1248,[1]Werke!$A$1:$C$168,2,0)</f>
        <v>02</v>
      </c>
      <c r="C1248" s="20" t="s">
        <v>167</v>
      </c>
      <c r="D1248" s="17" t="str">
        <f>VLOOKUP(C1248,[1]Maliteslimalan!$A$1:$B$210,2,0)</f>
        <v>8000012643</v>
      </c>
      <c r="E1248" s="19" t="str">
        <f>VLOOKUP(C1248,[1]Bestellnr.!$A$1:$B$174,2,0)</f>
        <v>000088</v>
      </c>
      <c r="F1248" s="20" t="str">
        <f t="shared" si="581"/>
        <v>N   907 988 05</v>
      </c>
      <c r="G1248" s="17">
        <v>970697000</v>
      </c>
      <c r="H1248" s="17">
        <f t="shared" si="582"/>
        <v>9.2599999999999991E-3</v>
      </c>
      <c r="I1248" s="20"/>
      <c r="J1248" s="17">
        <f t="shared" si="583"/>
        <v>1550</v>
      </c>
      <c r="K1248" s="17">
        <f t="shared" si="584"/>
        <v>0</v>
      </c>
      <c r="L1248" s="22">
        <v>10</v>
      </c>
      <c r="M1248" s="22">
        <v>10</v>
      </c>
      <c r="N1248" s="22">
        <v>111444</v>
      </c>
      <c r="O1248" s="22" t="str">
        <f t="shared" si="585"/>
        <v>001006</v>
      </c>
      <c r="P1248" s="22">
        <f t="shared" si="586"/>
        <v>34</v>
      </c>
      <c r="Q1248" s="22"/>
      <c r="R1248" s="23" t="s">
        <v>153</v>
      </c>
      <c r="S1248" s="22">
        <f t="shared" si="587"/>
        <v>0.56999999999999995</v>
      </c>
      <c r="T1248" s="24">
        <f t="shared" si="588"/>
        <v>0</v>
      </c>
      <c r="U1248" s="25">
        <f t="shared" si="589"/>
        <v>2</v>
      </c>
      <c r="V1248" s="26" t="str">
        <f t="shared" si="590"/>
        <v/>
      </c>
    </row>
    <row r="1249" spans="1:22" ht="48.2" customHeight="1" x14ac:dyDescent="0.25">
      <c r="A1249" s="17">
        <f>VLOOKUP(C1249,[1]Werke!$A$1:$C$168,3,0)</f>
        <v>88</v>
      </c>
      <c r="B1249" s="17" t="str">
        <f>VLOOKUP(C1249,[1]Werke!$A$1:$C$168,2,0)</f>
        <v>02</v>
      </c>
      <c r="C1249" s="20" t="s">
        <v>167</v>
      </c>
      <c r="D1249" s="17" t="str">
        <f>VLOOKUP(C1249,[1]Maliteslimalan!$A$1:$B$210,2,0)</f>
        <v>8000012643</v>
      </c>
      <c r="E1249" s="19" t="str">
        <f>VLOOKUP(C1249,[1]Bestellnr.!$A$1:$B$174,2,0)</f>
        <v>000088</v>
      </c>
      <c r="F1249" s="20" t="str">
        <f t="shared" si="581"/>
        <v>N   901 838 03</v>
      </c>
      <c r="G1249" s="17">
        <v>967156000</v>
      </c>
      <c r="H1249" s="17">
        <f t="shared" si="582"/>
        <v>9.0399999999999994E-3</v>
      </c>
      <c r="I1249" s="20"/>
      <c r="J1249" s="17">
        <f t="shared" si="583"/>
        <v>1500</v>
      </c>
      <c r="K1249" s="17">
        <f t="shared" si="584"/>
        <v>0</v>
      </c>
      <c r="L1249" s="22">
        <v>10</v>
      </c>
      <c r="M1249" s="22">
        <v>30</v>
      </c>
      <c r="N1249" s="22">
        <v>111444</v>
      </c>
      <c r="O1249" s="22" t="str">
        <f t="shared" si="585"/>
        <v>001006</v>
      </c>
      <c r="P1249" s="22">
        <f t="shared" si="586"/>
        <v>34</v>
      </c>
      <c r="Q1249" s="22"/>
      <c r="R1249" s="23" t="s">
        <v>153</v>
      </c>
      <c r="S1249" s="22">
        <f t="shared" si="587"/>
        <v>0.56999999999999995</v>
      </c>
      <c r="T1249" s="24">
        <f t="shared" si="588"/>
        <v>0</v>
      </c>
      <c r="U1249" s="25">
        <f t="shared" si="589"/>
        <v>2</v>
      </c>
      <c r="V1249" s="26" t="str">
        <f t="shared" si="590"/>
        <v/>
      </c>
    </row>
    <row r="1250" spans="1:22" ht="48.2" customHeight="1" x14ac:dyDescent="0.25">
      <c r="A1250" s="17">
        <f>VLOOKUP(C1250,[1]Werke!$A$1:$C$168,3,0)</f>
        <v>88</v>
      </c>
      <c r="B1250" s="17" t="str">
        <f>VLOOKUP(C1250,[1]Werke!$A$1:$C$168,2,0)</f>
        <v>02</v>
      </c>
      <c r="C1250" s="20" t="s">
        <v>167</v>
      </c>
      <c r="D1250" s="17" t="str">
        <f>VLOOKUP(C1250,[1]Maliteslimalan!$A$1:$B$210,2,0)</f>
        <v>8000012643</v>
      </c>
      <c r="E1250" s="19" t="str">
        <f>VLOOKUP(C1250,[1]Bestellnr.!$A$1:$B$174,2,0)</f>
        <v>000088</v>
      </c>
      <c r="F1250" s="20" t="str">
        <f t="shared" si="581"/>
        <v>N   910 166 02</v>
      </c>
      <c r="G1250" s="17">
        <v>933880000</v>
      </c>
      <c r="H1250" s="17">
        <f t="shared" si="582"/>
        <v>9.1740000000000002E-2</v>
      </c>
      <c r="I1250" s="20"/>
      <c r="J1250" s="17">
        <f t="shared" si="583"/>
        <v>150</v>
      </c>
      <c r="K1250" s="17">
        <f t="shared" si="584"/>
        <v>0</v>
      </c>
      <c r="L1250" s="22">
        <v>10</v>
      </c>
      <c r="M1250" s="22">
        <v>30</v>
      </c>
      <c r="N1250" s="22" t="s">
        <v>155</v>
      </c>
      <c r="O1250" s="22" t="str">
        <f t="shared" si="585"/>
        <v>001210</v>
      </c>
      <c r="P1250" s="22">
        <f t="shared" si="586"/>
        <v>55</v>
      </c>
      <c r="Q1250" s="22"/>
      <c r="R1250" s="23" t="s">
        <v>175</v>
      </c>
      <c r="S1250" s="22">
        <f t="shared" si="587"/>
        <v>1.08</v>
      </c>
      <c r="T1250" s="24">
        <f t="shared" si="588"/>
        <v>0</v>
      </c>
      <c r="U1250" s="25">
        <f t="shared" si="589"/>
        <v>1</v>
      </c>
      <c r="V1250" s="26" t="str">
        <f t="shared" si="590"/>
        <v/>
      </c>
    </row>
    <row r="1251" spans="1:22" ht="48.2" customHeight="1" x14ac:dyDescent="0.25">
      <c r="A1251" s="17">
        <f>VLOOKUP(C1251,[1]Werke!$A$1:$C$168,3,0)</f>
        <v>88</v>
      </c>
      <c r="B1251" s="17" t="str">
        <f>VLOOKUP(C1251,[1]Werke!$A$1:$C$168,2,0)</f>
        <v>02</v>
      </c>
      <c r="C1251" s="20" t="s">
        <v>167</v>
      </c>
      <c r="D1251" s="17" t="str">
        <f>VLOOKUP(C1251,[1]Maliteslimalan!$A$1:$B$210,2,0)</f>
        <v>8000012643</v>
      </c>
      <c r="E1251" s="19" t="str">
        <f>VLOOKUP(C1251,[1]Bestellnr.!$A$1:$B$174,2,0)</f>
        <v>000088</v>
      </c>
      <c r="F1251" s="20" t="str">
        <f t="shared" si="581"/>
        <v>N   910 214 03</v>
      </c>
      <c r="G1251" s="17">
        <v>100328100</v>
      </c>
      <c r="H1251" s="17">
        <f t="shared" si="582"/>
        <v>3.6929999999999998E-2</v>
      </c>
      <c r="I1251" s="20"/>
      <c r="J1251" s="17">
        <f t="shared" si="583"/>
        <v>300</v>
      </c>
      <c r="K1251" s="17">
        <f t="shared" si="584"/>
        <v>0</v>
      </c>
      <c r="L1251" s="22">
        <v>10</v>
      </c>
      <c r="M1251" s="22">
        <v>30</v>
      </c>
      <c r="N1251" s="22">
        <v>111444</v>
      </c>
      <c r="O1251" s="22" t="str">
        <f t="shared" si="585"/>
        <v>001006</v>
      </c>
      <c r="P1251" s="22">
        <f t="shared" si="586"/>
        <v>34</v>
      </c>
      <c r="Q1251" s="22"/>
      <c r="R1251" s="23" t="s">
        <v>153</v>
      </c>
      <c r="S1251" s="22">
        <f t="shared" si="587"/>
        <v>0.56999999999999995</v>
      </c>
      <c r="T1251" s="24">
        <f t="shared" si="588"/>
        <v>0</v>
      </c>
      <c r="U1251" s="25">
        <f t="shared" si="589"/>
        <v>2</v>
      </c>
      <c r="V1251" s="26" t="str">
        <f t="shared" si="590"/>
        <v/>
      </c>
    </row>
    <row r="1252" spans="1:22" ht="48.2" customHeight="1" x14ac:dyDescent="0.25">
      <c r="A1252" s="17">
        <f>VLOOKUP(C1252,[1]Werke!$A$1:$C$168,3,0)</f>
        <v>88</v>
      </c>
      <c r="B1252" s="17" t="str">
        <f>VLOOKUP(C1252,[1]Werke!$A$1:$C$168,2,0)</f>
        <v>02</v>
      </c>
      <c r="C1252" s="20" t="s">
        <v>167</v>
      </c>
      <c r="D1252" s="17" t="str">
        <f>VLOOKUP(C1252,[1]Maliteslimalan!$A$1:$B$210,2,0)</f>
        <v>8000012643</v>
      </c>
      <c r="E1252" s="19" t="str">
        <f>VLOOKUP(C1252,[1]Bestellnr.!$A$1:$B$174,2,0)</f>
        <v>000088</v>
      </c>
      <c r="F1252" s="20" t="str">
        <f t="shared" si="581"/>
        <v>N   910 973 01</v>
      </c>
      <c r="G1252" s="17">
        <v>100328300</v>
      </c>
      <c r="H1252" s="17">
        <f t="shared" si="582"/>
        <v>1.1129999999999999E-2</v>
      </c>
      <c r="I1252" s="20"/>
      <c r="J1252" s="17">
        <f t="shared" si="583"/>
        <v>1000</v>
      </c>
      <c r="K1252" s="17">
        <f t="shared" si="584"/>
        <v>0</v>
      </c>
      <c r="L1252" s="22">
        <v>10</v>
      </c>
      <c r="M1252" s="22">
        <v>30</v>
      </c>
      <c r="N1252" s="22">
        <v>111444</v>
      </c>
      <c r="O1252" s="22" t="str">
        <f t="shared" si="585"/>
        <v>001006</v>
      </c>
      <c r="P1252" s="22">
        <f t="shared" si="586"/>
        <v>34</v>
      </c>
      <c r="Q1252" s="22"/>
      <c r="R1252" s="23" t="s">
        <v>153</v>
      </c>
      <c r="S1252" s="22">
        <f t="shared" si="587"/>
        <v>0.56999999999999995</v>
      </c>
      <c r="T1252" s="24">
        <f t="shared" si="588"/>
        <v>0</v>
      </c>
      <c r="U1252" s="25">
        <f t="shared" si="589"/>
        <v>2</v>
      </c>
      <c r="V1252" s="26" t="str">
        <f t="shared" si="590"/>
        <v/>
      </c>
    </row>
    <row r="1253" spans="1:22" ht="48.2" customHeight="1" x14ac:dyDescent="0.25">
      <c r="A1253" s="17">
        <f>VLOOKUP(C1253,[1]Werke!$A$1:$C$168,3,0)</f>
        <v>88</v>
      </c>
      <c r="B1253" s="17" t="str">
        <f>VLOOKUP(C1253,[1]Werke!$A$1:$C$168,2,0)</f>
        <v>02</v>
      </c>
      <c r="C1253" s="20" t="s">
        <v>167</v>
      </c>
      <c r="D1253" s="17" t="str">
        <f>VLOOKUP(C1253,[1]Maliteslimalan!$A$1:$B$210,2,0)</f>
        <v>8000012643</v>
      </c>
      <c r="E1253" s="19" t="str">
        <f>VLOOKUP(C1253,[1]Bestellnr.!$A$1:$B$174,2,0)</f>
        <v>000088</v>
      </c>
      <c r="F1253" s="20" t="str">
        <f t="shared" si="581"/>
        <v>N   911 266 01</v>
      </c>
      <c r="G1253" s="17">
        <v>932337000</v>
      </c>
      <c r="H1253" s="17">
        <f t="shared" si="582"/>
        <v>6.3400000000000001E-3</v>
      </c>
      <c r="I1253" s="20"/>
      <c r="J1253" s="17">
        <f t="shared" si="583"/>
        <v>2400</v>
      </c>
      <c r="K1253" s="17">
        <f t="shared" si="584"/>
        <v>0</v>
      </c>
      <c r="L1253" s="22">
        <v>10</v>
      </c>
      <c r="M1253" s="22">
        <v>30</v>
      </c>
      <c r="N1253" s="22">
        <v>111444</v>
      </c>
      <c r="O1253" s="22" t="str">
        <f t="shared" si="585"/>
        <v>001006</v>
      </c>
      <c r="P1253" s="22">
        <f t="shared" si="586"/>
        <v>34</v>
      </c>
      <c r="Q1253" s="22"/>
      <c r="R1253" s="23" t="s">
        <v>153</v>
      </c>
      <c r="S1253" s="22">
        <f t="shared" si="587"/>
        <v>0.56999999999999995</v>
      </c>
      <c r="T1253" s="24">
        <f t="shared" si="588"/>
        <v>0</v>
      </c>
      <c r="U1253" s="25">
        <f t="shared" si="589"/>
        <v>2</v>
      </c>
      <c r="V1253" s="26" t="str">
        <f t="shared" si="590"/>
        <v/>
      </c>
    </row>
    <row r="1254" spans="1:22" ht="48.2" customHeight="1" x14ac:dyDescent="0.25">
      <c r="A1254" s="17">
        <f>VLOOKUP(C1254,[1]Werke!$A$1:$C$168,3,0)</f>
        <v>88</v>
      </c>
      <c r="B1254" s="17" t="str">
        <f>VLOOKUP(C1254,[1]Werke!$A$1:$C$168,2,0)</f>
        <v>02</v>
      </c>
      <c r="C1254" s="20" t="s">
        <v>167</v>
      </c>
      <c r="D1254" s="17" t="str">
        <f>VLOOKUP(C1254,[1]Maliteslimalan!$A$1:$B$210,2,0)</f>
        <v>8000012643</v>
      </c>
      <c r="E1254" s="19" t="str">
        <f>VLOOKUP(C1254,[1]Bestellnr.!$A$1:$B$174,2,0)</f>
        <v>000088</v>
      </c>
      <c r="F1254" s="20" t="str">
        <f t="shared" si="581"/>
        <v>N   911 422 01</v>
      </c>
      <c r="G1254" s="17">
        <v>932226000</v>
      </c>
      <c r="H1254" s="17">
        <f t="shared" si="582"/>
        <v>1.7319999999999999E-2</v>
      </c>
      <c r="I1254" s="20"/>
      <c r="J1254" s="17">
        <f t="shared" si="583"/>
        <v>800</v>
      </c>
      <c r="K1254" s="17">
        <f t="shared" si="584"/>
        <v>0</v>
      </c>
      <c r="L1254" s="22">
        <v>10</v>
      </c>
      <c r="M1254" s="22">
        <v>30</v>
      </c>
      <c r="N1254" s="22">
        <v>111444</v>
      </c>
      <c r="O1254" s="22" t="str">
        <f t="shared" si="585"/>
        <v>001006</v>
      </c>
      <c r="P1254" s="22">
        <f t="shared" si="586"/>
        <v>34</v>
      </c>
      <c r="Q1254" s="22"/>
      <c r="R1254" s="23" t="s">
        <v>153</v>
      </c>
      <c r="S1254" s="22">
        <f t="shared" si="587"/>
        <v>0.56999999999999995</v>
      </c>
      <c r="T1254" s="24">
        <f t="shared" si="588"/>
        <v>0</v>
      </c>
      <c r="U1254" s="25">
        <f t="shared" si="589"/>
        <v>2</v>
      </c>
      <c r="V1254" s="26" t="str">
        <f t="shared" si="590"/>
        <v/>
      </c>
    </row>
    <row r="1255" spans="1:22" ht="48.2" customHeight="1" x14ac:dyDescent="0.25">
      <c r="A1255" s="17">
        <f>VLOOKUP(C1255,[1]Werke!$A$1:$C$168,3,0)</f>
        <v>88</v>
      </c>
      <c r="B1255" s="17" t="str">
        <f>VLOOKUP(C1255,[1]Werke!$A$1:$C$168,2,0)</f>
        <v>02</v>
      </c>
      <c r="C1255" s="20" t="s">
        <v>167</v>
      </c>
      <c r="D1255" s="17" t="str">
        <f>VLOOKUP(C1255,[1]Maliteslimalan!$A$1:$B$210,2,0)</f>
        <v>8000012643</v>
      </c>
      <c r="E1255" s="19" t="str">
        <f>VLOOKUP(C1255,[1]Bestellnr.!$A$1:$B$174,2,0)</f>
        <v>000088</v>
      </c>
      <c r="F1255" s="20" t="str">
        <f t="shared" si="581"/>
        <v>N   911 439 01</v>
      </c>
      <c r="G1255" s="17">
        <v>932227000</v>
      </c>
      <c r="H1255" s="17">
        <f t="shared" si="582"/>
        <v>1.4279999999999999E-2</v>
      </c>
      <c r="I1255" s="20"/>
      <c r="J1255" s="17">
        <f t="shared" si="583"/>
        <v>1000</v>
      </c>
      <c r="K1255" s="17">
        <f t="shared" si="584"/>
        <v>0</v>
      </c>
      <c r="L1255" s="22">
        <v>10</v>
      </c>
      <c r="M1255" s="22">
        <v>30</v>
      </c>
      <c r="N1255" s="22">
        <v>111444</v>
      </c>
      <c r="O1255" s="22" t="str">
        <f t="shared" si="585"/>
        <v>001006</v>
      </c>
      <c r="P1255" s="22">
        <f t="shared" si="586"/>
        <v>34</v>
      </c>
      <c r="Q1255" s="22"/>
      <c r="R1255" s="23" t="s">
        <v>153</v>
      </c>
      <c r="S1255" s="22">
        <f t="shared" si="587"/>
        <v>0.56999999999999995</v>
      </c>
      <c r="T1255" s="24">
        <f t="shared" si="588"/>
        <v>0</v>
      </c>
      <c r="U1255" s="25">
        <f t="shared" si="589"/>
        <v>2</v>
      </c>
      <c r="V1255" s="26" t="str">
        <f t="shared" si="590"/>
        <v/>
      </c>
    </row>
    <row r="1256" spans="1:22" ht="48.2" customHeight="1" x14ac:dyDescent="0.25">
      <c r="A1256" s="17">
        <f>VLOOKUP(C1256,[1]Werke!$A$1:$C$168,3,0)</f>
        <v>88</v>
      </c>
      <c r="B1256" s="17" t="str">
        <f>VLOOKUP(C1256,[1]Werke!$A$1:$C$168,2,0)</f>
        <v>02</v>
      </c>
      <c r="C1256" s="20" t="s">
        <v>167</v>
      </c>
      <c r="D1256" s="17" t="str">
        <f>VLOOKUP(C1256,[1]Maliteslimalan!$A$1:$B$210,2,0)</f>
        <v>8000012643</v>
      </c>
      <c r="E1256" s="19" t="str">
        <f>VLOOKUP(C1256,[1]Bestellnr.!$A$1:$B$174,2,0)</f>
        <v>000088</v>
      </c>
      <c r="F1256" s="20" t="str">
        <f t="shared" si="581"/>
        <v>N   911 669 01</v>
      </c>
      <c r="G1256" s="17">
        <v>933036000</v>
      </c>
      <c r="H1256" s="17">
        <f t="shared" si="582"/>
        <v>8.6499999999999997E-3</v>
      </c>
      <c r="I1256" s="20"/>
      <c r="J1256" s="17">
        <f t="shared" si="583"/>
        <v>1700</v>
      </c>
      <c r="K1256" s="17">
        <f t="shared" si="584"/>
        <v>0</v>
      </c>
      <c r="L1256" s="22">
        <v>10</v>
      </c>
      <c r="M1256" s="22">
        <v>30</v>
      </c>
      <c r="N1256" s="22">
        <v>111444</v>
      </c>
      <c r="O1256" s="22" t="str">
        <f t="shared" si="585"/>
        <v>001006</v>
      </c>
      <c r="P1256" s="22">
        <f t="shared" si="586"/>
        <v>34</v>
      </c>
      <c r="Q1256" s="22"/>
      <c r="R1256" s="23" t="s">
        <v>153</v>
      </c>
      <c r="S1256" s="22">
        <f t="shared" si="587"/>
        <v>0.56999999999999995</v>
      </c>
      <c r="T1256" s="24">
        <f t="shared" si="588"/>
        <v>0</v>
      </c>
      <c r="U1256" s="25">
        <f t="shared" si="589"/>
        <v>2</v>
      </c>
      <c r="V1256" s="26" t="str">
        <f t="shared" si="590"/>
        <v/>
      </c>
    </row>
    <row r="1257" spans="1:22" ht="48.2" customHeight="1" x14ac:dyDescent="0.25">
      <c r="A1257" s="17">
        <f>VLOOKUP(C1257,[1]Werke!$A$1:$C$168,3,0)</f>
        <v>88</v>
      </c>
      <c r="B1257" s="17" t="str">
        <f>VLOOKUP(C1257,[1]Werke!$A$1:$C$168,2,0)</f>
        <v>02</v>
      </c>
      <c r="C1257" s="20" t="s">
        <v>167</v>
      </c>
      <c r="D1257" s="17" t="str">
        <f>VLOOKUP(C1257,[1]Maliteslimalan!$A$1:$B$210,2,0)</f>
        <v>8000012643</v>
      </c>
      <c r="E1257" s="19" t="str">
        <f>VLOOKUP(C1257,[1]Bestellnr.!$A$1:$B$174,2,0)</f>
        <v>000088</v>
      </c>
      <c r="F1257" s="20" t="str">
        <f t="shared" si="581"/>
        <v>N   911 873 01</v>
      </c>
      <c r="G1257" s="17">
        <v>932228000</v>
      </c>
      <c r="H1257" s="17">
        <f t="shared" si="582"/>
        <v>1.9439999999999999E-2</v>
      </c>
      <c r="I1257" s="20"/>
      <c r="J1257" s="17">
        <f t="shared" si="583"/>
        <v>600</v>
      </c>
      <c r="K1257" s="17">
        <f t="shared" si="584"/>
        <v>0</v>
      </c>
      <c r="L1257" s="22">
        <v>10</v>
      </c>
      <c r="M1257" s="22">
        <v>30</v>
      </c>
      <c r="N1257" s="22">
        <v>111444</v>
      </c>
      <c r="O1257" s="22" t="str">
        <f t="shared" si="585"/>
        <v>001006</v>
      </c>
      <c r="P1257" s="22">
        <f t="shared" si="586"/>
        <v>34</v>
      </c>
      <c r="Q1257" s="22"/>
      <c r="R1257" s="23" t="s">
        <v>153</v>
      </c>
      <c r="S1257" s="22">
        <f t="shared" si="587"/>
        <v>0.56999999999999995</v>
      </c>
      <c r="T1257" s="24">
        <f t="shared" si="588"/>
        <v>0</v>
      </c>
      <c r="U1257" s="25">
        <f t="shared" si="589"/>
        <v>2</v>
      </c>
      <c r="V1257" s="26" t="str">
        <f t="shared" si="590"/>
        <v/>
      </c>
    </row>
    <row r="1258" spans="1:22" ht="48.2" customHeight="1" x14ac:dyDescent="0.25">
      <c r="A1258" s="17">
        <f>VLOOKUP(C1258,[1]Werke!$A$1:$C$168,3,0)</f>
        <v>88</v>
      </c>
      <c r="B1258" s="17" t="str">
        <f>VLOOKUP(C1258,[1]Werke!$A$1:$C$168,2,0)</f>
        <v>02</v>
      </c>
      <c r="C1258" s="20" t="s">
        <v>167</v>
      </c>
      <c r="D1258" s="17" t="str">
        <f>VLOOKUP(C1258,[1]Maliteslimalan!$A$1:$B$210,2,0)</f>
        <v>8000012643</v>
      </c>
      <c r="E1258" s="19" t="str">
        <f>VLOOKUP(C1258,[1]Bestellnr.!$A$1:$B$174,2,0)</f>
        <v>000088</v>
      </c>
      <c r="F1258" s="20" t="str">
        <f t="shared" si="581"/>
        <v>N   912 282 01</v>
      </c>
      <c r="G1258" s="17">
        <v>932125000</v>
      </c>
      <c r="H1258" s="17">
        <f t="shared" si="582"/>
        <v>1.9730000000000001E-2</v>
      </c>
      <c r="I1258" s="20"/>
      <c r="J1258" s="17">
        <f t="shared" si="583"/>
        <v>500</v>
      </c>
      <c r="K1258" s="17">
        <f t="shared" si="584"/>
        <v>0</v>
      </c>
      <c r="L1258" s="22">
        <v>10</v>
      </c>
      <c r="M1258" s="22">
        <v>30</v>
      </c>
      <c r="N1258" s="22">
        <v>111444</v>
      </c>
      <c r="O1258" s="22" t="str">
        <f t="shared" si="585"/>
        <v>001006</v>
      </c>
      <c r="P1258" s="22">
        <f t="shared" si="586"/>
        <v>34</v>
      </c>
      <c r="Q1258" s="22"/>
      <c r="R1258" s="23" t="s">
        <v>153</v>
      </c>
      <c r="S1258" s="22">
        <f t="shared" si="587"/>
        <v>0.56999999999999995</v>
      </c>
      <c r="T1258" s="24">
        <f t="shared" si="588"/>
        <v>0</v>
      </c>
      <c r="U1258" s="25">
        <f t="shared" si="589"/>
        <v>2</v>
      </c>
      <c r="V1258" s="26" t="str">
        <f t="shared" si="590"/>
        <v/>
      </c>
    </row>
    <row r="1259" spans="1:22" ht="48.2" customHeight="1" x14ac:dyDescent="0.25">
      <c r="A1259" s="17">
        <f>VLOOKUP(C1259,[1]Werke!$A$1:$C$168,3,0)</f>
        <v>88</v>
      </c>
      <c r="B1259" s="17" t="str">
        <f>VLOOKUP(C1259,[1]Werke!$A$1:$C$168,2,0)</f>
        <v>02</v>
      </c>
      <c r="C1259" s="20" t="s">
        <v>167</v>
      </c>
      <c r="D1259" s="17" t="str">
        <f>VLOOKUP(C1259,[1]Maliteslimalan!$A$1:$B$210,2,0)</f>
        <v>8000012643</v>
      </c>
      <c r="E1259" s="19" t="str">
        <f>VLOOKUP(C1259,[1]Bestellnr.!$A$1:$B$174,2,0)</f>
        <v>000088</v>
      </c>
      <c r="F1259" s="20" t="str">
        <f t="shared" si="581"/>
        <v>N   912 616 01</v>
      </c>
      <c r="G1259" s="17">
        <v>969196000</v>
      </c>
      <c r="H1259" s="17">
        <f t="shared" si="582"/>
        <v>5.7000000000000002E-3</v>
      </c>
      <c r="I1259" s="20"/>
      <c r="J1259" s="17">
        <f t="shared" si="583"/>
        <v>2000</v>
      </c>
      <c r="K1259" s="17">
        <f t="shared" si="584"/>
        <v>0</v>
      </c>
      <c r="L1259" s="22">
        <v>10</v>
      </c>
      <c r="M1259" s="22">
        <v>30</v>
      </c>
      <c r="N1259" s="22">
        <v>111444</v>
      </c>
      <c r="O1259" s="22" t="str">
        <f t="shared" si="585"/>
        <v>001006</v>
      </c>
      <c r="P1259" s="22">
        <f t="shared" si="586"/>
        <v>34</v>
      </c>
      <c r="Q1259" s="22"/>
      <c r="R1259" s="23" t="s">
        <v>153</v>
      </c>
      <c r="S1259" s="22">
        <f t="shared" si="587"/>
        <v>0.56999999999999995</v>
      </c>
      <c r="T1259" s="24">
        <f t="shared" si="588"/>
        <v>0</v>
      </c>
      <c r="U1259" s="25">
        <f t="shared" si="589"/>
        <v>2</v>
      </c>
      <c r="V1259" s="26" t="str">
        <f t="shared" si="590"/>
        <v/>
      </c>
    </row>
    <row r="1260" spans="1:22" ht="48.2" customHeight="1" x14ac:dyDescent="0.25">
      <c r="A1260" s="17">
        <f>VLOOKUP(C1260,[1]Werke!$A$1:$C$168,3,0)</f>
        <v>88</v>
      </c>
      <c r="B1260" s="17" t="str">
        <f>VLOOKUP(C1260,[1]Werke!$A$1:$C$168,2,0)</f>
        <v>02</v>
      </c>
      <c r="C1260" s="20" t="s">
        <v>167</v>
      </c>
      <c r="D1260" s="17" t="str">
        <f>VLOOKUP(C1260,[1]Maliteslimalan!$A$1:$B$210,2,0)</f>
        <v>8000012643</v>
      </c>
      <c r="E1260" s="19" t="str">
        <f>VLOOKUP(C1260,[1]Bestellnr.!$A$1:$B$174,2,0)</f>
        <v>000088</v>
      </c>
      <c r="F1260" s="20" t="str">
        <f t="shared" si="581"/>
        <v>N   913 027 01</v>
      </c>
      <c r="G1260" s="17">
        <v>100355700</v>
      </c>
      <c r="H1260" s="17">
        <f t="shared" si="582"/>
        <v>2.4500000000000001E-2</v>
      </c>
      <c r="I1260" s="20"/>
      <c r="J1260" s="17">
        <f t="shared" si="583"/>
        <v>500</v>
      </c>
      <c r="K1260" s="17">
        <f t="shared" si="584"/>
        <v>0</v>
      </c>
      <c r="L1260" s="22">
        <v>10</v>
      </c>
      <c r="M1260" s="22">
        <v>30</v>
      </c>
      <c r="N1260" s="22">
        <v>111444</v>
      </c>
      <c r="O1260" s="22" t="str">
        <f t="shared" si="585"/>
        <v>001006</v>
      </c>
      <c r="P1260" s="22">
        <f t="shared" si="586"/>
        <v>34</v>
      </c>
      <c r="Q1260" s="22"/>
      <c r="R1260" s="23" t="s">
        <v>153</v>
      </c>
      <c r="S1260" s="22">
        <f t="shared" si="587"/>
        <v>0.56999999999999995</v>
      </c>
      <c r="T1260" s="24">
        <f t="shared" si="588"/>
        <v>0</v>
      </c>
      <c r="U1260" s="25">
        <f t="shared" si="589"/>
        <v>2</v>
      </c>
      <c r="V1260" s="26" t="str">
        <f t="shared" si="590"/>
        <v/>
      </c>
    </row>
    <row r="1261" spans="1:22" ht="48.2" customHeight="1" x14ac:dyDescent="0.25">
      <c r="A1261" s="17">
        <f>VLOOKUP(C1261,[1]Werke!$A$1:$C$168,3,0)</f>
        <v>88</v>
      </c>
      <c r="B1261" s="17" t="str">
        <f>VLOOKUP(C1261,[1]Werke!$A$1:$C$168,2,0)</f>
        <v>02</v>
      </c>
      <c r="C1261" s="20" t="s">
        <v>167</v>
      </c>
      <c r="D1261" s="17" t="str">
        <f>VLOOKUP(C1261,[1]Maliteslimalan!$A$1:$B$210,2,0)</f>
        <v>8000012643</v>
      </c>
      <c r="E1261" s="19" t="str">
        <f>VLOOKUP(C1261,[1]Bestellnr.!$A$1:$B$174,2,0)</f>
        <v>000088</v>
      </c>
      <c r="F1261" s="20" t="str">
        <f t="shared" si="581"/>
        <v>WHT 007 422</v>
      </c>
      <c r="G1261" s="17">
        <v>934310000</v>
      </c>
      <c r="H1261" s="17">
        <f t="shared" si="582"/>
        <v>8.2650000000000001E-2</v>
      </c>
      <c r="I1261" s="20"/>
      <c r="J1261" s="17">
        <f t="shared" si="583"/>
        <v>140</v>
      </c>
      <c r="K1261" s="17">
        <f t="shared" si="584"/>
        <v>0</v>
      </c>
      <c r="L1261" s="22">
        <v>10</v>
      </c>
      <c r="M1261" s="22">
        <v>30</v>
      </c>
      <c r="N1261" s="22">
        <v>111444</v>
      </c>
      <c r="O1261" s="22" t="str">
        <f t="shared" si="585"/>
        <v>001006</v>
      </c>
      <c r="P1261" s="22">
        <f t="shared" si="586"/>
        <v>34</v>
      </c>
      <c r="Q1261" s="22"/>
      <c r="R1261" s="23" t="s">
        <v>153</v>
      </c>
      <c r="S1261" s="22">
        <f t="shared" si="587"/>
        <v>0.56999999999999995</v>
      </c>
      <c r="T1261" s="24">
        <f t="shared" si="588"/>
        <v>0</v>
      </c>
      <c r="U1261" s="25">
        <f t="shared" si="589"/>
        <v>2</v>
      </c>
      <c r="V1261" s="26" t="str">
        <f t="shared" si="590"/>
        <v/>
      </c>
    </row>
    <row r="1262" spans="1:22" ht="48.2" customHeight="1" x14ac:dyDescent="0.25">
      <c r="A1262" s="17">
        <f>VLOOKUP(C1262,[1]Werke!$A$1:$C$168,3,0)</f>
        <v>88</v>
      </c>
      <c r="B1262" s="17" t="str">
        <f>VLOOKUP(C1262,[1]Werke!$A$1:$C$168,2,0)</f>
        <v>02</v>
      </c>
      <c r="C1262" s="20" t="s">
        <v>167</v>
      </c>
      <c r="D1262" s="17" t="str">
        <f>VLOOKUP(C1262,[1]Maliteslimalan!$A$1:$B$210,2,0)</f>
        <v>8000012643</v>
      </c>
      <c r="E1262" s="19" t="str">
        <f>VLOOKUP(C1262,[1]Bestellnr.!$A$1:$B$174,2,0)</f>
        <v>000088</v>
      </c>
      <c r="F1262" s="20" t="str">
        <f t="shared" si="581"/>
        <v>WHT 007 423</v>
      </c>
      <c r="G1262" s="17">
        <v>934309000</v>
      </c>
      <c r="H1262" s="17">
        <f t="shared" si="582"/>
        <v>6.8010000000000001E-2</v>
      </c>
      <c r="I1262" s="20"/>
      <c r="J1262" s="17">
        <f t="shared" si="583"/>
        <v>170</v>
      </c>
      <c r="K1262" s="17">
        <f t="shared" si="584"/>
        <v>0</v>
      </c>
      <c r="L1262" s="22">
        <v>10</v>
      </c>
      <c r="M1262" s="22">
        <v>30</v>
      </c>
      <c r="N1262" s="22">
        <v>111444</v>
      </c>
      <c r="O1262" s="22" t="str">
        <f t="shared" si="585"/>
        <v>001006</v>
      </c>
      <c r="P1262" s="22">
        <f t="shared" si="586"/>
        <v>34</v>
      </c>
      <c r="Q1262" s="22"/>
      <c r="R1262" s="23" t="s">
        <v>153</v>
      </c>
      <c r="S1262" s="22">
        <f t="shared" si="587"/>
        <v>0.56999999999999995</v>
      </c>
      <c r="T1262" s="24">
        <f t="shared" si="588"/>
        <v>0</v>
      </c>
      <c r="U1262" s="25">
        <f t="shared" si="589"/>
        <v>2</v>
      </c>
      <c r="V1262" s="26" t="str">
        <f t="shared" si="590"/>
        <v/>
      </c>
    </row>
    <row r="1263" spans="1:22" ht="48.2" customHeight="1" x14ac:dyDescent="0.25">
      <c r="A1263" s="17">
        <f>VLOOKUP(C1263,[1]Werke!$A$1:$C$168,3,0)</f>
        <v>88</v>
      </c>
      <c r="B1263" s="17" t="str">
        <f>VLOOKUP(C1263,[1]Werke!$A$1:$C$168,2,0)</f>
        <v>02</v>
      </c>
      <c r="C1263" s="20" t="s">
        <v>167</v>
      </c>
      <c r="D1263" s="17" t="str">
        <f>VLOOKUP(C1263,[1]Maliteslimalan!$A$1:$B$210,2,0)</f>
        <v>8000012643</v>
      </c>
      <c r="E1263" s="19" t="str">
        <f>VLOOKUP(C1263,[1]Bestellnr.!$A$1:$B$174,2,0)</f>
        <v>000088</v>
      </c>
      <c r="F1263" s="20" t="str">
        <f t="shared" si="581"/>
        <v>WHT 007 828</v>
      </c>
      <c r="G1263" s="17">
        <v>969209000</v>
      </c>
      <c r="H1263" s="17">
        <f t="shared" si="582"/>
        <v>1.9900000000000001E-2</v>
      </c>
      <c r="I1263" s="20"/>
      <c r="J1263" s="17">
        <f t="shared" si="583"/>
        <v>500</v>
      </c>
      <c r="K1263" s="17">
        <f t="shared" si="584"/>
        <v>0</v>
      </c>
      <c r="L1263" s="22">
        <v>10</v>
      </c>
      <c r="M1263" s="22">
        <v>30</v>
      </c>
      <c r="N1263" s="22">
        <v>111444</v>
      </c>
      <c r="O1263" s="22" t="str">
        <f t="shared" si="585"/>
        <v>001006</v>
      </c>
      <c r="P1263" s="22">
        <f t="shared" si="586"/>
        <v>34</v>
      </c>
      <c r="Q1263" s="22"/>
      <c r="R1263" s="23" t="s">
        <v>153</v>
      </c>
      <c r="S1263" s="22">
        <f t="shared" si="587"/>
        <v>0.56999999999999995</v>
      </c>
      <c r="T1263" s="24">
        <f t="shared" si="588"/>
        <v>0</v>
      </c>
      <c r="U1263" s="25">
        <f t="shared" si="589"/>
        <v>2</v>
      </c>
      <c r="V1263" s="26" t="str">
        <f t="shared" si="590"/>
        <v/>
      </c>
    </row>
    <row r="1264" spans="1:22" ht="48.2" customHeight="1" x14ac:dyDescent="0.25">
      <c r="A1264" s="17">
        <f>VLOOKUP(C1264,[1]Werke!$A$1:$C$168,3,0)</f>
        <v>88</v>
      </c>
      <c r="B1264" s="17" t="str">
        <f>VLOOKUP(C1264,[1]Werke!$A$1:$C$168,2,0)</f>
        <v>02</v>
      </c>
      <c r="C1264" s="20" t="s">
        <v>167</v>
      </c>
      <c r="D1264" s="17" t="str">
        <f>VLOOKUP(C1264,[1]Maliteslimalan!$A$1:$B$210,2,0)</f>
        <v>8000012643</v>
      </c>
      <c r="E1264" s="19" t="str">
        <f>VLOOKUP(C1264,[1]Bestellnr.!$A$1:$B$174,2,0)</f>
        <v>000088</v>
      </c>
      <c r="F1264" s="20" t="str">
        <f t="shared" si="581"/>
        <v>N   106 283 01</v>
      </c>
      <c r="G1264" s="17">
        <v>933739000</v>
      </c>
      <c r="H1264" s="17">
        <f t="shared" si="582"/>
        <v>9.6629999999999994E-2</v>
      </c>
      <c r="I1264" s="20"/>
      <c r="J1264" s="17">
        <f t="shared" si="583"/>
        <v>110</v>
      </c>
      <c r="K1264" s="17">
        <f t="shared" si="584"/>
        <v>0</v>
      </c>
      <c r="L1264" s="22">
        <v>10</v>
      </c>
      <c r="M1264" s="22">
        <v>30</v>
      </c>
      <c r="N1264" s="22">
        <v>111444</v>
      </c>
      <c r="O1264" s="22" t="str">
        <f t="shared" si="585"/>
        <v>001006</v>
      </c>
      <c r="P1264" s="22">
        <f t="shared" si="586"/>
        <v>34</v>
      </c>
      <c r="Q1264" s="22"/>
      <c r="R1264" s="23" t="s">
        <v>153</v>
      </c>
      <c r="S1264" s="22">
        <f t="shared" si="587"/>
        <v>0.56999999999999995</v>
      </c>
      <c r="T1264" s="24">
        <f t="shared" si="588"/>
        <v>0</v>
      </c>
      <c r="U1264" s="25">
        <f t="shared" si="589"/>
        <v>2</v>
      </c>
      <c r="V1264" s="26" t="str">
        <f t="shared" si="590"/>
        <v/>
      </c>
    </row>
    <row r="1265" spans="1:22" ht="48.2" customHeight="1" x14ac:dyDescent="0.25">
      <c r="A1265" s="17">
        <f>VLOOKUP(C1265,[1]Werke!$A$1:$C$168,3,0)</f>
        <v>88</v>
      </c>
      <c r="B1265" s="17" t="str">
        <f>VLOOKUP(C1265,[1]Werke!$A$1:$C$168,2,0)</f>
        <v>02</v>
      </c>
      <c r="C1265" s="20" t="s">
        <v>167</v>
      </c>
      <c r="D1265" s="17" t="str">
        <f>VLOOKUP(C1265,[1]Maliteslimalan!$A$1:$B$210,2,0)</f>
        <v>8000012643</v>
      </c>
      <c r="E1265" s="19" t="str">
        <f>VLOOKUP(C1265,[1]Bestellnr.!$A$1:$B$174,2,0)</f>
        <v>000088</v>
      </c>
      <c r="F1265" s="20" t="str">
        <f t="shared" si="581"/>
        <v>N   106 421 01</v>
      </c>
      <c r="G1265" s="41">
        <v>100326400</v>
      </c>
      <c r="H1265" s="17">
        <f t="shared" si="582"/>
        <v>1.779E-2</v>
      </c>
      <c r="I1265" s="20"/>
      <c r="J1265" s="17">
        <f t="shared" si="583"/>
        <v>800</v>
      </c>
      <c r="K1265" s="17">
        <f t="shared" si="584"/>
        <v>0</v>
      </c>
      <c r="L1265" s="22">
        <v>10</v>
      </c>
      <c r="M1265" s="22">
        <v>30</v>
      </c>
      <c r="N1265" s="22">
        <v>111444</v>
      </c>
      <c r="O1265" s="22" t="str">
        <f t="shared" si="585"/>
        <v>001006</v>
      </c>
      <c r="P1265" s="22">
        <f t="shared" si="586"/>
        <v>34</v>
      </c>
      <c r="Q1265" s="22"/>
      <c r="R1265" s="23" t="s">
        <v>153</v>
      </c>
      <c r="S1265" s="22">
        <f t="shared" si="587"/>
        <v>0.56999999999999995</v>
      </c>
      <c r="T1265" s="24">
        <f t="shared" si="588"/>
        <v>0</v>
      </c>
      <c r="U1265" s="25">
        <f t="shared" si="589"/>
        <v>2</v>
      </c>
      <c r="V1265" s="26" t="str">
        <f t="shared" si="590"/>
        <v/>
      </c>
    </row>
    <row r="1266" spans="1:22" ht="48.2" customHeight="1" x14ac:dyDescent="0.25">
      <c r="A1266" s="17" t="e">
        <f>VLOOKUP(C1266,[1]Werke!$A$1:$C$168,3,0)</f>
        <v>#N/A</v>
      </c>
      <c r="B1266" s="17" t="e">
        <f>VLOOKUP(C1266,[1]Werke!$A$1:$C$168,2,0)</f>
        <v>#N/A</v>
      </c>
      <c r="C1266" s="18"/>
      <c r="D1266" s="17" t="e">
        <f>VLOOKUP(C1266,[1]Maliteslimalan!$A$1:$B$210,2,0)</f>
        <v>#N/A</v>
      </c>
      <c r="E1266" s="19" t="e">
        <f>VLOOKUP(C1266,[1]Bestellnr.!$A$1:$B$174,2,0)</f>
        <v>#N/A</v>
      </c>
      <c r="F1266" s="20" t="e">
        <f t="shared" si="581"/>
        <v>#N/A</v>
      </c>
      <c r="G1266" s="17"/>
      <c r="H1266" s="17" t="e">
        <f t="shared" si="582"/>
        <v>#N/A</v>
      </c>
      <c r="I1266" s="20"/>
      <c r="J1266" s="17" t="e">
        <f t="shared" si="583"/>
        <v>#N/A</v>
      </c>
      <c r="K1266" s="17" t="e">
        <f t="shared" si="584"/>
        <v>#N/A</v>
      </c>
      <c r="L1266" s="22"/>
      <c r="M1266" s="22"/>
      <c r="N1266" s="22"/>
      <c r="O1266" s="22" t="e">
        <f t="shared" si="585"/>
        <v>#N/A</v>
      </c>
      <c r="P1266" s="22">
        <f t="shared" si="586"/>
        <v>0</v>
      </c>
      <c r="Q1266" s="22"/>
      <c r="R1266" s="23"/>
      <c r="S1266" s="22">
        <f t="shared" si="587"/>
        <v>0</v>
      </c>
      <c r="T1266" s="24" t="e">
        <f t="shared" si="588"/>
        <v>#N/A</v>
      </c>
      <c r="U1266" s="25" t="str">
        <f t="shared" si="589"/>
        <v/>
      </c>
      <c r="V1266" s="26" t="str">
        <f t="shared" si="590"/>
        <v/>
      </c>
    </row>
    <row r="1267" spans="1:22" ht="48.2" customHeight="1" x14ac:dyDescent="0.25">
      <c r="A1267" s="17" t="e">
        <f>VLOOKUP(C1267,[1]Werke!$A$1:$C$168,3,0)</f>
        <v>#N/A</v>
      </c>
      <c r="B1267" s="17" t="e">
        <f>VLOOKUP(C1267,[1]Werke!$A$1:$C$168,2,0)</f>
        <v>#N/A</v>
      </c>
      <c r="C1267" s="18"/>
      <c r="D1267" s="17" t="e">
        <f>VLOOKUP(C1267,[1]Maliteslimalan!$A$1:$B$210,2,0)</f>
        <v>#N/A</v>
      </c>
      <c r="E1267" s="19" t="e">
        <f>VLOOKUP(C1267,[1]Bestellnr.!$A$1:$B$174,2,0)</f>
        <v>#N/A</v>
      </c>
      <c r="F1267" s="20" t="e">
        <f t="shared" si="581"/>
        <v>#N/A</v>
      </c>
      <c r="G1267" s="17"/>
      <c r="H1267" s="17" t="e">
        <f t="shared" si="582"/>
        <v>#N/A</v>
      </c>
      <c r="I1267" s="20"/>
      <c r="J1267" s="17" t="e">
        <f t="shared" si="583"/>
        <v>#N/A</v>
      </c>
      <c r="K1267" s="17" t="e">
        <f t="shared" si="584"/>
        <v>#N/A</v>
      </c>
      <c r="L1267" s="22"/>
      <c r="M1267" s="22"/>
      <c r="N1267" s="22"/>
      <c r="O1267" s="22" t="e">
        <f t="shared" si="585"/>
        <v>#N/A</v>
      </c>
      <c r="P1267" s="22">
        <f t="shared" si="586"/>
        <v>0</v>
      </c>
      <c r="Q1267" s="22"/>
      <c r="R1267" s="23"/>
      <c r="S1267" s="22">
        <f t="shared" si="587"/>
        <v>0</v>
      </c>
      <c r="T1267" s="24" t="e">
        <f t="shared" si="588"/>
        <v>#N/A</v>
      </c>
      <c r="U1267" s="25" t="str">
        <f t="shared" si="589"/>
        <v/>
      </c>
      <c r="V1267" s="26" t="str">
        <f t="shared" si="590"/>
        <v/>
      </c>
    </row>
    <row r="1268" spans="1:22" ht="48.2" customHeight="1" x14ac:dyDescent="0.25">
      <c r="A1268" s="17" t="e">
        <f>VLOOKUP(C1268,[1]Werke!$A$1:$C$168,3,0)</f>
        <v>#N/A</v>
      </c>
      <c r="B1268" s="17" t="e">
        <f>VLOOKUP(C1268,[1]Werke!$A$1:$C$168,2,0)</f>
        <v>#N/A</v>
      </c>
      <c r="C1268" s="18"/>
      <c r="D1268" s="17" t="e">
        <f>VLOOKUP(C1268,[1]Maliteslimalan!$A$1:$B$210,2,0)</f>
        <v>#N/A</v>
      </c>
      <c r="E1268" s="19" t="e">
        <f>VLOOKUP(C1268,[1]Bestellnr.!$A$1:$B$174,2,0)</f>
        <v>#N/A</v>
      </c>
      <c r="F1268" s="20" t="e">
        <f t="shared" si="581"/>
        <v>#N/A</v>
      </c>
      <c r="G1268" s="17"/>
      <c r="H1268" s="17" t="e">
        <f t="shared" si="582"/>
        <v>#N/A</v>
      </c>
      <c r="I1268" s="20"/>
      <c r="J1268" s="17" t="e">
        <f t="shared" si="583"/>
        <v>#N/A</v>
      </c>
      <c r="K1268" s="17" t="e">
        <f t="shared" si="584"/>
        <v>#N/A</v>
      </c>
      <c r="L1268" s="22"/>
      <c r="M1268" s="22"/>
      <c r="N1268" s="22"/>
      <c r="O1268" s="22" t="e">
        <f t="shared" si="585"/>
        <v>#N/A</v>
      </c>
      <c r="P1268" s="22">
        <f t="shared" si="586"/>
        <v>0</v>
      </c>
      <c r="Q1268" s="22"/>
      <c r="R1268" s="23"/>
      <c r="S1268" s="22">
        <f t="shared" si="587"/>
        <v>0</v>
      </c>
      <c r="T1268" s="24" t="e">
        <f t="shared" si="588"/>
        <v>#N/A</v>
      </c>
      <c r="U1268" s="25" t="str">
        <f t="shared" si="589"/>
        <v/>
      </c>
      <c r="V1268" s="26" t="str">
        <f t="shared" si="590"/>
        <v/>
      </c>
    </row>
    <row r="1269" spans="1:22" ht="48.2" customHeight="1" x14ac:dyDescent="0.25">
      <c r="A1269" s="17" t="e">
        <f>VLOOKUP(C1269,[1]Werke!$A$1:$C$168,3,0)</f>
        <v>#N/A</v>
      </c>
      <c r="B1269" s="17" t="e">
        <f>VLOOKUP(C1269,[1]Werke!$A$1:$C$168,2,0)</f>
        <v>#N/A</v>
      </c>
      <c r="C1269" s="18"/>
      <c r="D1269" s="17" t="e">
        <f>VLOOKUP(C1269,[1]Maliteslimalan!$A$1:$B$210,2,0)</f>
        <v>#N/A</v>
      </c>
      <c r="E1269" s="19" t="e">
        <f>VLOOKUP(C1269,[1]Bestellnr.!$A$1:$B$174,2,0)</f>
        <v>#N/A</v>
      </c>
      <c r="F1269" s="20" t="e">
        <f t="shared" si="581"/>
        <v>#N/A</v>
      </c>
      <c r="G1269" s="17"/>
      <c r="H1269" s="17" t="e">
        <f t="shared" si="582"/>
        <v>#N/A</v>
      </c>
      <c r="I1269" s="20"/>
      <c r="J1269" s="17" t="e">
        <f t="shared" si="583"/>
        <v>#N/A</v>
      </c>
      <c r="K1269" s="17" t="e">
        <f t="shared" si="584"/>
        <v>#N/A</v>
      </c>
      <c r="L1269" s="22"/>
      <c r="M1269" s="22"/>
      <c r="N1269" s="22"/>
      <c r="O1269" s="22" t="e">
        <f t="shared" si="585"/>
        <v>#N/A</v>
      </c>
      <c r="P1269" s="22">
        <f t="shared" si="586"/>
        <v>0</v>
      </c>
      <c r="Q1269" s="22"/>
      <c r="R1269" s="23"/>
      <c r="S1269" s="22">
        <f t="shared" si="587"/>
        <v>0</v>
      </c>
      <c r="T1269" s="24" t="e">
        <f t="shared" si="588"/>
        <v>#N/A</v>
      </c>
      <c r="U1269" s="25" t="str">
        <f t="shared" si="589"/>
        <v/>
      </c>
      <c r="V1269" s="26" t="str">
        <f t="shared" si="590"/>
        <v/>
      </c>
    </row>
    <row r="1270" spans="1:22" ht="48.2" customHeight="1" x14ac:dyDescent="0.25">
      <c r="A1270" s="17" t="e">
        <f>VLOOKUP(C1270,[1]Werke!$A$1:$C$168,3,0)</f>
        <v>#N/A</v>
      </c>
      <c r="B1270" s="17" t="e">
        <f>VLOOKUP(C1270,[1]Werke!$A$1:$C$168,2,0)</f>
        <v>#N/A</v>
      </c>
      <c r="C1270" s="18"/>
      <c r="D1270" s="17" t="e">
        <f>VLOOKUP(C1270,[1]Maliteslimalan!$A$1:$B$210,2,0)</f>
        <v>#N/A</v>
      </c>
      <c r="E1270" s="19" t="e">
        <f>VLOOKUP(C1270,[1]Bestellnr.!$A$1:$B$174,2,0)</f>
        <v>#N/A</v>
      </c>
      <c r="F1270" s="20" t="e">
        <f t="shared" si="581"/>
        <v>#N/A</v>
      </c>
      <c r="G1270" s="17"/>
      <c r="H1270" s="17" t="e">
        <f t="shared" si="582"/>
        <v>#N/A</v>
      </c>
      <c r="I1270" s="20"/>
      <c r="J1270" s="17" t="e">
        <f t="shared" si="583"/>
        <v>#N/A</v>
      </c>
      <c r="K1270" s="17" t="e">
        <f t="shared" si="584"/>
        <v>#N/A</v>
      </c>
      <c r="L1270" s="22"/>
      <c r="M1270" s="22"/>
      <c r="N1270" s="22"/>
      <c r="O1270" s="22" t="e">
        <f t="shared" si="585"/>
        <v>#N/A</v>
      </c>
      <c r="P1270" s="22">
        <f t="shared" si="586"/>
        <v>0</v>
      </c>
      <c r="Q1270" s="22"/>
      <c r="R1270" s="23"/>
      <c r="S1270" s="22">
        <f t="shared" si="587"/>
        <v>0</v>
      </c>
      <c r="T1270" s="24" t="e">
        <f t="shared" si="588"/>
        <v>#N/A</v>
      </c>
      <c r="U1270" s="25" t="str">
        <f t="shared" si="589"/>
        <v/>
      </c>
      <c r="V1270" s="26" t="str">
        <f t="shared" si="590"/>
        <v/>
      </c>
    </row>
    <row r="1271" spans="1:22" ht="48.2" customHeight="1" x14ac:dyDescent="0.25">
      <c r="A1271" s="17" t="e">
        <f>VLOOKUP(C1271,[1]Werke!$A$1:$C$168,3,0)</f>
        <v>#N/A</v>
      </c>
      <c r="B1271" s="17" t="e">
        <f>VLOOKUP(C1271,[1]Werke!$A$1:$C$168,2,0)</f>
        <v>#N/A</v>
      </c>
      <c r="C1271" s="18"/>
      <c r="D1271" s="17" t="e">
        <f>VLOOKUP(C1271,[1]Maliteslimalan!$A$1:$B$210,2,0)</f>
        <v>#N/A</v>
      </c>
      <c r="E1271" s="19" t="e">
        <f>VLOOKUP(C1271,[1]Bestellnr.!$A$1:$B$174,2,0)</f>
        <v>#N/A</v>
      </c>
      <c r="F1271" s="20" t="e">
        <f t="shared" si="581"/>
        <v>#N/A</v>
      </c>
      <c r="G1271" s="17"/>
      <c r="H1271" s="17" t="e">
        <f t="shared" si="582"/>
        <v>#N/A</v>
      </c>
      <c r="I1271" s="20"/>
      <c r="J1271" s="17" t="e">
        <f t="shared" si="583"/>
        <v>#N/A</v>
      </c>
      <c r="K1271" s="17" t="e">
        <f t="shared" si="584"/>
        <v>#N/A</v>
      </c>
      <c r="L1271" s="22"/>
      <c r="M1271" s="22"/>
      <c r="N1271" s="22"/>
      <c r="O1271" s="22" t="e">
        <f t="shared" si="585"/>
        <v>#N/A</v>
      </c>
      <c r="P1271" s="22">
        <f t="shared" si="586"/>
        <v>0</v>
      </c>
      <c r="Q1271" s="22"/>
      <c r="R1271" s="23"/>
      <c r="S1271" s="22">
        <f t="shared" si="587"/>
        <v>0</v>
      </c>
      <c r="T1271" s="24" t="e">
        <f t="shared" si="588"/>
        <v>#N/A</v>
      </c>
      <c r="U1271" s="25" t="str">
        <f t="shared" si="589"/>
        <v/>
      </c>
      <c r="V1271" s="26" t="str">
        <f t="shared" si="590"/>
        <v/>
      </c>
    </row>
    <row r="1272" spans="1:22" ht="48.2" customHeight="1" x14ac:dyDescent="0.25">
      <c r="A1272" s="17" t="e">
        <f>VLOOKUP(C1272,[1]Werke!$A$1:$C$168,3,0)</f>
        <v>#N/A</v>
      </c>
      <c r="B1272" s="17" t="e">
        <f>VLOOKUP(C1272,[1]Werke!$A$1:$C$168,2,0)</f>
        <v>#N/A</v>
      </c>
      <c r="C1272" s="18"/>
      <c r="D1272" s="17" t="e">
        <f>VLOOKUP(C1272,[1]Maliteslimalan!$A$1:$B$210,2,0)</f>
        <v>#N/A</v>
      </c>
      <c r="E1272" s="19" t="e">
        <f>VLOOKUP(C1272,[1]Bestellnr.!$A$1:$B$174,2,0)</f>
        <v>#N/A</v>
      </c>
      <c r="F1272" s="20" t="e">
        <f t="shared" si="581"/>
        <v>#N/A</v>
      </c>
      <c r="G1272" s="17"/>
      <c r="H1272" s="17" t="e">
        <f t="shared" si="582"/>
        <v>#N/A</v>
      </c>
      <c r="I1272" s="20"/>
      <c r="J1272" s="17" t="e">
        <f t="shared" si="583"/>
        <v>#N/A</v>
      </c>
      <c r="K1272" s="17" t="e">
        <f t="shared" si="584"/>
        <v>#N/A</v>
      </c>
      <c r="L1272" s="22"/>
      <c r="M1272" s="22"/>
      <c r="N1272" s="22"/>
      <c r="O1272" s="22" t="e">
        <f t="shared" si="585"/>
        <v>#N/A</v>
      </c>
      <c r="P1272" s="22">
        <f t="shared" si="586"/>
        <v>0</v>
      </c>
      <c r="Q1272" s="22"/>
      <c r="R1272" s="23"/>
      <c r="S1272" s="22">
        <f t="shared" si="587"/>
        <v>0</v>
      </c>
      <c r="T1272" s="24" t="e">
        <f t="shared" si="588"/>
        <v>#N/A</v>
      </c>
      <c r="U1272" s="25" t="str">
        <f t="shared" si="589"/>
        <v/>
      </c>
      <c r="V1272" s="26" t="str">
        <f t="shared" si="590"/>
        <v/>
      </c>
    </row>
    <row r="1273" spans="1:22" ht="48.2" customHeight="1" x14ac:dyDescent="0.25">
      <c r="A1273" s="17" t="e">
        <f>VLOOKUP(C1273,[1]Werke!$A$1:$C$168,3,0)</f>
        <v>#N/A</v>
      </c>
      <c r="B1273" s="17" t="e">
        <f>VLOOKUP(C1273,[1]Werke!$A$1:$C$168,2,0)</f>
        <v>#N/A</v>
      </c>
      <c r="C1273" s="18"/>
      <c r="D1273" s="17" t="e">
        <f>VLOOKUP(C1273,[1]Maliteslimalan!$A$1:$B$210,2,0)</f>
        <v>#N/A</v>
      </c>
      <c r="E1273" s="19" t="e">
        <f>VLOOKUP(C1273,[1]Bestellnr.!$A$1:$B$174,2,0)</f>
        <v>#N/A</v>
      </c>
      <c r="F1273" s="20" t="e">
        <f t="shared" si="581"/>
        <v>#N/A</v>
      </c>
      <c r="G1273" s="17"/>
      <c r="H1273" s="17" t="e">
        <f t="shared" si="582"/>
        <v>#N/A</v>
      </c>
      <c r="I1273" s="20"/>
      <c r="J1273" s="17" t="e">
        <f t="shared" si="583"/>
        <v>#N/A</v>
      </c>
      <c r="K1273" s="17" t="e">
        <f t="shared" si="584"/>
        <v>#N/A</v>
      </c>
      <c r="L1273" s="22"/>
      <c r="M1273" s="22"/>
      <c r="N1273" s="22"/>
      <c r="O1273" s="22" t="e">
        <f t="shared" si="585"/>
        <v>#N/A</v>
      </c>
      <c r="P1273" s="22">
        <f t="shared" si="586"/>
        <v>0</v>
      </c>
      <c r="Q1273" s="22"/>
      <c r="R1273" s="23"/>
      <c r="S1273" s="22">
        <f t="shared" si="587"/>
        <v>0</v>
      </c>
      <c r="T1273" s="24" t="e">
        <f t="shared" si="588"/>
        <v>#N/A</v>
      </c>
      <c r="U1273" s="25" t="str">
        <f t="shared" si="589"/>
        <v/>
      </c>
      <c r="V1273" s="26" t="str">
        <f t="shared" si="590"/>
        <v/>
      </c>
    </row>
    <row r="1274" spans="1:22" ht="48.2" customHeight="1" x14ac:dyDescent="0.25">
      <c r="A1274" s="17" t="e">
        <f>VLOOKUP(C1274,[1]Werke!$A$1:$C$168,3,0)</f>
        <v>#N/A</v>
      </c>
      <c r="B1274" s="17" t="e">
        <f>VLOOKUP(C1274,[1]Werke!$A$1:$C$168,2,0)</f>
        <v>#N/A</v>
      </c>
      <c r="C1274" s="18"/>
      <c r="D1274" s="17" t="e">
        <f>VLOOKUP(C1274,[1]Maliteslimalan!$A$1:$B$210,2,0)</f>
        <v>#N/A</v>
      </c>
      <c r="E1274" s="19" t="e">
        <f>VLOOKUP(C1274,[1]Bestellnr.!$A$1:$B$174,2,0)</f>
        <v>#N/A</v>
      </c>
      <c r="F1274" s="20" t="e">
        <f t="shared" si="581"/>
        <v>#N/A</v>
      </c>
      <c r="G1274" s="17"/>
      <c r="H1274" s="17" t="e">
        <f t="shared" si="582"/>
        <v>#N/A</v>
      </c>
      <c r="I1274" s="20"/>
      <c r="J1274" s="17" t="e">
        <f t="shared" si="583"/>
        <v>#N/A</v>
      </c>
      <c r="K1274" s="17" t="e">
        <f t="shared" si="584"/>
        <v>#N/A</v>
      </c>
      <c r="L1274" s="22"/>
      <c r="M1274" s="22"/>
      <c r="N1274" s="22"/>
      <c r="O1274" s="22" t="e">
        <f t="shared" si="585"/>
        <v>#N/A</v>
      </c>
      <c r="P1274" s="22">
        <f t="shared" si="586"/>
        <v>0</v>
      </c>
      <c r="Q1274" s="22"/>
      <c r="R1274" s="23"/>
      <c r="S1274" s="22">
        <f t="shared" si="587"/>
        <v>0</v>
      </c>
      <c r="T1274" s="24" t="e">
        <f t="shared" si="588"/>
        <v>#N/A</v>
      </c>
      <c r="U1274" s="25" t="str">
        <f t="shared" si="589"/>
        <v/>
      </c>
      <c r="V1274" s="26" t="str">
        <f t="shared" si="590"/>
        <v/>
      </c>
    </row>
    <row r="1275" spans="1:22" ht="48.2" customHeight="1" x14ac:dyDescent="0.25">
      <c r="A1275" s="17" t="e">
        <f>VLOOKUP(C1275,[1]Werke!$A$1:$C$168,3,0)</f>
        <v>#N/A</v>
      </c>
      <c r="B1275" s="17" t="e">
        <f>VLOOKUP(C1275,[1]Werke!$A$1:$C$168,2,0)</f>
        <v>#N/A</v>
      </c>
      <c r="C1275" s="18"/>
      <c r="D1275" s="17" t="e">
        <f>VLOOKUP(C1275,[1]Maliteslimalan!$A$1:$B$210,2,0)</f>
        <v>#N/A</v>
      </c>
      <c r="E1275" s="19" t="e">
        <f>VLOOKUP(C1275,[1]Bestellnr.!$A$1:$B$174,2,0)</f>
        <v>#N/A</v>
      </c>
      <c r="F1275" s="20" t="e">
        <f t="shared" si="581"/>
        <v>#N/A</v>
      </c>
      <c r="G1275" s="17"/>
      <c r="H1275" s="17" t="e">
        <f t="shared" si="582"/>
        <v>#N/A</v>
      </c>
      <c r="I1275" s="20"/>
      <c r="J1275" s="17" t="e">
        <f t="shared" si="583"/>
        <v>#N/A</v>
      </c>
      <c r="K1275" s="17" t="e">
        <f t="shared" si="584"/>
        <v>#N/A</v>
      </c>
      <c r="L1275" s="22"/>
      <c r="M1275" s="22"/>
      <c r="N1275" s="22"/>
      <c r="O1275" s="22" t="e">
        <f t="shared" si="585"/>
        <v>#N/A</v>
      </c>
      <c r="P1275" s="22">
        <f t="shared" si="586"/>
        <v>0</v>
      </c>
      <c r="Q1275" s="22"/>
      <c r="R1275" s="23"/>
      <c r="S1275" s="22">
        <f t="shared" si="587"/>
        <v>0</v>
      </c>
      <c r="T1275" s="24" t="e">
        <f t="shared" si="588"/>
        <v>#N/A</v>
      </c>
      <c r="U1275" s="25" t="str">
        <f t="shared" si="589"/>
        <v/>
      </c>
      <c r="V1275" s="26" t="str">
        <f t="shared" si="590"/>
        <v/>
      </c>
    </row>
    <row r="1276" spans="1:22" ht="48.2" customHeight="1" x14ac:dyDescent="0.25">
      <c r="A1276" s="17" t="e">
        <f>VLOOKUP(C1276,[1]Werke!$A$1:$C$168,3,0)</f>
        <v>#N/A</v>
      </c>
      <c r="B1276" s="17" t="e">
        <f>VLOOKUP(C1276,[1]Werke!$A$1:$C$168,2,0)</f>
        <v>#N/A</v>
      </c>
      <c r="C1276" s="18"/>
      <c r="D1276" s="17" t="e">
        <f>VLOOKUP(C1276,[1]Maliteslimalan!$A$1:$B$210,2,0)</f>
        <v>#N/A</v>
      </c>
      <c r="E1276" s="19" t="e">
        <f>VLOOKUP(C1276,[1]Bestellnr.!$A$1:$B$174,2,0)</f>
        <v>#N/A</v>
      </c>
      <c r="F1276" s="20" t="e">
        <f t="shared" si="581"/>
        <v>#N/A</v>
      </c>
      <c r="G1276" s="17"/>
      <c r="H1276" s="17" t="e">
        <f t="shared" si="582"/>
        <v>#N/A</v>
      </c>
      <c r="I1276" s="20"/>
      <c r="J1276" s="17" t="e">
        <f t="shared" si="583"/>
        <v>#N/A</v>
      </c>
      <c r="K1276" s="17" t="e">
        <f t="shared" si="584"/>
        <v>#N/A</v>
      </c>
      <c r="L1276" s="22"/>
      <c r="M1276" s="22"/>
      <c r="N1276" s="22"/>
      <c r="O1276" s="22" t="e">
        <f t="shared" si="585"/>
        <v>#N/A</v>
      </c>
      <c r="P1276" s="22">
        <f t="shared" si="586"/>
        <v>0</v>
      </c>
      <c r="Q1276" s="22"/>
      <c r="R1276" s="23"/>
      <c r="S1276" s="22">
        <f t="shared" si="587"/>
        <v>0</v>
      </c>
      <c r="T1276" s="24" t="e">
        <f t="shared" si="588"/>
        <v>#N/A</v>
      </c>
      <c r="U1276" s="25" t="str">
        <f t="shared" si="589"/>
        <v/>
      </c>
      <c r="V1276" s="26" t="str">
        <f t="shared" si="590"/>
        <v/>
      </c>
    </row>
    <row r="1277" spans="1:22" ht="48.2" customHeight="1" x14ac:dyDescent="0.25">
      <c r="A1277" s="17" t="e">
        <f>VLOOKUP(C1277,[1]Werke!$A$1:$C$168,3,0)</f>
        <v>#N/A</v>
      </c>
      <c r="B1277" s="17" t="e">
        <f>VLOOKUP(C1277,[1]Werke!$A$1:$C$168,2,0)</f>
        <v>#N/A</v>
      </c>
      <c r="C1277" s="18"/>
      <c r="D1277" s="17" t="e">
        <f>VLOOKUP(C1277,[1]Maliteslimalan!$A$1:$B$210,2,0)</f>
        <v>#N/A</v>
      </c>
      <c r="E1277" s="19" t="e">
        <f>VLOOKUP(C1277,[1]Bestellnr.!$A$1:$B$174,2,0)</f>
        <v>#N/A</v>
      </c>
      <c r="F1277" s="20" t="e">
        <f t="shared" si="581"/>
        <v>#N/A</v>
      </c>
      <c r="G1277" s="17"/>
      <c r="H1277" s="17" t="e">
        <f t="shared" si="582"/>
        <v>#N/A</v>
      </c>
      <c r="I1277" s="20"/>
      <c r="J1277" s="17" t="e">
        <f t="shared" si="583"/>
        <v>#N/A</v>
      </c>
      <c r="K1277" s="17" t="e">
        <f t="shared" si="584"/>
        <v>#N/A</v>
      </c>
      <c r="L1277" s="22"/>
      <c r="M1277" s="22"/>
      <c r="N1277" s="22"/>
      <c r="O1277" s="22" t="e">
        <f t="shared" si="585"/>
        <v>#N/A</v>
      </c>
      <c r="P1277" s="22">
        <f t="shared" si="586"/>
        <v>0</v>
      </c>
      <c r="Q1277" s="22"/>
      <c r="R1277" s="23"/>
      <c r="S1277" s="22">
        <f t="shared" si="587"/>
        <v>0</v>
      </c>
      <c r="T1277" s="24" t="e">
        <f t="shared" si="588"/>
        <v>#N/A</v>
      </c>
      <c r="U1277" s="25" t="str">
        <f t="shared" si="589"/>
        <v/>
      </c>
      <c r="V1277" s="26" t="str">
        <f t="shared" si="590"/>
        <v/>
      </c>
    </row>
    <row r="1278" spans="1:22" ht="48.2" customHeight="1" x14ac:dyDescent="0.25">
      <c r="A1278" s="17" t="e">
        <f>VLOOKUP(C1278,[1]Werke!$A$1:$C$168,3,0)</f>
        <v>#N/A</v>
      </c>
      <c r="B1278" s="17" t="e">
        <f>VLOOKUP(C1278,[1]Werke!$A$1:$C$168,2,0)</f>
        <v>#N/A</v>
      </c>
      <c r="C1278" s="18"/>
      <c r="D1278" s="17" t="e">
        <f>VLOOKUP(C1278,[1]Maliteslimalan!$A$1:$B$210,2,0)</f>
        <v>#N/A</v>
      </c>
      <c r="E1278" s="19" t="e">
        <f>VLOOKUP(C1278,[1]Bestellnr.!$A$1:$B$174,2,0)</f>
        <v>#N/A</v>
      </c>
      <c r="F1278" s="20" t="e">
        <f t="shared" si="581"/>
        <v>#N/A</v>
      </c>
      <c r="G1278" s="17"/>
      <c r="H1278" s="17" t="e">
        <f t="shared" si="582"/>
        <v>#N/A</v>
      </c>
      <c r="I1278" s="20"/>
      <c r="J1278" s="17" t="e">
        <f t="shared" si="583"/>
        <v>#N/A</v>
      </c>
      <c r="K1278" s="17" t="e">
        <f t="shared" si="584"/>
        <v>#N/A</v>
      </c>
      <c r="L1278" s="22"/>
      <c r="M1278" s="22"/>
      <c r="N1278" s="22"/>
      <c r="O1278" s="22" t="e">
        <f t="shared" si="585"/>
        <v>#N/A</v>
      </c>
      <c r="P1278" s="22">
        <f t="shared" si="586"/>
        <v>0</v>
      </c>
      <c r="Q1278" s="22"/>
      <c r="R1278" s="23"/>
      <c r="S1278" s="22">
        <f t="shared" si="587"/>
        <v>0</v>
      </c>
      <c r="T1278" s="24" t="e">
        <f t="shared" si="588"/>
        <v>#N/A</v>
      </c>
      <c r="U1278" s="25" t="str">
        <f t="shared" si="589"/>
        <v/>
      </c>
      <c r="V1278" s="26" t="str">
        <f t="shared" si="590"/>
        <v/>
      </c>
    </row>
    <row r="1279" spans="1:22" ht="48.2" customHeight="1" x14ac:dyDescent="0.25">
      <c r="A1279" s="17" t="e">
        <f>VLOOKUP(C1279,[1]Werke!$A$1:$C$168,3,0)</f>
        <v>#N/A</v>
      </c>
      <c r="B1279" s="17" t="e">
        <f>VLOOKUP(C1279,[1]Werke!$A$1:$C$168,2,0)</f>
        <v>#N/A</v>
      </c>
      <c r="C1279" s="18"/>
      <c r="D1279" s="17" t="e">
        <f>VLOOKUP(C1279,[1]Maliteslimalan!$A$1:$B$210,2,0)</f>
        <v>#N/A</v>
      </c>
      <c r="E1279" s="19" t="e">
        <f>VLOOKUP(C1279,[1]Bestellnr.!$A$1:$B$174,2,0)</f>
        <v>#N/A</v>
      </c>
      <c r="F1279" s="20" t="e">
        <f t="shared" si="581"/>
        <v>#N/A</v>
      </c>
      <c r="G1279" s="17"/>
      <c r="H1279" s="17" t="e">
        <f t="shared" si="582"/>
        <v>#N/A</v>
      </c>
      <c r="I1279" s="20"/>
      <c r="J1279" s="17" t="e">
        <f t="shared" si="583"/>
        <v>#N/A</v>
      </c>
      <c r="K1279" s="17" t="e">
        <f t="shared" si="584"/>
        <v>#N/A</v>
      </c>
      <c r="L1279" s="22"/>
      <c r="M1279" s="22"/>
      <c r="N1279" s="22"/>
      <c r="O1279" s="22" t="e">
        <f t="shared" si="585"/>
        <v>#N/A</v>
      </c>
      <c r="P1279" s="22">
        <f t="shared" si="586"/>
        <v>0</v>
      </c>
      <c r="Q1279" s="22"/>
      <c r="R1279" s="23"/>
      <c r="S1279" s="22">
        <f t="shared" si="587"/>
        <v>0</v>
      </c>
      <c r="T1279" s="24" t="e">
        <f t="shared" si="588"/>
        <v>#N/A</v>
      </c>
      <c r="U1279" s="25" t="str">
        <f t="shared" si="589"/>
        <v/>
      </c>
      <c r="V1279" s="26" t="str">
        <f t="shared" si="590"/>
        <v/>
      </c>
    </row>
    <row r="1280" spans="1:22" ht="48.2" customHeight="1" x14ac:dyDescent="0.25">
      <c r="A1280" s="17" t="e">
        <f>VLOOKUP(C1280,[1]Werke!$A$1:$C$168,3,0)</f>
        <v>#N/A</v>
      </c>
      <c r="B1280" s="17" t="e">
        <f>VLOOKUP(C1280,[1]Werke!$A$1:$C$168,2,0)</f>
        <v>#N/A</v>
      </c>
      <c r="C1280" s="18"/>
      <c r="D1280" s="17" t="e">
        <f>VLOOKUP(C1280,[1]Maliteslimalan!$A$1:$B$210,2,0)</f>
        <v>#N/A</v>
      </c>
      <c r="E1280" s="19" t="e">
        <f>VLOOKUP(C1280,[1]Bestellnr.!$A$1:$B$174,2,0)</f>
        <v>#N/A</v>
      </c>
      <c r="F1280" s="20" t="e">
        <f t="shared" si="581"/>
        <v>#N/A</v>
      </c>
      <c r="G1280" s="17"/>
      <c r="H1280" s="17" t="e">
        <f t="shared" si="582"/>
        <v>#N/A</v>
      </c>
      <c r="I1280" s="20"/>
      <c r="J1280" s="17" t="e">
        <f t="shared" si="583"/>
        <v>#N/A</v>
      </c>
      <c r="K1280" s="17" t="e">
        <f t="shared" si="584"/>
        <v>#N/A</v>
      </c>
      <c r="L1280" s="22"/>
      <c r="M1280" s="22"/>
      <c r="N1280" s="22"/>
      <c r="O1280" s="22" t="e">
        <f t="shared" si="585"/>
        <v>#N/A</v>
      </c>
      <c r="P1280" s="22">
        <f t="shared" si="586"/>
        <v>0</v>
      </c>
      <c r="Q1280" s="22"/>
      <c r="R1280" s="23"/>
      <c r="S1280" s="22">
        <f t="shared" si="587"/>
        <v>0</v>
      </c>
      <c r="T1280" s="24" t="e">
        <f t="shared" si="588"/>
        <v>#N/A</v>
      </c>
      <c r="U1280" s="25" t="str">
        <f t="shared" si="589"/>
        <v/>
      </c>
      <c r="V1280" s="26" t="str">
        <f t="shared" si="590"/>
        <v/>
      </c>
    </row>
    <row r="1281" spans="1:39" ht="48.2" customHeight="1" x14ac:dyDescent="0.25">
      <c r="A1281" s="17" t="e">
        <f>VLOOKUP(C1281,[1]Werke!$A$1:$C$168,3,0)</f>
        <v>#N/A</v>
      </c>
      <c r="B1281" s="17" t="e">
        <f>VLOOKUP(C1281,[1]Werke!$A$1:$C$168,2,0)</f>
        <v>#N/A</v>
      </c>
      <c r="C1281" s="18"/>
      <c r="D1281" s="17" t="e">
        <f>VLOOKUP(C1281,[1]Maliteslimalan!$A$1:$B$210,2,0)</f>
        <v>#N/A</v>
      </c>
      <c r="E1281" s="19" t="e">
        <f>VLOOKUP(C1281,[1]Bestellnr.!$A$1:$B$174,2,0)</f>
        <v>#N/A</v>
      </c>
      <c r="F1281" s="20" t="e">
        <f t="shared" si="581"/>
        <v>#N/A</v>
      </c>
      <c r="G1281" s="17"/>
      <c r="H1281" s="17" t="e">
        <f t="shared" si="582"/>
        <v>#N/A</v>
      </c>
      <c r="I1281" s="20"/>
      <c r="J1281" s="17" t="e">
        <f t="shared" si="583"/>
        <v>#N/A</v>
      </c>
      <c r="K1281" s="17" t="e">
        <f t="shared" si="584"/>
        <v>#N/A</v>
      </c>
      <c r="L1281" s="22"/>
      <c r="M1281" s="22"/>
      <c r="N1281" s="22"/>
      <c r="O1281" s="22" t="e">
        <f t="shared" si="585"/>
        <v>#N/A</v>
      </c>
      <c r="P1281" s="22">
        <f t="shared" si="586"/>
        <v>0</v>
      </c>
      <c r="Q1281" s="22"/>
      <c r="R1281" s="23"/>
      <c r="S1281" s="22">
        <f t="shared" si="587"/>
        <v>0</v>
      </c>
      <c r="T1281" s="24" t="e">
        <f t="shared" si="588"/>
        <v>#N/A</v>
      </c>
      <c r="U1281" s="25" t="str">
        <f t="shared" si="589"/>
        <v/>
      </c>
      <c r="V1281" s="26" t="str">
        <f t="shared" si="590"/>
        <v/>
      </c>
    </row>
    <row r="1282" spans="1:39" ht="48.2" customHeight="1" x14ac:dyDescent="0.25">
      <c r="A1282" s="17" t="e">
        <f>VLOOKUP(C1282,[1]Werke!$A$1:$C$168,3,0)</f>
        <v>#N/A</v>
      </c>
      <c r="B1282" s="17" t="e">
        <f>VLOOKUP(C1282,[1]Werke!$A$1:$C$168,2,0)</f>
        <v>#N/A</v>
      </c>
      <c r="C1282" s="18"/>
      <c r="D1282" s="17" t="e">
        <f>VLOOKUP(C1282,[1]Maliteslimalan!$A$1:$B$210,2,0)</f>
        <v>#N/A</v>
      </c>
      <c r="E1282" s="19" t="e">
        <f>VLOOKUP(C1282,[1]Bestellnr.!$A$1:$B$174,2,0)</f>
        <v>#N/A</v>
      </c>
      <c r="F1282" s="20" t="e">
        <f t="shared" si="581"/>
        <v>#N/A</v>
      </c>
      <c r="G1282" s="17"/>
      <c r="H1282" s="17" t="e">
        <f t="shared" si="582"/>
        <v>#N/A</v>
      </c>
      <c r="I1282" s="20"/>
      <c r="J1282" s="17" t="e">
        <f t="shared" si="583"/>
        <v>#N/A</v>
      </c>
      <c r="K1282" s="17" t="e">
        <f t="shared" si="584"/>
        <v>#N/A</v>
      </c>
      <c r="L1282" s="22"/>
      <c r="M1282" s="22"/>
      <c r="N1282" s="22"/>
      <c r="O1282" s="22" t="e">
        <f t="shared" si="585"/>
        <v>#N/A</v>
      </c>
      <c r="P1282" s="22">
        <f t="shared" si="586"/>
        <v>0</v>
      </c>
      <c r="Q1282" s="22"/>
      <c r="R1282" s="23"/>
      <c r="S1282" s="22">
        <f t="shared" si="587"/>
        <v>0</v>
      </c>
      <c r="T1282" s="24" t="e">
        <f t="shared" si="588"/>
        <v>#N/A</v>
      </c>
      <c r="U1282" s="25" t="str">
        <f t="shared" si="589"/>
        <v/>
      </c>
      <c r="V1282" s="26" t="str">
        <f t="shared" si="590"/>
        <v/>
      </c>
    </row>
    <row r="1283" spans="1:39" ht="48.2" customHeight="1" x14ac:dyDescent="0.25">
      <c r="A1283" s="17" t="e">
        <f>VLOOKUP(C1283,[1]Werke!$A$1:$C$168,3,0)</f>
        <v>#N/A</v>
      </c>
      <c r="B1283" s="17" t="e">
        <f>VLOOKUP(C1283,[1]Werke!$A$1:$C$168,2,0)</f>
        <v>#N/A</v>
      </c>
      <c r="C1283" s="18"/>
      <c r="D1283" s="17" t="e">
        <f>VLOOKUP(C1283,[1]Maliteslimalan!$A$1:$B$210,2,0)</f>
        <v>#N/A</v>
      </c>
      <c r="E1283" s="19" t="e">
        <f>VLOOKUP(C1283,[1]Bestellnr.!$A$1:$B$174,2,0)</f>
        <v>#N/A</v>
      </c>
      <c r="F1283" s="20" t="e">
        <f t="shared" si="581"/>
        <v>#N/A</v>
      </c>
      <c r="G1283" s="17"/>
      <c r="H1283" s="17" t="e">
        <f t="shared" si="582"/>
        <v>#N/A</v>
      </c>
      <c r="I1283" s="20"/>
      <c r="J1283" s="17" t="e">
        <f t="shared" si="583"/>
        <v>#N/A</v>
      </c>
      <c r="K1283" s="17" t="e">
        <f t="shared" si="584"/>
        <v>#N/A</v>
      </c>
      <c r="L1283" s="22"/>
      <c r="M1283" s="22"/>
      <c r="N1283" s="22"/>
      <c r="O1283" s="22" t="e">
        <f t="shared" si="585"/>
        <v>#N/A</v>
      </c>
      <c r="P1283" s="22">
        <f t="shared" si="586"/>
        <v>0</v>
      </c>
      <c r="Q1283" s="22"/>
      <c r="R1283" s="23"/>
      <c r="S1283" s="22">
        <f t="shared" si="587"/>
        <v>0</v>
      </c>
      <c r="T1283" s="24" t="e">
        <f t="shared" si="588"/>
        <v>#N/A</v>
      </c>
      <c r="U1283" s="25" t="str">
        <f t="shared" si="589"/>
        <v/>
      </c>
      <c r="V1283" s="26" t="str">
        <f t="shared" si="590"/>
        <v/>
      </c>
    </row>
    <row r="1284" spans="1:39" ht="48.2" customHeight="1" x14ac:dyDescent="0.25">
      <c r="A1284" s="17" t="e">
        <f>VLOOKUP(C1284,[1]Werke!$A$1:$C$168,3,0)</f>
        <v>#N/A</v>
      </c>
      <c r="B1284" s="17" t="e">
        <f>VLOOKUP(C1284,[1]Werke!$A$1:$C$168,2,0)</f>
        <v>#N/A</v>
      </c>
      <c r="C1284" s="18"/>
      <c r="D1284" s="17" t="e">
        <f>VLOOKUP(C1284,[1]Maliteslimalan!$A$1:$B$210,2,0)</f>
        <v>#N/A</v>
      </c>
      <c r="E1284" s="19" t="e">
        <f>VLOOKUP(C1284,[1]Bestellnr.!$A$1:$B$174,2,0)</f>
        <v>#N/A</v>
      </c>
      <c r="F1284" s="20" t="e">
        <f t="shared" si="581"/>
        <v>#N/A</v>
      </c>
      <c r="G1284" s="17"/>
      <c r="H1284" s="17" t="e">
        <f t="shared" si="582"/>
        <v>#N/A</v>
      </c>
      <c r="I1284" s="20"/>
      <c r="J1284" s="17" t="e">
        <f t="shared" si="583"/>
        <v>#N/A</v>
      </c>
      <c r="K1284" s="17" t="e">
        <f t="shared" si="584"/>
        <v>#N/A</v>
      </c>
      <c r="L1284" s="22"/>
      <c r="M1284" s="22"/>
      <c r="N1284" s="22"/>
      <c r="O1284" s="22" t="e">
        <f t="shared" si="585"/>
        <v>#N/A</v>
      </c>
      <c r="P1284" s="22">
        <f t="shared" si="586"/>
        <v>0</v>
      </c>
      <c r="Q1284" s="22"/>
      <c r="R1284" s="23"/>
      <c r="S1284" s="22">
        <f t="shared" si="587"/>
        <v>0</v>
      </c>
      <c r="T1284" s="24" t="e">
        <f t="shared" si="588"/>
        <v>#N/A</v>
      </c>
      <c r="U1284" s="38" t="s">
        <v>351</v>
      </c>
      <c r="V1284" s="42" t="s">
        <v>352</v>
      </c>
      <c r="W1284" s="38" t="s">
        <v>351</v>
      </c>
      <c r="X1284" s="43" t="s">
        <v>353</v>
      </c>
      <c r="Y1284" s="44" t="s">
        <v>354</v>
      </c>
      <c r="Z1284" s="45" t="s">
        <v>351</v>
      </c>
      <c r="AA1284" s="46" t="s">
        <v>355</v>
      </c>
    </row>
    <row r="1285" spans="1:39" ht="48.2" customHeight="1" x14ac:dyDescent="0.25">
      <c r="A1285" s="17" t="e">
        <f>VLOOKUP(C1285,[1]Werke!$A$1:$C$168,3,0)</f>
        <v>#N/A</v>
      </c>
      <c r="B1285" s="17" t="e">
        <f>VLOOKUP(C1285,[1]Werke!$A$1:$C$168,2,0)</f>
        <v>#N/A</v>
      </c>
      <c r="C1285" s="18"/>
      <c r="D1285" s="17" t="e">
        <f>VLOOKUP(C1285,[1]Maliteslimalan!$A$1:$B$210,2,0)</f>
        <v>#N/A</v>
      </c>
      <c r="E1285" s="19" t="e">
        <f>VLOOKUP(C1285,[1]Bestellnr.!$A$1:$B$174,2,0)</f>
        <v>#N/A</v>
      </c>
      <c r="F1285" s="20" t="e">
        <f t="shared" si="581"/>
        <v>#N/A</v>
      </c>
      <c r="G1285" s="17"/>
      <c r="H1285" s="17" t="e">
        <f t="shared" si="582"/>
        <v>#N/A</v>
      </c>
      <c r="I1285" s="20"/>
      <c r="J1285" s="17" t="e">
        <f t="shared" si="583"/>
        <v>#N/A</v>
      </c>
      <c r="K1285" s="17" t="e">
        <f t="shared" si="584"/>
        <v>#N/A</v>
      </c>
      <c r="L1285" s="22"/>
      <c r="M1285" s="22"/>
      <c r="N1285" s="22"/>
      <c r="O1285" s="22" t="e">
        <f t="shared" si="585"/>
        <v>#N/A</v>
      </c>
      <c r="P1285" s="22">
        <f t="shared" si="586"/>
        <v>0</v>
      </c>
      <c r="Q1285" s="22"/>
      <c r="R1285" s="23"/>
      <c r="S1285" s="22">
        <f t="shared" si="587"/>
        <v>0</v>
      </c>
      <c r="T1285" s="24" t="e">
        <f t="shared" si="588"/>
        <v>#N/A</v>
      </c>
      <c r="U1285" s="37">
        <v>967806000</v>
      </c>
      <c r="V1285" s="42" t="s">
        <v>356</v>
      </c>
      <c r="W1285" s="37">
        <v>967806000</v>
      </c>
      <c r="X1285" s="47">
        <v>3000</v>
      </c>
      <c r="Y1285" s="48" t="s">
        <v>357</v>
      </c>
      <c r="Z1285" s="49">
        <v>967806000</v>
      </c>
      <c r="AA1285" s="46">
        <v>4.1000000000000003E-3</v>
      </c>
      <c r="AB1285" s="46"/>
      <c r="AC1285" s="15">
        <v>111444</v>
      </c>
      <c r="AD1285" s="16">
        <v>34</v>
      </c>
      <c r="AE1285" s="15" t="s">
        <v>358</v>
      </c>
      <c r="AL1285" s="15">
        <v>111444</v>
      </c>
      <c r="AM1285" s="15" t="s">
        <v>358</v>
      </c>
    </row>
    <row r="1286" spans="1:39" ht="48.2" customHeight="1" x14ac:dyDescent="0.25">
      <c r="A1286" s="17" t="e">
        <f>VLOOKUP(C1286,[1]Werke!$A$1:$C$168,3,0)</f>
        <v>#N/A</v>
      </c>
      <c r="B1286" s="17" t="e">
        <f>VLOOKUP(C1286,[1]Werke!$A$1:$C$168,2,0)</f>
        <v>#N/A</v>
      </c>
      <c r="C1286" s="18"/>
      <c r="D1286" s="17" t="e">
        <f>VLOOKUP(C1286,[1]Maliteslimalan!$A$1:$B$210,2,0)</f>
        <v>#N/A</v>
      </c>
      <c r="E1286" s="19" t="e">
        <f>VLOOKUP(C1286,[1]Bestellnr.!$A$1:$B$174,2,0)</f>
        <v>#N/A</v>
      </c>
      <c r="F1286" s="20" t="e">
        <f t="shared" si="581"/>
        <v>#N/A</v>
      </c>
      <c r="G1286" s="17"/>
      <c r="H1286" s="17" t="e">
        <f t="shared" si="582"/>
        <v>#N/A</v>
      </c>
      <c r="I1286" s="20"/>
      <c r="J1286" s="17" t="e">
        <f t="shared" si="583"/>
        <v>#N/A</v>
      </c>
      <c r="K1286" s="17" t="e">
        <f t="shared" si="584"/>
        <v>#N/A</v>
      </c>
      <c r="L1286" s="22"/>
      <c r="M1286" s="22"/>
      <c r="N1286" s="22"/>
      <c r="O1286" s="22" t="e">
        <f t="shared" si="585"/>
        <v>#N/A</v>
      </c>
      <c r="P1286" s="22">
        <f t="shared" si="586"/>
        <v>0</v>
      </c>
      <c r="Q1286" s="22"/>
      <c r="R1286" s="23"/>
      <c r="S1286" s="22">
        <f t="shared" si="587"/>
        <v>0</v>
      </c>
      <c r="T1286" s="24" t="e">
        <f t="shared" si="588"/>
        <v>#N/A</v>
      </c>
      <c r="U1286" s="38">
        <v>100217000</v>
      </c>
      <c r="V1286" s="42" t="s">
        <v>359</v>
      </c>
      <c r="W1286" s="38">
        <v>100217000</v>
      </c>
      <c r="X1286" s="47" t="s">
        <v>360</v>
      </c>
      <c r="Y1286" s="48" t="s">
        <v>361</v>
      </c>
      <c r="Z1286" s="48">
        <v>100217000</v>
      </c>
      <c r="AA1286" s="46">
        <v>7.0099999999999997E-3</v>
      </c>
      <c r="AB1286" s="46"/>
      <c r="AL1286" s="15"/>
      <c r="AM1286" s="15"/>
    </row>
    <row r="1287" spans="1:39" ht="48.2" customHeight="1" x14ac:dyDescent="0.25">
      <c r="A1287" s="17" t="e">
        <f>VLOOKUP(C1287,[1]Werke!$A$1:$C$168,3,0)</f>
        <v>#N/A</v>
      </c>
      <c r="B1287" s="17" t="e">
        <f>VLOOKUP(C1287,[1]Werke!$A$1:$C$168,2,0)</f>
        <v>#N/A</v>
      </c>
      <c r="C1287" s="18"/>
      <c r="D1287" s="17" t="e">
        <f>VLOOKUP(C1287,[1]Maliteslimalan!$A$1:$B$210,2,0)</f>
        <v>#N/A</v>
      </c>
      <c r="E1287" s="19" t="e">
        <f>VLOOKUP(C1287,[1]Bestellnr.!$A$1:$B$174,2,0)</f>
        <v>#N/A</v>
      </c>
      <c r="F1287" s="20" t="e">
        <f t="shared" si="581"/>
        <v>#N/A</v>
      </c>
      <c r="G1287" s="17"/>
      <c r="H1287" s="17" t="e">
        <f t="shared" si="582"/>
        <v>#N/A</v>
      </c>
      <c r="I1287" s="20"/>
      <c r="J1287" s="17" t="e">
        <f t="shared" si="583"/>
        <v>#N/A</v>
      </c>
      <c r="K1287" s="17" t="e">
        <f t="shared" si="584"/>
        <v>#N/A</v>
      </c>
      <c r="L1287" s="22"/>
      <c r="M1287" s="22"/>
      <c r="N1287" s="22"/>
      <c r="O1287" s="22" t="e">
        <f t="shared" si="585"/>
        <v>#N/A</v>
      </c>
      <c r="P1287" s="22">
        <f t="shared" si="586"/>
        <v>0</v>
      </c>
      <c r="Q1287" s="22"/>
      <c r="R1287" s="23"/>
      <c r="S1287" s="22">
        <f t="shared" si="587"/>
        <v>0</v>
      </c>
      <c r="T1287" s="24" t="e">
        <f t="shared" si="588"/>
        <v>#N/A</v>
      </c>
      <c r="U1287" s="37">
        <v>935553000</v>
      </c>
      <c r="V1287" s="42" t="s">
        <v>362</v>
      </c>
      <c r="W1287" s="37">
        <v>935553000</v>
      </c>
      <c r="X1287" s="47">
        <v>280</v>
      </c>
      <c r="Y1287" s="48" t="s">
        <v>363</v>
      </c>
      <c r="Z1287" s="49">
        <v>935553000</v>
      </c>
      <c r="AA1287" s="46">
        <v>2.0480000000000002E-2</v>
      </c>
      <c r="AB1287" s="46"/>
      <c r="AC1287" s="15">
        <v>114003</v>
      </c>
      <c r="AD1287" s="16">
        <v>50</v>
      </c>
      <c r="AE1287" s="15" t="s">
        <v>364</v>
      </c>
      <c r="AL1287" s="15">
        <v>114003</v>
      </c>
      <c r="AM1287" s="15" t="s">
        <v>364</v>
      </c>
    </row>
    <row r="1288" spans="1:39" ht="48.2" customHeight="1" x14ac:dyDescent="0.25">
      <c r="A1288" s="17" t="e">
        <f>VLOOKUP(C1288,[1]Werke!$A$1:$C$168,3,0)</f>
        <v>#N/A</v>
      </c>
      <c r="B1288" s="17" t="e">
        <f>VLOOKUP(C1288,[1]Werke!$A$1:$C$168,2,0)</f>
        <v>#N/A</v>
      </c>
      <c r="C1288" s="18"/>
      <c r="D1288" s="17" t="e">
        <f>VLOOKUP(C1288,[1]Maliteslimalan!$A$1:$B$210,2,0)</f>
        <v>#N/A</v>
      </c>
      <c r="E1288" s="19" t="e">
        <f>VLOOKUP(C1288,[1]Bestellnr.!$A$1:$B$174,2,0)</f>
        <v>#N/A</v>
      </c>
      <c r="F1288" s="20" t="e">
        <f t="shared" si="581"/>
        <v>#N/A</v>
      </c>
      <c r="G1288" s="17"/>
      <c r="H1288" s="17" t="e">
        <f t="shared" si="582"/>
        <v>#N/A</v>
      </c>
      <c r="I1288" s="20"/>
      <c r="J1288" s="17" t="e">
        <f t="shared" si="583"/>
        <v>#N/A</v>
      </c>
      <c r="K1288" s="17" t="e">
        <f t="shared" si="584"/>
        <v>#N/A</v>
      </c>
      <c r="L1288" s="22"/>
      <c r="M1288" s="22"/>
      <c r="N1288" s="22"/>
      <c r="O1288" s="22" t="e">
        <f t="shared" si="585"/>
        <v>#N/A</v>
      </c>
      <c r="P1288" s="22">
        <f t="shared" si="586"/>
        <v>0</v>
      </c>
      <c r="Q1288" s="22"/>
      <c r="R1288" s="23"/>
      <c r="S1288" s="22">
        <f t="shared" si="587"/>
        <v>0</v>
      </c>
      <c r="T1288" s="24" t="e">
        <f t="shared" si="588"/>
        <v>#N/A</v>
      </c>
      <c r="U1288" s="37">
        <v>933191000</v>
      </c>
      <c r="V1288" s="42" t="s">
        <v>365</v>
      </c>
      <c r="W1288" s="37">
        <v>933191000</v>
      </c>
      <c r="X1288" s="47">
        <v>280</v>
      </c>
      <c r="Y1288" s="48" t="s">
        <v>366</v>
      </c>
      <c r="Z1288" s="49">
        <v>933191000</v>
      </c>
      <c r="AA1288" s="46">
        <v>1.968E-2</v>
      </c>
      <c r="AB1288" s="46"/>
      <c r="AC1288" s="15" t="s">
        <v>367</v>
      </c>
      <c r="AD1288" s="16">
        <v>55</v>
      </c>
      <c r="AE1288" s="15" t="s">
        <v>364</v>
      </c>
      <c r="AL1288" s="15" t="s">
        <v>367</v>
      </c>
      <c r="AM1288" s="15" t="s">
        <v>364</v>
      </c>
    </row>
    <row r="1289" spans="1:39" ht="48.2" customHeight="1" x14ac:dyDescent="0.25">
      <c r="A1289" s="17" t="e">
        <f>VLOOKUP(C1289,[1]Werke!$A$1:$C$168,3,0)</f>
        <v>#N/A</v>
      </c>
      <c r="B1289" s="17" t="e">
        <f>VLOOKUP(C1289,[1]Werke!$A$1:$C$168,2,0)</f>
        <v>#N/A</v>
      </c>
      <c r="C1289" s="18"/>
      <c r="D1289" s="17" t="e">
        <f>VLOOKUP(C1289,[1]Maliteslimalan!$A$1:$B$210,2,0)</f>
        <v>#N/A</v>
      </c>
      <c r="E1289" s="19" t="e">
        <f>VLOOKUP(C1289,[1]Bestellnr.!$A$1:$B$174,2,0)</f>
        <v>#N/A</v>
      </c>
      <c r="F1289" s="20" t="e">
        <f t="shared" si="581"/>
        <v>#N/A</v>
      </c>
      <c r="G1289" s="17"/>
      <c r="H1289" s="17" t="e">
        <f t="shared" si="582"/>
        <v>#N/A</v>
      </c>
      <c r="I1289" s="20"/>
      <c r="J1289" s="17" t="e">
        <f t="shared" si="583"/>
        <v>#N/A</v>
      </c>
      <c r="K1289" s="17" t="e">
        <f t="shared" si="584"/>
        <v>#N/A</v>
      </c>
      <c r="L1289" s="22"/>
      <c r="M1289" s="22"/>
      <c r="N1289" s="22"/>
      <c r="O1289" s="22" t="e">
        <f t="shared" si="585"/>
        <v>#N/A</v>
      </c>
      <c r="P1289" s="22">
        <f t="shared" si="586"/>
        <v>0</v>
      </c>
      <c r="Q1289" s="22"/>
      <c r="R1289" s="23"/>
      <c r="S1289" s="22">
        <f t="shared" si="587"/>
        <v>0</v>
      </c>
      <c r="T1289" s="24" t="e">
        <f t="shared" si="588"/>
        <v>#N/A</v>
      </c>
      <c r="U1289" s="37">
        <v>928446000</v>
      </c>
      <c r="V1289" s="42" t="s">
        <v>368</v>
      </c>
      <c r="W1289" s="37">
        <v>928446000</v>
      </c>
      <c r="X1289" s="47">
        <v>1300</v>
      </c>
      <c r="Y1289" s="48" t="s">
        <v>369</v>
      </c>
      <c r="Z1289" s="49">
        <v>928446000</v>
      </c>
      <c r="AA1289" s="46">
        <v>9.1599999999999997E-3</v>
      </c>
      <c r="AB1289" s="46"/>
      <c r="AC1289" s="15" t="s">
        <v>370</v>
      </c>
      <c r="AD1289" s="16">
        <v>25</v>
      </c>
      <c r="AL1289" s="15" t="s">
        <v>370</v>
      </c>
      <c r="AM1289" s="15"/>
    </row>
    <row r="1290" spans="1:39" ht="48.2" customHeight="1" x14ac:dyDescent="0.25">
      <c r="A1290" s="17" t="e">
        <f>VLOOKUP(C1290,[1]Werke!$A$1:$C$168,3,0)</f>
        <v>#N/A</v>
      </c>
      <c r="B1290" s="17" t="e">
        <f>VLOOKUP(C1290,[1]Werke!$A$1:$C$168,2,0)</f>
        <v>#N/A</v>
      </c>
      <c r="C1290" s="18"/>
      <c r="D1290" s="17" t="e">
        <f>VLOOKUP(C1290,[1]Maliteslimalan!$A$1:$B$210,2,0)</f>
        <v>#N/A</v>
      </c>
      <c r="E1290" s="19" t="e">
        <f>VLOOKUP(C1290,[1]Bestellnr.!$A$1:$B$174,2,0)</f>
        <v>#N/A</v>
      </c>
      <c r="F1290" s="20" t="e">
        <f t="shared" si="581"/>
        <v>#N/A</v>
      </c>
      <c r="G1290" s="17"/>
      <c r="H1290" s="17" t="e">
        <f t="shared" si="582"/>
        <v>#N/A</v>
      </c>
      <c r="I1290" s="20"/>
      <c r="J1290" s="17" t="e">
        <f t="shared" si="583"/>
        <v>#N/A</v>
      </c>
      <c r="K1290" s="17" t="e">
        <f t="shared" si="584"/>
        <v>#N/A</v>
      </c>
      <c r="L1290" s="22"/>
      <c r="M1290" s="22"/>
      <c r="N1290" s="22"/>
      <c r="O1290" s="22" t="e">
        <f t="shared" si="585"/>
        <v>#N/A</v>
      </c>
      <c r="P1290" s="22">
        <f t="shared" si="586"/>
        <v>0</v>
      </c>
      <c r="Q1290" s="22"/>
      <c r="R1290" s="23"/>
      <c r="S1290" s="22">
        <f t="shared" si="587"/>
        <v>0</v>
      </c>
      <c r="T1290" s="24" t="e">
        <f t="shared" si="588"/>
        <v>#N/A</v>
      </c>
      <c r="U1290" s="37">
        <v>925194000</v>
      </c>
      <c r="V1290" s="42" t="s">
        <v>371</v>
      </c>
      <c r="W1290" s="37">
        <v>925194000</v>
      </c>
      <c r="X1290" s="47" t="s">
        <v>372</v>
      </c>
      <c r="Y1290" s="48" t="s">
        <v>373</v>
      </c>
      <c r="Z1290" s="49">
        <v>925194000</v>
      </c>
      <c r="AA1290" s="46">
        <v>1.508E-2</v>
      </c>
      <c r="AB1290" s="46"/>
      <c r="AC1290" s="15" t="s">
        <v>374</v>
      </c>
      <c r="AD1290" s="16">
        <v>0.4</v>
      </c>
      <c r="AL1290" s="15" t="s">
        <v>374</v>
      </c>
      <c r="AM1290" s="15"/>
    </row>
    <row r="1291" spans="1:39" ht="48.2" customHeight="1" x14ac:dyDescent="0.25">
      <c r="A1291" s="17" t="e">
        <f>VLOOKUP(C1291,[1]Werke!$A$1:$C$168,3,0)</f>
        <v>#N/A</v>
      </c>
      <c r="B1291" s="17" t="e">
        <f>VLOOKUP(C1291,[1]Werke!$A$1:$C$168,2,0)</f>
        <v>#N/A</v>
      </c>
      <c r="C1291" s="18"/>
      <c r="D1291" s="17" t="e">
        <f>VLOOKUP(C1291,[1]Maliteslimalan!$A$1:$B$210,2,0)</f>
        <v>#N/A</v>
      </c>
      <c r="E1291" s="19" t="e">
        <f>VLOOKUP(C1291,[1]Bestellnr.!$A$1:$B$174,2,0)</f>
        <v>#N/A</v>
      </c>
      <c r="F1291" s="20" t="e">
        <f t="shared" si="581"/>
        <v>#N/A</v>
      </c>
      <c r="G1291" s="17"/>
      <c r="H1291" s="17" t="e">
        <f t="shared" si="582"/>
        <v>#N/A</v>
      </c>
      <c r="I1291" s="20"/>
      <c r="J1291" s="17" t="e">
        <f t="shared" si="583"/>
        <v>#N/A</v>
      </c>
      <c r="K1291" s="17" t="e">
        <f t="shared" si="584"/>
        <v>#N/A</v>
      </c>
      <c r="L1291" s="22"/>
      <c r="M1291" s="22"/>
      <c r="N1291" s="22"/>
      <c r="O1291" s="22" t="e">
        <f t="shared" si="585"/>
        <v>#N/A</v>
      </c>
      <c r="P1291" s="22">
        <f t="shared" si="586"/>
        <v>0</v>
      </c>
      <c r="Q1291" s="22"/>
      <c r="R1291" s="23"/>
      <c r="S1291" s="22">
        <f t="shared" si="587"/>
        <v>0</v>
      </c>
      <c r="T1291" s="24" t="e">
        <f t="shared" si="588"/>
        <v>#N/A</v>
      </c>
      <c r="U1291" s="37">
        <v>925197000</v>
      </c>
      <c r="V1291" s="42" t="s">
        <v>375</v>
      </c>
      <c r="W1291" s="37">
        <v>925197000</v>
      </c>
      <c r="X1291" s="47">
        <v>1000</v>
      </c>
      <c r="Y1291" s="48" t="s">
        <v>376</v>
      </c>
      <c r="Z1291" s="49">
        <v>925197000</v>
      </c>
      <c r="AA1291" s="46">
        <v>1.077E-2</v>
      </c>
      <c r="AB1291" s="46"/>
      <c r="AC1291" s="15" t="s">
        <v>153</v>
      </c>
      <c r="AD1291" s="16">
        <v>0.56999999999999995</v>
      </c>
      <c r="AL1291" s="15" t="s">
        <v>153</v>
      </c>
      <c r="AM1291" s="15"/>
    </row>
    <row r="1292" spans="1:39" ht="48.2" customHeight="1" x14ac:dyDescent="0.25">
      <c r="A1292" s="17" t="e">
        <f>VLOOKUP(C1292,[1]Werke!$A$1:$C$168,3,0)</f>
        <v>#N/A</v>
      </c>
      <c r="B1292" s="17" t="e">
        <f>VLOOKUP(C1292,[1]Werke!$A$1:$C$168,2,0)</f>
        <v>#N/A</v>
      </c>
      <c r="C1292" s="18"/>
      <c r="D1292" s="17" t="e">
        <f>VLOOKUP(C1292,[1]Maliteslimalan!$A$1:$B$210,2,0)</f>
        <v>#N/A</v>
      </c>
      <c r="E1292" s="19" t="e">
        <f>VLOOKUP(C1292,[1]Bestellnr.!$A$1:$B$174,2,0)</f>
        <v>#N/A</v>
      </c>
      <c r="F1292" s="20" t="e">
        <f t="shared" si="581"/>
        <v>#N/A</v>
      </c>
      <c r="G1292" s="17"/>
      <c r="H1292" s="17" t="e">
        <f t="shared" si="582"/>
        <v>#N/A</v>
      </c>
      <c r="I1292" s="20"/>
      <c r="J1292" s="17" t="e">
        <f t="shared" si="583"/>
        <v>#N/A</v>
      </c>
      <c r="K1292" s="17" t="e">
        <f t="shared" si="584"/>
        <v>#N/A</v>
      </c>
      <c r="L1292" s="22"/>
      <c r="M1292" s="22"/>
      <c r="N1292" s="22"/>
      <c r="O1292" s="22" t="e">
        <f t="shared" si="585"/>
        <v>#N/A</v>
      </c>
      <c r="P1292" s="22">
        <f t="shared" si="586"/>
        <v>0</v>
      </c>
      <c r="Q1292" s="22"/>
      <c r="R1292" s="23"/>
      <c r="S1292" s="22">
        <f t="shared" si="587"/>
        <v>0</v>
      </c>
      <c r="T1292" s="24" t="e">
        <f t="shared" si="588"/>
        <v>#N/A</v>
      </c>
      <c r="U1292" s="37">
        <v>968472001</v>
      </c>
      <c r="V1292" s="42" t="s">
        <v>377</v>
      </c>
      <c r="W1292" s="37">
        <v>968472001</v>
      </c>
      <c r="X1292" s="47">
        <v>500</v>
      </c>
      <c r="Y1292" s="48" t="s">
        <v>378</v>
      </c>
      <c r="Z1292" s="49">
        <v>968472001</v>
      </c>
      <c r="AA1292" s="46">
        <v>2.2970000000000001E-2</v>
      </c>
      <c r="AB1292" s="46"/>
      <c r="AC1292" s="15" t="s">
        <v>175</v>
      </c>
      <c r="AD1292" s="16">
        <v>1.08</v>
      </c>
      <c r="AL1292" s="15" t="s">
        <v>175</v>
      </c>
      <c r="AM1292" s="15"/>
    </row>
    <row r="1293" spans="1:39" ht="48.2" customHeight="1" x14ac:dyDescent="0.25">
      <c r="A1293" s="17" t="e">
        <f>VLOOKUP(C1293,[1]Werke!$A$1:$C$168,3,0)</f>
        <v>#N/A</v>
      </c>
      <c r="B1293" s="17" t="e">
        <f>VLOOKUP(C1293,[1]Werke!$A$1:$C$168,2,0)</f>
        <v>#N/A</v>
      </c>
      <c r="C1293" s="18"/>
      <c r="D1293" s="17" t="e">
        <f>VLOOKUP(C1293,[1]Maliteslimalan!$A$1:$B$210,2,0)</f>
        <v>#N/A</v>
      </c>
      <c r="E1293" s="19" t="e">
        <f>VLOOKUP(C1293,[1]Bestellnr.!$A$1:$B$174,2,0)</f>
        <v>#N/A</v>
      </c>
      <c r="F1293" s="20" t="e">
        <f t="shared" si="581"/>
        <v>#N/A</v>
      </c>
      <c r="G1293" s="17"/>
      <c r="H1293" s="17" t="e">
        <f t="shared" si="582"/>
        <v>#N/A</v>
      </c>
      <c r="I1293" s="20"/>
      <c r="J1293" s="17" t="e">
        <f t="shared" si="583"/>
        <v>#N/A</v>
      </c>
      <c r="K1293" s="17" t="e">
        <f t="shared" si="584"/>
        <v>#N/A</v>
      </c>
      <c r="L1293" s="22"/>
      <c r="M1293" s="22"/>
      <c r="N1293" s="22"/>
      <c r="O1293" s="22" t="e">
        <f t="shared" si="585"/>
        <v>#N/A</v>
      </c>
      <c r="P1293" s="22">
        <f t="shared" si="586"/>
        <v>0</v>
      </c>
      <c r="Q1293" s="22"/>
      <c r="R1293" s="23"/>
      <c r="S1293" s="22">
        <f t="shared" si="587"/>
        <v>0</v>
      </c>
      <c r="T1293" s="24" t="e">
        <f t="shared" si="588"/>
        <v>#N/A</v>
      </c>
      <c r="U1293" s="37">
        <v>934637000</v>
      </c>
      <c r="V1293" s="42" t="s">
        <v>379</v>
      </c>
      <c r="W1293" s="37">
        <v>934637000</v>
      </c>
      <c r="X1293" s="47">
        <v>350</v>
      </c>
      <c r="Y1293" s="48" t="s">
        <v>380</v>
      </c>
      <c r="Z1293" s="49">
        <v>934637000</v>
      </c>
      <c r="AA1293" s="46">
        <v>3.8359999999999998E-2</v>
      </c>
      <c r="AB1293" s="46"/>
      <c r="AC1293" s="15" t="s">
        <v>381</v>
      </c>
      <c r="AD1293" s="16">
        <v>0</v>
      </c>
      <c r="AL1293" s="15" t="s">
        <v>381</v>
      </c>
      <c r="AM1293" s="15"/>
    </row>
    <row r="1294" spans="1:39" ht="48.2" customHeight="1" x14ac:dyDescent="0.25">
      <c r="A1294" s="17" t="e">
        <f>VLOOKUP(C1294,[1]Werke!$A$1:$C$168,3,0)</f>
        <v>#N/A</v>
      </c>
      <c r="B1294" s="17" t="e">
        <f>VLOOKUP(C1294,[1]Werke!$A$1:$C$168,2,0)</f>
        <v>#N/A</v>
      </c>
      <c r="C1294" s="18"/>
      <c r="D1294" s="17" t="e">
        <f>VLOOKUP(C1294,[1]Maliteslimalan!$A$1:$B$210,2,0)</f>
        <v>#N/A</v>
      </c>
      <c r="E1294" s="19" t="e">
        <f>VLOOKUP(C1294,[1]Bestellnr.!$A$1:$B$174,2,0)</f>
        <v>#N/A</v>
      </c>
      <c r="F1294" s="20" t="e">
        <f t="shared" si="581"/>
        <v>#N/A</v>
      </c>
      <c r="G1294" s="17"/>
      <c r="H1294" s="17" t="e">
        <f t="shared" si="582"/>
        <v>#N/A</v>
      </c>
      <c r="I1294" s="20"/>
      <c r="J1294" s="17" t="e">
        <f t="shared" si="583"/>
        <v>#N/A</v>
      </c>
      <c r="K1294" s="17" t="e">
        <f t="shared" si="584"/>
        <v>#N/A</v>
      </c>
      <c r="L1294" s="22"/>
      <c r="M1294" s="22"/>
      <c r="N1294" s="22"/>
      <c r="O1294" s="22" t="e">
        <f t="shared" si="585"/>
        <v>#N/A</v>
      </c>
      <c r="P1294" s="22">
        <f t="shared" si="586"/>
        <v>0</v>
      </c>
      <c r="Q1294" s="22"/>
      <c r="R1294" s="23"/>
      <c r="S1294" s="22">
        <f t="shared" si="587"/>
        <v>0</v>
      </c>
      <c r="T1294" s="24" t="e">
        <f t="shared" si="588"/>
        <v>#N/A</v>
      </c>
      <c r="U1294" s="37">
        <v>924411000</v>
      </c>
      <c r="V1294" s="42" t="s">
        <v>382</v>
      </c>
      <c r="W1294" s="37">
        <v>924411000</v>
      </c>
      <c r="X1294" s="47">
        <v>350</v>
      </c>
      <c r="Y1294" s="48" t="s">
        <v>383</v>
      </c>
      <c r="Z1294" s="49">
        <v>924411000</v>
      </c>
      <c r="AA1294" s="46">
        <v>3.7330000000000002E-2</v>
      </c>
      <c r="AB1294" s="46"/>
      <c r="AC1294" s="15" t="s">
        <v>384</v>
      </c>
      <c r="AD1294" s="16">
        <v>0</v>
      </c>
      <c r="AL1294" s="15" t="s">
        <v>384</v>
      </c>
      <c r="AM1294" s="15"/>
    </row>
    <row r="1295" spans="1:39" ht="48.2" customHeight="1" x14ac:dyDescent="0.25">
      <c r="A1295" s="17" t="e">
        <f>VLOOKUP(C1295,[1]Werke!$A$1:$C$168,3,0)</f>
        <v>#N/A</v>
      </c>
      <c r="B1295" s="17" t="e">
        <f>VLOOKUP(C1295,[1]Werke!$A$1:$C$168,2,0)</f>
        <v>#N/A</v>
      </c>
      <c r="C1295" s="18"/>
      <c r="D1295" s="17" t="e">
        <f>VLOOKUP(C1295,[1]Maliteslimalan!$A$1:$B$210,2,0)</f>
        <v>#N/A</v>
      </c>
      <c r="E1295" s="19" t="e">
        <f>VLOOKUP(C1295,[1]Bestellnr.!$A$1:$B$174,2,0)</f>
        <v>#N/A</v>
      </c>
      <c r="F1295" s="20" t="e">
        <f t="shared" si="581"/>
        <v>#N/A</v>
      </c>
      <c r="G1295" s="17"/>
      <c r="H1295" s="17" t="e">
        <f t="shared" si="582"/>
        <v>#N/A</v>
      </c>
      <c r="I1295" s="20"/>
      <c r="J1295" s="17" t="e">
        <f t="shared" si="583"/>
        <v>#N/A</v>
      </c>
      <c r="K1295" s="17" t="e">
        <f t="shared" si="584"/>
        <v>#N/A</v>
      </c>
      <c r="L1295" s="22"/>
      <c r="M1295" s="22"/>
      <c r="N1295" s="22"/>
      <c r="O1295" s="22" t="e">
        <f t="shared" si="585"/>
        <v>#N/A</v>
      </c>
      <c r="P1295" s="22">
        <f t="shared" si="586"/>
        <v>0</v>
      </c>
      <c r="Q1295" s="22"/>
      <c r="R1295" s="23"/>
      <c r="S1295" s="22">
        <f t="shared" si="587"/>
        <v>0</v>
      </c>
      <c r="T1295" s="24" t="e">
        <f t="shared" si="588"/>
        <v>#N/A</v>
      </c>
      <c r="U1295" s="37">
        <v>968867000</v>
      </c>
      <c r="V1295" s="42" t="s">
        <v>385</v>
      </c>
      <c r="W1295" s="37">
        <v>968867000</v>
      </c>
      <c r="X1295" s="47">
        <v>1000</v>
      </c>
      <c r="Y1295" s="48" t="s">
        <v>386</v>
      </c>
      <c r="Z1295" s="49">
        <v>968867000</v>
      </c>
      <c r="AA1295" s="46">
        <v>1.4E-2</v>
      </c>
      <c r="AB1295" s="46"/>
      <c r="AC1295" s="15" t="s">
        <v>387</v>
      </c>
      <c r="AD1295" s="16">
        <v>0</v>
      </c>
      <c r="AL1295" s="15" t="s">
        <v>387</v>
      </c>
      <c r="AM1295" s="15"/>
    </row>
    <row r="1296" spans="1:39" ht="48.2" customHeight="1" x14ac:dyDescent="0.25">
      <c r="A1296" s="17" t="e">
        <f>VLOOKUP(C1296,[1]Werke!$A$1:$C$168,3,0)</f>
        <v>#N/A</v>
      </c>
      <c r="B1296" s="17" t="e">
        <f>VLOOKUP(C1296,[1]Werke!$A$1:$C$168,2,0)</f>
        <v>#N/A</v>
      </c>
      <c r="C1296" s="18"/>
      <c r="D1296" s="17" t="e">
        <f>VLOOKUP(C1296,[1]Maliteslimalan!$A$1:$B$210,2,0)</f>
        <v>#N/A</v>
      </c>
      <c r="E1296" s="19" t="e">
        <f>VLOOKUP(C1296,[1]Bestellnr.!$A$1:$B$174,2,0)</f>
        <v>#N/A</v>
      </c>
      <c r="F1296" s="20" t="e">
        <f t="shared" si="581"/>
        <v>#N/A</v>
      </c>
      <c r="G1296" s="17"/>
      <c r="H1296" s="17" t="e">
        <f t="shared" si="582"/>
        <v>#N/A</v>
      </c>
      <c r="I1296" s="20"/>
      <c r="J1296" s="17" t="e">
        <f t="shared" si="583"/>
        <v>#N/A</v>
      </c>
      <c r="K1296" s="17" t="e">
        <f t="shared" si="584"/>
        <v>#N/A</v>
      </c>
      <c r="L1296" s="22"/>
      <c r="M1296" s="22"/>
      <c r="N1296" s="22"/>
      <c r="O1296" s="22" t="e">
        <f t="shared" si="585"/>
        <v>#N/A</v>
      </c>
      <c r="P1296" s="22">
        <f t="shared" si="586"/>
        <v>0</v>
      </c>
      <c r="Q1296" s="22"/>
      <c r="R1296" s="23"/>
      <c r="S1296" s="22">
        <f t="shared" si="587"/>
        <v>0</v>
      </c>
      <c r="T1296" s="24" t="e">
        <f t="shared" si="588"/>
        <v>#N/A</v>
      </c>
      <c r="U1296" s="37">
        <v>935287000</v>
      </c>
      <c r="V1296" s="42" t="s">
        <v>388</v>
      </c>
      <c r="W1296" s="37">
        <v>935287000</v>
      </c>
      <c r="X1296" s="47" t="s">
        <v>389</v>
      </c>
      <c r="Y1296" s="48" t="s">
        <v>390</v>
      </c>
      <c r="Z1296" s="49">
        <v>935287000</v>
      </c>
      <c r="AA1296" s="46">
        <v>2.7390000000000001E-2</v>
      </c>
      <c r="AB1296" s="46"/>
      <c r="AC1296" s="15" t="s">
        <v>391</v>
      </c>
      <c r="AD1296" s="16">
        <v>0</v>
      </c>
      <c r="AL1296" s="15" t="s">
        <v>391</v>
      </c>
      <c r="AM1296" s="15"/>
    </row>
    <row r="1297" spans="1:39" ht="48.2" customHeight="1" x14ac:dyDescent="0.25">
      <c r="A1297" s="17" t="e">
        <f>VLOOKUP(C1297,[1]Werke!$A$1:$C$168,3,0)</f>
        <v>#N/A</v>
      </c>
      <c r="B1297" s="17" t="e">
        <f>VLOOKUP(C1297,[1]Werke!$A$1:$C$168,2,0)</f>
        <v>#N/A</v>
      </c>
      <c r="C1297" s="18"/>
      <c r="D1297" s="17" t="e">
        <f>VLOOKUP(C1297,[1]Maliteslimalan!$A$1:$B$210,2,0)</f>
        <v>#N/A</v>
      </c>
      <c r="E1297" s="19" t="e">
        <f>VLOOKUP(C1297,[1]Bestellnr.!$A$1:$B$174,2,0)</f>
        <v>#N/A</v>
      </c>
      <c r="F1297" s="20" t="e">
        <f t="shared" si="581"/>
        <v>#N/A</v>
      </c>
      <c r="G1297" s="17"/>
      <c r="H1297" s="17" t="e">
        <f t="shared" si="582"/>
        <v>#N/A</v>
      </c>
      <c r="I1297" s="20"/>
      <c r="J1297" s="17" t="e">
        <f t="shared" si="583"/>
        <v>#N/A</v>
      </c>
      <c r="K1297" s="17" t="e">
        <f t="shared" si="584"/>
        <v>#N/A</v>
      </c>
      <c r="L1297" s="22"/>
      <c r="M1297" s="22"/>
      <c r="N1297" s="22"/>
      <c r="O1297" s="22" t="e">
        <f t="shared" si="585"/>
        <v>#N/A</v>
      </c>
      <c r="P1297" s="22">
        <f t="shared" si="586"/>
        <v>0</v>
      </c>
      <c r="Q1297" s="22"/>
      <c r="R1297" s="23"/>
      <c r="S1297" s="22">
        <f t="shared" si="587"/>
        <v>0</v>
      </c>
      <c r="T1297" s="24" t="e">
        <f t="shared" si="588"/>
        <v>#N/A</v>
      </c>
      <c r="U1297" s="37">
        <v>932240000</v>
      </c>
      <c r="V1297" s="42" t="s">
        <v>392</v>
      </c>
      <c r="W1297" s="37">
        <v>932240000</v>
      </c>
      <c r="X1297" s="50">
        <v>120</v>
      </c>
      <c r="Y1297" s="48" t="s">
        <v>393</v>
      </c>
      <c r="Z1297" s="49">
        <v>932240000</v>
      </c>
      <c r="AA1297" s="46">
        <v>8.1930000000000003E-2</v>
      </c>
      <c r="AB1297" s="46"/>
      <c r="AC1297" s="15" t="s">
        <v>155</v>
      </c>
      <c r="AD1297" s="16">
        <v>55</v>
      </c>
      <c r="AE1297" s="15" t="s">
        <v>364</v>
      </c>
      <c r="AL1297" s="15" t="s">
        <v>155</v>
      </c>
      <c r="AM1297" s="15" t="s">
        <v>364</v>
      </c>
    </row>
    <row r="1298" spans="1:39" ht="48.2" customHeight="1" x14ac:dyDescent="0.25">
      <c r="A1298" s="17" t="e">
        <f>VLOOKUP(C1298,[1]Werke!$A$1:$C$168,3,0)</f>
        <v>#N/A</v>
      </c>
      <c r="B1298" s="17" t="e">
        <f>VLOOKUP(C1298,[1]Werke!$A$1:$C$168,2,0)</f>
        <v>#N/A</v>
      </c>
      <c r="C1298" s="18"/>
      <c r="D1298" s="17" t="e">
        <f>VLOOKUP(C1298,[1]Maliteslimalan!$A$1:$B$210,2,0)</f>
        <v>#N/A</v>
      </c>
      <c r="E1298" s="19" t="e">
        <f>VLOOKUP(C1298,[1]Bestellnr.!$A$1:$B$174,2,0)</f>
        <v>#N/A</v>
      </c>
      <c r="F1298" s="20" t="e">
        <f t="shared" ref="F1298:F1361" si="591">VLOOKUP(G1298,$U$1:$V$1730,2,0)</f>
        <v>#N/A</v>
      </c>
      <c r="G1298" s="17"/>
      <c r="H1298" s="17" t="e">
        <f t="shared" ref="H1298:H1361" si="592">VLOOKUP(G1298,Z$2:AA$1905,2,FALSE)</f>
        <v>#N/A</v>
      </c>
      <c r="I1298" s="20"/>
      <c r="J1298" s="17" t="e">
        <f t="shared" ref="J1298:J1361" si="593">VLOOKUP(G1298,W$2:X$1905,2,FALSE)</f>
        <v>#N/A</v>
      </c>
      <c r="K1298" s="17" t="e">
        <f t="shared" ref="K1298:K1361" si="594">I1298/J1298</f>
        <v>#N/A</v>
      </c>
      <c r="L1298" s="22"/>
      <c r="M1298" s="22"/>
      <c r="N1298" s="22"/>
      <c r="O1298" s="22" t="e">
        <f t="shared" ref="O1298:O1361" si="595">VLOOKUP(N1298,$AL$1285:$AM$1310,2,FALSE)</f>
        <v>#N/A</v>
      </c>
      <c r="P1298" s="22">
        <f t="shared" ref="P1298:P1361" si="596">VLOOKUP(N1298,AC$2:AD$1905,2,FALSE)</f>
        <v>0</v>
      </c>
      <c r="Q1298" s="22"/>
      <c r="R1298" s="23"/>
      <c r="S1298" s="22">
        <f t="shared" ref="S1298:S1361" si="597">VLOOKUP(R1298,AC$2:AD$1905,2,FALSE)</f>
        <v>0</v>
      </c>
      <c r="T1298" s="24" t="e">
        <f t="shared" ref="T1298:T1361" si="598">(H1298*I1298)+P1298*Q1298+S1298*K1298</f>
        <v>#N/A</v>
      </c>
      <c r="U1298" s="37">
        <v>969060000</v>
      </c>
      <c r="V1298" s="42" t="s">
        <v>394</v>
      </c>
      <c r="W1298" s="37">
        <v>969060000</v>
      </c>
      <c r="X1298" s="47">
        <v>600</v>
      </c>
      <c r="Y1298" s="48" t="s">
        <v>395</v>
      </c>
      <c r="Z1298" s="49">
        <v>969060000</v>
      </c>
      <c r="AA1298" s="46">
        <v>2.0899999999999998E-2</v>
      </c>
      <c r="AB1298" s="46"/>
      <c r="AC1298" s="15" t="s">
        <v>391</v>
      </c>
      <c r="AD1298" s="16">
        <v>0</v>
      </c>
      <c r="AL1298" s="15" t="s">
        <v>391</v>
      </c>
      <c r="AM1298" s="15"/>
    </row>
    <row r="1299" spans="1:39" ht="48.2" customHeight="1" x14ac:dyDescent="0.25">
      <c r="A1299" s="17" t="e">
        <f>VLOOKUP(C1299,[1]Werke!$A$1:$C$168,3,0)</f>
        <v>#N/A</v>
      </c>
      <c r="B1299" s="17" t="e">
        <f>VLOOKUP(C1299,[1]Werke!$A$1:$C$168,2,0)</f>
        <v>#N/A</v>
      </c>
      <c r="C1299" s="18"/>
      <c r="D1299" s="17" t="e">
        <f>VLOOKUP(C1299,[1]Maliteslimalan!$A$1:$B$210,2,0)</f>
        <v>#N/A</v>
      </c>
      <c r="E1299" s="19" t="e">
        <f>VLOOKUP(C1299,[1]Bestellnr.!$A$1:$B$174,2,0)</f>
        <v>#N/A</v>
      </c>
      <c r="F1299" s="20" t="e">
        <f t="shared" si="591"/>
        <v>#N/A</v>
      </c>
      <c r="G1299" s="17"/>
      <c r="H1299" s="17" t="e">
        <f t="shared" si="592"/>
        <v>#N/A</v>
      </c>
      <c r="I1299" s="20"/>
      <c r="J1299" s="17" t="e">
        <f t="shared" si="593"/>
        <v>#N/A</v>
      </c>
      <c r="K1299" s="17" t="e">
        <f t="shared" si="594"/>
        <v>#N/A</v>
      </c>
      <c r="L1299" s="22"/>
      <c r="M1299" s="22"/>
      <c r="N1299" s="22"/>
      <c r="O1299" s="22" t="e">
        <f t="shared" si="595"/>
        <v>#N/A</v>
      </c>
      <c r="P1299" s="22">
        <f t="shared" si="596"/>
        <v>0</v>
      </c>
      <c r="Q1299" s="22"/>
      <c r="R1299" s="23"/>
      <c r="S1299" s="22">
        <f t="shared" si="597"/>
        <v>0</v>
      </c>
      <c r="T1299" s="24" t="e">
        <f t="shared" si="598"/>
        <v>#N/A</v>
      </c>
      <c r="U1299" s="37">
        <v>925949000</v>
      </c>
      <c r="V1299" s="42" t="s">
        <v>396</v>
      </c>
      <c r="W1299" s="37">
        <v>925949000</v>
      </c>
      <c r="X1299" s="47">
        <v>50</v>
      </c>
      <c r="Y1299" s="48" t="s">
        <v>397</v>
      </c>
      <c r="Z1299" s="49">
        <v>925949000</v>
      </c>
      <c r="AA1299" s="46">
        <v>0.1704</v>
      </c>
      <c r="AB1299" s="46"/>
      <c r="AC1299" s="15" t="s">
        <v>398</v>
      </c>
      <c r="AD1299" s="16">
        <v>31</v>
      </c>
      <c r="AL1299" s="15" t="s">
        <v>398</v>
      </c>
      <c r="AM1299" s="15"/>
    </row>
    <row r="1300" spans="1:39" ht="48.2" customHeight="1" x14ac:dyDescent="0.25">
      <c r="A1300" s="17" t="e">
        <f>VLOOKUP(C1300,[1]Werke!$A$1:$C$168,3,0)</f>
        <v>#N/A</v>
      </c>
      <c r="B1300" s="17" t="e">
        <f>VLOOKUP(C1300,[1]Werke!$A$1:$C$168,2,0)</f>
        <v>#N/A</v>
      </c>
      <c r="C1300" s="18"/>
      <c r="D1300" s="17" t="e">
        <f>VLOOKUP(C1300,[1]Maliteslimalan!$A$1:$B$210,2,0)</f>
        <v>#N/A</v>
      </c>
      <c r="E1300" s="19" t="e">
        <f>VLOOKUP(C1300,[1]Bestellnr.!$A$1:$B$174,2,0)</f>
        <v>#N/A</v>
      </c>
      <c r="F1300" s="20" t="e">
        <f t="shared" si="591"/>
        <v>#N/A</v>
      </c>
      <c r="G1300" s="17"/>
      <c r="H1300" s="17" t="e">
        <f t="shared" si="592"/>
        <v>#N/A</v>
      </c>
      <c r="I1300" s="20"/>
      <c r="J1300" s="17" t="e">
        <f t="shared" si="593"/>
        <v>#N/A</v>
      </c>
      <c r="K1300" s="17" t="e">
        <f t="shared" si="594"/>
        <v>#N/A</v>
      </c>
      <c r="L1300" s="22"/>
      <c r="M1300" s="22"/>
      <c r="N1300" s="22"/>
      <c r="O1300" s="22" t="e">
        <f t="shared" si="595"/>
        <v>#N/A</v>
      </c>
      <c r="P1300" s="22">
        <f t="shared" si="596"/>
        <v>0</v>
      </c>
      <c r="Q1300" s="22"/>
      <c r="R1300" s="23"/>
      <c r="S1300" s="22">
        <f t="shared" si="597"/>
        <v>0</v>
      </c>
      <c r="T1300" s="24" t="e">
        <f t="shared" si="598"/>
        <v>#N/A</v>
      </c>
      <c r="U1300" s="37">
        <v>923520000</v>
      </c>
      <c r="V1300" s="42" t="s">
        <v>399</v>
      </c>
      <c r="W1300" s="37">
        <v>923520000</v>
      </c>
      <c r="X1300" s="47">
        <v>3500</v>
      </c>
      <c r="Y1300" s="48" t="s">
        <v>400</v>
      </c>
      <c r="Z1300" s="49">
        <v>923520000</v>
      </c>
      <c r="AA1300" s="46">
        <v>4.2599999999999999E-3</v>
      </c>
      <c r="AB1300" s="46"/>
      <c r="AC1300" s="15" t="s">
        <v>342</v>
      </c>
      <c r="AD1300" s="16">
        <v>51</v>
      </c>
      <c r="AL1300" s="15" t="s">
        <v>342</v>
      </c>
      <c r="AM1300" s="15"/>
    </row>
    <row r="1301" spans="1:39" ht="48.2" customHeight="1" x14ac:dyDescent="0.25">
      <c r="A1301" s="17" t="e">
        <f>VLOOKUP(C1301,[1]Werke!$A$1:$C$168,3,0)</f>
        <v>#N/A</v>
      </c>
      <c r="B1301" s="17" t="e">
        <f>VLOOKUP(C1301,[1]Werke!$A$1:$C$168,2,0)</f>
        <v>#N/A</v>
      </c>
      <c r="C1301" s="18"/>
      <c r="D1301" s="17" t="e">
        <f>VLOOKUP(C1301,[1]Maliteslimalan!$A$1:$B$210,2,0)</f>
        <v>#N/A</v>
      </c>
      <c r="E1301" s="19" t="e">
        <f>VLOOKUP(C1301,[1]Bestellnr.!$A$1:$B$174,2,0)</f>
        <v>#N/A</v>
      </c>
      <c r="F1301" s="20" t="e">
        <f t="shared" si="591"/>
        <v>#N/A</v>
      </c>
      <c r="G1301" s="17"/>
      <c r="H1301" s="17" t="e">
        <f t="shared" si="592"/>
        <v>#N/A</v>
      </c>
      <c r="I1301" s="20"/>
      <c r="J1301" s="17" t="e">
        <f t="shared" si="593"/>
        <v>#N/A</v>
      </c>
      <c r="K1301" s="17" t="e">
        <f t="shared" si="594"/>
        <v>#N/A</v>
      </c>
      <c r="L1301" s="22"/>
      <c r="M1301" s="22"/>
      <c r="N1301" s="22"/>
      <c r="O1301" s="22" t="e">
        <f t="shared" si="595"/>
        <v>#N/A</v>
      </c>
      <c r="P1301" s="22">
        <f t="shared" si="596"/>
        <v>0</v>
      </c>
      <c r="Q1301" s="22"/>
      <c r="R1301" s="23"/>
      <c r="S1301" s="22">
        <f t="shared" si="597"/>
        <v>0</v>
      </c>
      <c r="T1301" s="24" t="e">
        <f t="shared" si="598"/>
        <v>#N/A</v>
      </c>
      <c r="U1301" s="37">
        <v>924546000</v>
      </c>
      <c r="V1301" s="42" t="s">
        <v>401</v>
      </c>
      <c r="W1301" s="37">
        <v>924546000</v>
      </c>
      <c r="X1301" s="47">
        <v>180</v>
      </c>
      <c r="Y1301" s="48" t="s">
        <v>402</v>
      </c>
      <c r="Z1301" s="49">
        <v>924546000</v>
      </c>
      <c r="AA1301" s="46">
        <v>5.62E-2</v>
      </c>
      <c r="AB1301" s="46"/>
      <c r="AC1301" s="15" t="s">
        <v>403</v>
      </c>
      <c r="AD1301" s="16">
        <v>0.7</v>
      </c>
      <c r="AL1301" s="15" t="s">
        <v>403</v>
      </c>
      <c r="AM1301" s="15"/>
    </row>
    <row r="1302" spans="1:39" ht="48.2" customHeight="1" x14ac:dyDescent="0.25">
      <c r="A1302" s="17" t="e">
        <f>VLOOKUP(C1302,[1]Werke!$A$1:$C$168,3,0)</f>
        <v>#N/A</v>
      </c>
      <c r="B1302" s="17" t="e">
        <f>VLOOKUP(C1302,[1]Werke!$A$1:$C$168,2,0)</f>
        <v>#N/A</v>
      </c>
      <c r="C1302" s="18"/>
      <c r="D1302" s="17" t="e">
        <f>VLOOKUP(C1302,[1]Maliteslimalan!$A$1:$B$210,2,0)</f>
        <v>#N/A</v>
      </c>
      <c r="E1302" s="19" t="e">
        <f>VLOOKUP(C1302,[1]Bestellnr.!$A$1:$B$174,2,0)</f>
        <v>#N/A</v>
      </c>
      <c r="F1302" s="20" t="e">
        <f t="shared" si="591"/>
        <v>#N/A</v>
      </c>
      <c r="G1302" s="17"/>
      <c r="H1302" s="17" t="e">
        <f t="shared" si="592"/>
        <v>#N/A</v>
      </c>
      <c r="I1302" s="20"/>
      <c r="J1302" s="17" t="e">
        <f t="shared" si="593"/>
        <v>#N/A</v>
      </c>
      <c r="K1302" s="17" t="e">
        <f t="shared" si="594"/>
        <v>#N/A</v>
      </c>
      <c r="L1302" s="22"/>
      <c r="M1302" s="22"/>
      <c r="N1302" s="22"/>
      <c r="O1302" s="22" t="e">
        <f t="shared" si="595"/>
        <v>#N/A</v>
      </c>
      <c r="P1302" s="22">
        <f t="shared" si="596"/>
        <v>0</v>
      </c>
      <c r="Q1302" s="22"/>
      <c r="R1302" s="23"/>
      <c r="S1302" s="22">
        <f t="shared" si="597"/>
        <v>0</v>
      </c>
      <c r="T1302" s="24" t="e">
        <f t="shared" si="598"/>
        <v>#N/A</v>
      </c>
      <c r="U1302" s="37">
        <v>933739000</v>
      </c>
      <c r="V1302" s="42" t="s">
        <v>404</v>
      </c>
      <c r="W1302" s="37">
        <v>933739000</v>
      </c>
      <c r="X1302" s="47">
        <v>110</v>
      </c>
      <c r="Y1302" s="48" t="s">
        <v>405</v>
      </c>
      <c r="Z1302" s="49">
        <v>933739000</v>
      </c>
      <c r="AA1302" s="46">
        <v>9.6629999999999994E-2</v>
      </c>
      <c r="AB1302" s="46"/>
      <c r="AC1302" s="15" t="s">
        <v>406</v>
      </c>
      <c r="AD1302" s="16">
        <v>25</v>
      </c>
      <c r="AL1302" s="15" t="s">
        <v>406</v>
      </c>
      <c r="AM1302" s="15"/>
    </row>
    <row r="1303" spans="1:39" ht="48.2" customHeight="1" x14ac:dyDescent="0.25">
      <c r="A1303" s="17" t="e">
        <f>VLOOKUP(C1303,[1]Werke!$A$1:$C$168,3,0)</f>
        <v>#N/A</v>
      </c>
      <c r="B1303" s="17" t="e">
        <f>VLOOKUP(C1303,[1]Werke!$A$1:$C$168,2,0)</f>
        <v>#N/A</v>
      </c>
      <c r="C1303" s="18"/>
      <c r="D1303" s="17" t="e">
        <f>VLOOKUP(C1303,[1]Maliteslimalan!$A$1:$B$210,2,0)</f>
        <v>#N/A</v>
      </c>
      <c r="E1303" s="19" t="e">
        <f>VLOOKUP(C1303,[1]Bestellnr.!$A$1:$B$174,2,0)</f>
        <v>#N/A</v>
      </c>
      <c r="F1303" s="20" t="e">
        <f t="shared" si="591"/>
        <v>#N/A</v>
      </c>
      <c r="G1303" s="21"/>
      <c r="H1303" s="17" t="e">
        <f t="shared" si="592"/>
        <v>#N/A</v>
      </c>
      <c r="I1303" s="20"/>
      <c r="J1303" s="17" t="e">
        <f t="shared" si="593"/>
        <v>#N/A</v>
      </c>
      <c r="K1303" s="17" t="e">
        <f t="shared" si="594"/>
        <v>#N/A</v>
      </c>
      <c r="L1303" s="22"/>
      <c r="M1303" s="22"/>
      <c r="N1303" s="22"/>
      <c r="O1303" s="22" t="e">
        <f t="shared" si="595"/>
        <v>#N/A</v>
      </c>
      <c r="P1303" s="22">
        <f t="shared" si="596"/>
        <v>0</v>
      </c>
      <c r="Q1303" s="22"/>
      <c r="R1303" s="23"/>
      <c r="S1303" s="22">
        <f t="shared" si="597"/>
        <v>0</v>
      </c>
      <c r="T1303" s="24" t="e">
        <f t="shared" si="598"/>
        <v>#N/A</v>
      </c>
      <c r="U1303" s="37">
        <v>924151000</v>
      </c>
      <c r="V1303" s="42" t="s">
        <v>407</v>
      </c>
      <c r="W1303" s="37">
        <v>924151000</v>
      </c>
      <c r="X1303" s="47">
        <v>500</v>
      </c>
      <c r="Y1303" s="48" t="s">
        <v>408</v>
      </c>
      <c r="Z1303" s="49">
        <v>924151000</v>
      </c>
      <c r="AA1303" s="46">
        <v>2.3800000000000002E-2</v>
      </c>
      <c r="AB1303" s="46"/>
      <c r="AC1303" s="15" t="s">
        <v>409</v>
      </c>
      <c r="AD1303" s="16">
        <v>32</v>
      </c>
      <c r="AL1303" s="15" t="s">
        <v>409</v>
      </c>
      <c r="AM1303" s="15"/>
    </row>
    <row r="1304" spans="1:39" ht="48.2" customHeight="1" x14ac:dyDescent="0.25">
      <c r="A1304" s="17" t="e">
        <f>VLOOKUP(C1304,[1]Werke!$A$1:$C$168,3,0)</f>
        <v>#N/A</v>
      </c>
      <c r="B1304" s="17" t="e">
        <f>VLOOKUP(C1304,[1]Werke!$A$1:$C$168,2,0)</f>
        <v>#N/A</v>
      </c>
      <c r="C1304" s="18"/>
      <c r="D1304" s="17" t="e">
        <f>VLOOKUP(C1304,[1]Maliteslimalan!$A$1:$B$210,2,0)</f>
        <v>#N/A</v>
      </c>
      <c r="E1304" s="19" t="e">
        <f>VLOOKUP(C1304,[1]Bestellnr.!$A$1:$B$174,2,0)</f>
        <v>#N/A</v>
      </c>
      <c r="F1304" s="20" t="e">
        <f t="shared" si="591"/>
        <v>#N/A</v>
      </c>
      <c r="G1304" s="17"/>
      <c r="H1304" s="17" t="e">
        <f t="shared" si="592"/>
        <v>#N/A</v>
      </c>
      <c r="I1304" s="20"/>
      <c r="J1304" s="17" t="e">
        <f t="shared" si="593"/>
        <v>#N/A</v>
      </c>
      <c r="K1304" s="17" t="e">
        <f t="shared" si="594"/>
        <v>#N/A</v>
      </c>
      <c r="L1304" s="22"/>
      <c r="M1304" s="22"/>
      <c r="N1304" s="22"/>
      <c r="O1304" s="22" t="e">
        <f t="shared" si="595"/>
        <v>#N/A</v>
      </c>
      <c r="P1304" s="22">
        <f t="shared" si="596"/>
        <v>0</v>
      </c>
      <c r="Q1304" s="22"/>
      <c r="R1304" s="23"/>
      <c r="S1304" s="22">
        <f t="shared" si="597"/>
        <v>0</v>
      </c>
      <c r="T1304" s="24" t="e">
        <f t="shared" si="598"/>
        <v>#N/A</v>
      </c>
      <c r="U1304" s="37">
        <v>930802000</v>
      </c>
      <c r="V1304" s="42" t="s">
        <v>410</v>
      </c>
      <c r="W1304" s="37">
        <v>930802000</v>
      </c>
      <c r="X1304" s="47">
        <v>750</v>
      </c>
      <c r="Y1304" s="48" t="s">
        <v>411</v>
      </c>
      <c r="Z1304" s="49">
        <v>930802000</v>
      </c>
      <c r="AA1304" s="46">
        <v>1.6480000000000002E-2</v>
      </c>
      <c r="AB1304" s="46"/>
      <c r="AC1304" s="15" t="s">
        <v>412</v>
      </c>
      <c r="AD1304" s="16">
        <v>10</v>
      </c>
      <c r="AL1304" s="15" t="s">
        <v>412</v>
      </c>
      <c r="AM1304" s="15"/>
    </row>
    <row r="1305" spans="1:39" ht="48.2" customHeight="1" x14ac:dyDescent="0.25">
      <c r="A1305" s="17" t="e">
        <f>VLOOKUP(C1305,[1]Werke!$A$1:$C$168,3,0)</f>
        <v>#N/A</v>
      </c>
      <c r="B1305" s="17" t="e">
        <f>VLOOKUP(C1305,[1]Werke!$A$1:$C$168,2,0)</f>
        <v>#N/A</v>
      </c>
      <c r="C1305" s="18"/>
      <c r="D1305" s="17" t="e">
        <f>VLOOKUP(C1305,[1]Maliteslimalan!$A$1:$B$210,2,0)</f>
        <v>#N/A</v>
      </c>
      <c r="E1305" s="19" t="e">
        <f>VLOOKUP(C1305,[1]Bestellnr.!$A$1:$B$174,2,0)</f>
        <v>#N/A</v>
      </c>
      <c r="F1305" s="20" t="e">
        <f t="shared" si="591"/>
        <v>#N/A</v>
      </c>
      <c r="G1305" s="17"/>
      <c r="H1305" s="17" t="e">
        <f t="shared" si="592"/>
        <v>#N/A</v>
      </c>
      <c r="I1305" s="20"/>
      <c r="J1305" s="17" t="e">
        <f t="shared" si="593"/>
        <v>#N/A</v>
      </c>
      <c r="K1305" s="17" t="e">
        <f t="shared" si="594"/>
        <v>#N/A</v>
      </c>
      <c r="L1305" s="22"/>
      <c r="M1305" s="22"/>
      <c r="N1305" s="22"/>
      <c r="O1305" s="22" t="e">
        <f t="shared" si="595"/>
        <v>#N/A</v>
      </c>
      <c r="P1305" s="22">
        <f t="shared" si="596"/>
        <v>0</v>
      </c>
      <c r="Q1305" s="22"/>
      <c r="R1305" s="23"/>
      <c r="S1305" s="22">
        <f t="shared" si="597"/>
        <v>0</v>
      </c>
      <c r="T1305" s="24" t="e">
        <f t="shared" si="598"/>
        <v>#N/A</v>
      </c>
      <c r="U1305" s="37">
        <v>924840000</v>
      </c>
      <c r="V1305" s="42" t="s">
        <v>413</v>
      </c>
      <c r="W1305" s="37">
        <v>924840000</v>
      </c>
      <c r="X1305" s="47">
        <v>350</v>
      </c>
      <c r="Y1305" s="48" t="s">
        <v>414</v>
      </c>
      <c r="Z1305" s="49">
        <v>924840000</v>
      </c>
      <c r="AA1305" s="46">
        <v>3.1399999999999997E-2</v>
      </c>
      <c r="AB1305" s="46"/>
      <c r="AC1305" s="15" t="s">
        <v>415</v>
      </c>
      <c r="AD1305" s="16">
        <v>0.4</v>
      </c>
      <c r="AL1305" s="15" t="s">
        <v>415</v>
      </c>
      <c r="AM1305" s="15"/>
    </row>
    <row r="1306" spans="1:39" ht="48.2" customHeight="1" x14ac:dyDescent="0.25">
      <c r="A1306" s="17" t="e">
        <f>VLOOKUP(C1306,[1]Werke!$A$1:$C$168,3,0)</f>
        <v>#N/A</v>
      </c>
      <c r="B1306" s="17" t="e">
        <f>VLOOKUP(C1306,[1]Werke!$A$1:$C$168,2,0)</f>
        <v>#N/A</v>
      </c>
      <c r="C1306" s="18"/>
      <c r="D1306" s="17" t="e">
        <f>VLOOKUP(C1306,[1]Maliteslimalan!$A$1:$B$210,2,0)</f>
        <v>#N/A</v>
      </c>
      <c r="E1306" s="19" t="e">
        <f>VLOOKUP(C1306,[1]Bestellnr.!$A$1:$B$174,2,0)</f>
        <v>#N/A</v>
      </c>
      <c r="F1306" s="20" t="e">
        <f t="shared" si="591"/>
        <v>#N/A</v>
      </c>
      <c r="G1306" s="17"/>
      <c r="H1306" s="17" t="e">
        <f t="shared" si="592"/>
        <v>#N/A</v>
      </c>
      <c r="I1306" s="20"/>
      <c r="J1306" s="17" t="e">
        <f t="shared" si="593"/>
        <v>#N/A</v>
      </c>
      <c r="K1306" s="17" t="e">
        <f t="shared" si="594"/>
        <v>#N/A</v>
      </c>
      <c r="L1306" s="22"/>
      <c r="M1306" s="22"/>
      <c r="N1306" s="22"/>
      <c r="O1306" s="22" t="e">
        <f t="shared" si="595"/>
        <v>#N/A</v>
      </c>
      <c r="P1306" s="22">
        <f t="shared" si="596"/>
        <v>0</v>
      </c>
      <c r="Q1306" s="22"/>
      <c r="R1306" s="23"/>
      <c r="S1306" s="22">
        <f t="shared" si="597"/>
        <v>0</v>
      </c>
      <c r="T1306" s="24" t="e">
        <f t="shared" si="598"/>
        <v>#N/A</v>
      </c>
      <c r="U1306" s="37">
        <v>925668000</v>
      </c>
      <c r="V1306" s="42" t="s">
        <v>416</v>
      </c>
      <c r="W1306" s="37">
        <v>925668000</v>
      </c>
      <c r="X1306" s="47" t="s">
        <v>417</v>
      </c>
      <c r="Y1306" s="48" t="s">
        <v>418</v>
      </c>
      <c r="Z1306" s="49">
        <v>925668000</v>
      </c>
      <c r="AA1306" s="46">
        <v>1.866E-2</v>
      </c>
      <c r="AB1306" s="46"/>
      <c r="AC1306" s="15" t="s">
        <v>419</v>
      </c>
      <c r="AD1306" s="16">
        <v>0.4</v>
      </c>
      <c r="AL1306" s="15" t="s">
        <v>419</v>
      </c>
      <c r="AM1306" s="15"/>
    </row>
    <row r="1307" spans="1:39" ht="48.2" customHeight="1" x14ac:dyDescent="0.25">
      <c r="A1307" s="17" t="e">
        <f>VLOOKUP(C1307,[1]Werke!$A$1:$C$168,3,0)</f>
        <v>#N/A</v>
      </c>
      <c r="B1307" s="17" t="e">
        <f>VLOOKUP(C1307,[1]Werke!$A$1:$C$168,2,0)</f>
        <v>#N/A</v>
      </c>
      <c r="C1307" s="18"/>
      <c r="D1307" s="17" t="e">
        <f>VLOOKUP(C1307,[1]Maliteslimalan!$A$1:$B$210,2,0)</f>
        <v>#N/A</v>
      </c>
      <c r="E1307" s="19" t="e">
        <f>VLOOKUP(C1307,[1]Bestellnr.!$A$1:$B$174,2,0)</f>
        <v>#N/A</v>
      </c>
      <c r="F1307" s="20" t="e">
        <f t="shared" si="591"/>
        <v>#N/A</v>
      </c>
      <c r="G1307" s="17"/>
      <c r="H1307" s="17" t="e">
        <f t="shared" si="592"/>
        <v>#N/A</v>
      </c>
      <c r="I1307" s="20"/>
      <c r="J1307" s="17" t="e">
        <f t="shared" si="593"/>
        <v>#N/A</v>
      </c>
      <c r="K1307" s="17" t="e">
        <f t="shared" si="594"/>
        <v>#N/A</v>
      </c>
      <c r="L1307" s="22"/>
      <c r="M1307" s="22"/>
      <c r="N1307" s="22"/>
      <c r="O1307" s="22" t="e">
        <f t="shared" si="595"/>
        <v>#N/A</v>
      </c>
      <c r="P1307" s="22">
        <f t="shared" si="596"/>
        <v>0</v>
      </c>
      <c r="Q1307" s="22"/>
      <c r="R1307" s="23"/>
      <c r="S1307" s="22">
        <f t="shared" si="597"/>
        <v>0</v>
      </c>
      <c r="T1307" s="24" t="e">
        <f t="shared" si="598"/>
        <v>#N/A</v>
      </c>
      <c r="U1307" s="37">
        <v>926128000</v>
      </c>
      <c r="V1307" s="42" t="s">
        <v>420</v>
      </c>
      <c r="W1307" s="37">
        <v>926128000</v>
      </c>
      <c r="X1307" s="47">
        <v>800</v>
      </c>
      <c r="Y1307" s="48" t="s">
        <v>421</v>
      </c>
      <c r="Z1307" s="49">
        <v>926128000</v>
      </c>
      <c r="AA1307" s="46">
        <v>1.41E-2</v>
      </c>
      <c r="AB1307" s="46"/>
      <c r="AC1307" s="15" t="s">
        <v>422</v>
      </c>
      <c r="AD1307" s="16">
        <v>0.4</v>
      </c>
      <c r="AL1307" s="15" t="s">
        <v>422</v>
      </c>
      <c r="AM1307" s="15"/>
    </row>
    <row r="1308" spans="1:39" ht="48.2" customHeight="1" x14ac:dyDescent="0.25">
      <c r="A1308" s="17" t="e">
        <f>VLOOKUP(C1308,[1]Werke!$A$1:$C$168,3,0)</f>
        <v>#N/A</v>
      </c>
      <c r="B1308" s="17" t="e">
        <f>VLOOKUP(C1308,[1]Werke!$A$1:$C$168,2,0)</f>
        <v>#N/A</v>
      </c>
      <c r="C1308" s="18"/>
      <c r="D1308" s="17" t="e">
        <f>VLOOKUP(C1308,[1]Maliteslimalan!$A$1:$B$210,2,0)</f>
        <v>#N/A</v>
      </c>
      <c r="E1308" s="19" t="e">
        <f>VLOOKUP(C1308,[1]Bestellnr.!$A$1:$B$174,2,0)</f>
        <v>#N/A</v>
      </c>
      <c r="F1308" s="20" t="e">
        <f t="shared" si="591"/>
        <v>#N/A</v>
      </c>
      <c r="G1308" s="17"/>
      <c r="H1308" s="17" t="e">
        <f t="shared" si="592"/>
        <v>#N/A</v>
      </c>
      <c r="I1308" s="20"/>
      <c r="J1308" s="17" t="e">
        <f t="shared" si="593"/>
        <v>#N/A</v>
      </c>
      <c r="K1308" s="17" t="e">
        <f t="shared" si="594"/>
        <v>#N/A</v>
      </c>
      <c r="L1308" s="22"/>
      <c r="M1308" s="22"/>
      <c r="N1308" s="22"/>
      <c r="O1308" s="22" t="e">
        <f t="shared" si="595"/>
        <v>#N/A</v>
      </c>
      <c r="P1308" s="22">
        <f t="shared" si="596"/>
        <v>0</v>
      </c>
      <c r="Q1308" s="22"/>
      <c r="R1308" s="23"/>
      <c r="S1308" s="22">
        <f t="shared" si="597"/>
        <v>0</v>
      </c>
      <c r="T1308" s="24" t="e">
        <f t="shared" si="598"/>
        <v>#N/A</v>
      </c>
      <c r="U1308" s="37">
        <v>936101000</v>
      </c>
      <c r="V1308" s="42" t="s">
        <v>423</v>
      </c>
      <c r="W1308" s="37">
        <v>936101000</v>
      </c>
      <c r="X1308" s="47">
        <v>50</v>
      </c>
      <c r="Y1308" s="48" t="s">
        <v>424</v>
      </c>
      <c r="Z1308" s="49">
        <v>936101000</v>
      </c>
      <c r="AA1308" s="46">
        <v>9.9400000000000002E-2</v>
      </c>
      <c r="AB1308" s="46"/>
      <c r="AC1308" s="15" t="s">
        <v>425</v>
      </c>
      <c r="AD1308" s="16">
        <v>45</v>
      </c>
      <c r="AL1308" s="15" t="s">
        <v>425</v>
      </c>
      <c r="AM1308" s="15"/>
    </row>
    <row r="1309" spans="1:39" ht="48.2" customHeight="1" x14ac:dyDescent="0.25">
      <c r="A1309" s="17" t="e">
        <f>VLOOKUP(C1309,[1]Werke!$A$1:$C$168,3,0)</f>
        <v>#N/A</v>
      </c>
      <c r="B1309" s="17" t="e">
        <f>VLOOKUP(C1309,[1]Werke!$A$1:$C$168,2,0)</f>
        <v>#N/A</v>
      </c>
      <c r="C1309" s="18"/>
      <c r="D1309" s="17" t="e">
        <f>VLOOKUP(C1309,[1]Maliteslimalan!$A$1:$B$210,2,0)</f>
        <v>#N/A</v>
      </c>
      <c r="E1309" s="19" t="e">
        <f>VLOOKUP(C1309,[1]Bestellnr.!$A$1:$B$174,2,0)</f>
        <v>#N/A</v>
      </c>
      <c r="F1309" s="20" t="e">
        <f t="shared" si="591"/>
        <v>#N/A</v>
      </c>
      <c r="G1309" s="17"/>
      <c r="H1309" s="17" t="e">
        <f t="shared" si="592"/>
        <v>#N/A</v>
      </c>
      <c r="I1309" s="20"/>
      <c r="J1309" s="17" t="e">
        <f t="shared" si="593"/>
        <v>#N/A</v>
      </c>
      <c r="K1309" s="17" t="e">
        <f t="shared" si="594"/>
        <v>#N/A</v>
      </c>
      <c r="L1309" s="22"/>
      <c r="M1309" s="22"/>
      <c r="N1309" s="22"/>
      <c r="O1309" s="22" t="e">
        <f t="shared" si="595"/>
        <v>#N/A</v>
      </c>
      <c r="P1309" s="22">
        <f t="shared" si="596"/>
        <v>0</v>
      </c>
      <c r="Q1309" s="22"/>
      <c r="R1309" s="23"/>
      <c r="S1309" s="22">
        <f t="shared" si="597"/>
        <v>0</v>
      </c>
      <c r="T1309" s="24" t="e">
        <f t="shared" si="598"/>
        <v>#N/A</v>
      </c>
      <c r="U1309" s="37">
        <v>928032000</v>
      </c>
      <c r="V1309" s="42" t="s">
        <v>426</v>
      </c>
      <c r="W1309" s="37">
        <v>928032000</v>
      </c>
      <c r="X1309" s="47">
        <v>150</v>
      </c>
      <c r="Y1309" s="48" t="s">
        <v>427</v>
      </c>
      <c r="Z1309" s="49">
        <v>928032000</v>
      </c>
      <c r="AA1309" s="46">
        <v>6.5519999999999995E-2</v>
      </c>
      <c r="AB1309" s="46"/>
      <c r="AC1309" s="15" t="s">
        <v>428</v>
      </c>
      <c r="AD1309" s="16">
        <v>25</v>
      </c>
      <c r="AL1309" s="15" t="s">
        <v>428</v>
      </c>
      <c r="AM1309" s="15"/>
    </row>
    <row r="1310" spans="1:39" ht="48.2" customHeight="1" x14ac:dyDescent="0.25">
      <c r="A1310" s="17" t="e">
        <f>VLOOKUP(C1310,[1]Werke!$A$1:$C$168,3,0)</f>
        <v>#N/A</v>
      </c>
      <c r="B1310" s="17" t="e">
        <f>VLOOKUP(C1310,[1]Werke!$A$1:$C$168,2,0)</f>
        <v>#N/A</v>
      </c>
      <c r="C1310" s="18"/>
      <c r="D1310" s="17" t="e">
        <f>VLOOKUP(C1310,[1]Maliteslimalan!$A$1:$B$210,2,0)</f>
        <v>#N/A</v>
      </c>
      <c r="E1310" s="19" t="e">
        <f>VLOOKUP(C1310,[1]Bestellnr.!$A$1:$B$174,2,0)</f>
        <v>#N/A</v>
      </c>
      <c r="F1310" s="20" t="e">
        <f t="shared" si="591"/>
        <v>#N/A</v>
      </c>
      <c r="G1310" s="17"/>
      <c r="H1310" s="17" t="e">
        <f t="shared" si="592"/>
        <v>#N/A</v>
      </c>
      <c r="I1310" s="20"/>
      <c r="J1310" s="17" t="e">
        <f t="shared" si="593"/>
        <v>#N/A</v>
      </c>
      <c r="K1310" s="17" t="e">
        <f t="shared" si="594"/>
        <v>#N/A</v>
      </c>
      <c r="L1310" s="22"/>
      <c r="M1310" s="22"/>
      <c r="N1310" s="22"/>
      <c r="O1310" s="22" t="e">
        <f t="shared" si="595"/>
        <v>#N/A</v>
      </c>
      <c r="P1310" s="22">
        <f t="shared" si="596"/>
        <v>0</v>
      </c>
      <c r="Q1310" s="22"/>
      <c r="R1310" s="23"/>
      <c r="S1310" s="22">
        <f t="shared" si="597"/>
        <v>0</v>
      </c>
      <c r="T1310" s="24" t="e">
        <f t="shared" si="598"/>
        <v>#N/A</v>
      </c>
      <c r="U1310" s="37">
        <v>933879000</v>
      </c>
      <c r="V1310" s="42" t="s">
        <v>429</v>
      </c>
      <c r="W1310" s="37">
        <v>933879000</v>
      </c>
      <c r="X1310" s="47">
        <v>800</v>
      </c>
      <c r="Y1310" s="48" t="s">
        <v>430</v>
      </c>
      <c r="Z1310" s="49">
        <v>933879000</v>
      </c>
      <c r="AA1310" s="46">
        <v>1.7330000000000002E-2</v>
      </c>
      <c r="AB1310" s="46"/>
      <c r="AC1310" s="15" t="s">
        <v>431</v>
      </c>
      <c r="AD1310" s="16">
        <v>48</v>
      </c>
      <c r="AL1310" s="15" t="s">
        <v>431</v>
      </c>
      <c r="AM1310" s="15"/>
    </row>
    <row r="1311" spans="1:39" ht="48.2" customHeight="1" x14ac:dyDescent="0.25">
      <c r="A1311" s="17" t="e">
        <f>VLOOKUP(C1311,[1]Werke!$A$1:$C$168,3,0)</f>
        <v>#N/A</v>
      </c>
      <c r="B1311" s="17" t="e">
        <f>VLOOKUP(C1311,[1]Werke!$A$1:$C$168,2,0)</f>
        <v>#N/A</v>
      </c>
      <c r="C1311" s="18"/>
      <c r="D1311" s="17" t="e">
        <f>VLOOKUP(C1311,[1]Maliteslimalan!$A$1:$B$210,2,0)</f>
        <v>#N/A</v>
      </c>
      <c r="E1311" s="19" t="e">
        <f>VLOOKUP(C1311,[1]Bestellnr.!$A$1:$B$174,2,0)</f>
        <v>#N/A</v>
      </c>
      <c r="F1311" s="20" t="e">
        <f t="shared" si="591"/>
        <v>#N/A</v>
      </c>
      <c r="G1311" s="17"/>
      <c r="H1311" s="17" t="e">
        <f t="shared" si="592"/>
        <v>#N/A</v>
      </c>
      <c r="I1311" s="20"/>
      <c r="J1311" s="17" t="e">
        <f t="shared" si="593"/>
        <v>#N/A</v>
      </c>
      <c r="K1311" s="17" t="e">
        <f t="shared" si="594"/>
        <v>#N/A</v>
      </c>
      <c r="L1311" s="22"/>
      <c r="M1311" s="22"/>
      <c r="N1311" s="22"/>
      <c r="O1311" s="22" t="e">
        <f t="shared" si="595"/>
        <v>#N/A</v>
      </c>
      <c r="P1311" s="22">
        <f t="shared" si="596"/>
        <v>0</v>
      </c>
      <c r="Q1311" s="22"/>
      <c r="R1311" s="23"/>
      <c r="S1311" s="22">
        <f t="shared" si="597"/>
        <v>0</v>
      </c>
      <c r="T1311" s="24" t="e">
        <f t="shared" si="598"/>
        <v>#N/A</v>
      </c>
      <c r="U1311" s="37">
        <v>932883000</v>
      </c>
      <c r="V1311" s="42" t="s">
        <v>432</v>
      </c>
      <c r="W1311" s="37">
        <v>932883000</v>
      </c>
      <c r="X1311" s="47">
        <v>300</v>
      </c>
      <c r="Y1311" s="48" t="s">
        <v>433</v>
      </c>
      <c r="Z1311" s="49">
        <v>932883000</v>
      </c>
      <c r="AA1311" s="46">
        <v>3.3110000000000001E-2</v>
      </c>
      <c r="AB1311" s="46"/>
    </row>
    <row r="1312" spans="1:39" ht="48.2" customHeight="1" x14ac:dyDescent="0.25">
      <c r="A1312" s="17" t="e">
        <f>VLOOKUP(C1312,[1]Werke!$A$1:$C$168,3,0)</f>
        <v>#N/A</v>
      </c>
      <c r="B1312" s="17" t="e">
        <f>VLOOKUP(C1312,[1]Werke!$A$1:$C$168,2,0)</f>
        <v>#N/A</v>
      </c>
      <c r="C1312" s="18"/>
      <c r="D1312" s="17" t="e">
        <f>VLOOKUP(C1312,[1]Maliteslimalan!$A$1:$B$210,2,0)</f>
        <v>#N/A</v>
      </c>
      <c r="E1312" s="19" t="e">
        <f>VLOOKUP(C1312,[1]Bestellnr.!$A$1:$B$174,2,0)</f>
        <v>#N/A</v>
      </c>
      <c r="F1312" s="20" t="e">
        <f t="shared" si="591"/>
        <v>#N/A</v>
      </c>
      <c r="G1312" s="17"/>
      <c r="H1312" s="17" t="e">
        <f t="shared" si="592"/>
        <v>#N/A</v>
      </c>
      <c r="I1312" s="20"/>
      <c r="J1312" s="17" t="e">
        <f t="shared" si="593"/>
        <v>#N/A</v>
      </c>
      <c r="K1312" s="17" t="e">
        <f t="shared" si="594"/>
        <v>#N/A</v>
      </c>
      <c r="L1312" s="22"/>
      <c r="M1312" s="22"/>
      <c r="N1312" s="22"/>
      <c r="O1312" s="22" t="e">
        <f t="shared" si="595"/>
        <v>#N/A</v>
      </c>
      <c r="P1312" s="22">
        <f t="shared" si="596"/>
        <v>0</v>
      </c>
      <c r="Q1312" s="22"/>
      <c r="R1312" s="23"/>
      <c r="S1312" s="22">
        <f t="shared" si="597"/>
        <v>0</v>
      </c>
      <c r="T1312" s="24" t="e">
        <f t="shared" si="598"/>
        <v>#N/A</v>
      </c>
      <c r="U1312" s="37">
        <v>935958000</v>
      </c>
      <c r="V1312" s="42" t="s">
        <v>434</v>
      </c>
      <c r="W1312" s="37">
        <v>935958000</v>
      </c>
      <c r="X1312" s="47">
        <v>100</v>
      </c>
      <c r="Y1312" s="48" t="s">
        <v>435</v>
      </c>
      <c r="Z1312" s="49">
        <v>935958000</v>
      </c>
      <c r="AA1312" s="46">
        <v>0.12291000000000001</v>
      </c>
      <c r="AB1312" s="46"/>
    </row>
    <row r="1313" spans="1:28" ht="48.2" customHeight="1" x14ac:dyDescent="0.25">
      <c r="A1313" s="17" t="e">
        <f>VLOOKUP(C1313,[1]Werke!$A$1:$C$168,3,0)</f>
        <v>#N/A</v>
      </c>
      <c r="B1313" s="17" t="e">
        <f>VLOOKUP(C1313,[1]Werke!$A$1:$C$168,2,0)</f>
        <v>#N/A</v>
      </c>
      <c r="C1313" s="18"/>
      <c r="D1313" s="17" t="e">
        <f>VLOOKUP(C1313,[1]Maliteslimalan!$A$1:$B$210,2,0)</f>
        <v>#N/A</v>
      </c>
      <c r="E1313" s="19" t="e">
        <f>VLOOKUP(C1313,[1]Bestellnr.!$A$1:$B$174,2,0)</f>
        <v>#N/A</v>
      </c>
      <c r="F1313" s="20" t="e">
        <f t="shared" si="591"/>
        <v>#N/A</v>
      </c>
      <c r="G1313" s="17"/>
      <c r="H1313" s="17" t="e">
        <f t="shared" si="592"/>
        <v>#N/A</v>
      </c>
      <c r="I1313" s="20"/>
      <c r="J1313" s="17" t="e">
        <f t="shared" si="593"/>
        <v>#N/A</v>
      </c>
      <c r="K1313" s="17" t="e">
        <f t="shared" si="594"/>
        <v>#N/A</v>
      </c>
      <c r="L1313" s="22"/>
      <c r="M1313" s="22"/>
      <c r="N1313" s="22"/>
      <c r="O1313" s="22" t="e">
        <f t="shared" si="595"/>
        <v>#N/A</v>
      </c>
      <c r="P1313" s="22">
        <f t="shared" si="596"/>
        <v>0</v>
      </c>
      <c r="Q1313" s="22"/>
      <c r="R1313" s="23"/>
      <c r="S1313" s="22">
        <f t="shared" si="597"/>
        <v>0</v>
      </c>
      <c r="T1313" s="24" t="e">
        <f t="shared" si="598"/>
        <v>#N/A</v>
      </c>
      <c r="U1313" s="37">
        <v>937627000</v>
      </c>
      <c r="V1313" s="42" t="s">
        <v>436</v>
      </c>
      <c r="W1313" s="37">
        <v>937627000</v>
      </c>
      <c r="X1313" s="47" t="s">
        <v>437</v>
      </c>
      <c r="Y1313" s="48" t="s">
        <v>438</v>
      </c>
      <c r="Z1313" s="49">
        <v>937627000</v>
      </c>
      <c r="AA1313" s="46">
        <v>1.9390000000000001E-2</v>
      </c>
      <c r="AB1313" s="46"/>
    </row>
    <row r="1314" spans="1:28" ht="48.2" customHeight="1" x14ac:dyDescent="0.25">
      <c r="A1314" s="17" t="e">
        <f>VLOOKUP(C1314,[1]Werke!$A$1:$C$168,3,0)</f>
        <v>#N/A</v>
      </c>
      <c r="B1314" s="17" t="e">
        <f>VLOOKUP(C1314,[1]Werke!$A$1:$C$168,2,0)</f>
        <v>#N/A</v>
      </c>
      <c r="C1314" s="18"/>
      <c r="D1314" s="17" t="e">
        <f>VLOOKUP(C1314,[1]Maliteslimalan!$A$1:$B$210,2,0)</f>
        <v>#N/A</v>
      </c>
      <c r="E1314" s="19" t="e">
        <f>VLOOKUP(C1314,[1]Bestellnr.!$A$1:$B$174,2,0)</f>
        <v>#N/A</v>
      </c>
      <c r="F1314" s="20" t="e">
        <f t="shared" si="591"/>
        <v>#N/A</v>
      </c>
      <c r="G1314" s="17"/>
      <c r="H1314" s="17" t="e">
        <f t="shared" si="592"/>
        <v>#N/A</v>
      </c>
      <c r="I1314" s="20"/>
      <c r="J1314" s="17" t="e">
        <f t="shared" si="593"/>
        <v>#N/A</v>
      </c>
      <c r="K1314" s="17" t="e">
        <f t="shared" si="594"/>
        <v>#N/A</v>
      </c>
      <c r="L1314" s="22"/>
      <c r="M1314" s="22"/>
      <c r="N1314" s="22"/>
      <c r="O1314" s="22" t="e">
        <f t="shared" si="595"/>
        <v>#N/A</v>
      </c>
      <c r="P1314" s="22">
        <f t="shared" si="596"/>
        <v>0</v>
      </c>
      <c r="Q1314" s="22"/>
      <c r="R1314" s="23"/>
      <c r="S1314" s="22">
        <f t="shared" si="597"/>
        <v>0</v>
      </c>
      <c r="T1314" s="24" t="e">
        <f t="shared" si="598"/>
        <v>#N/A</v>
      </c>
      <c r="U1314" s="38">
        <v>100501600</v>
      </c>
      <c r="V1314" s="42" t="s">
        <v>439</v>
      </c>
      <c r="W1314" s="38">
        <v>100501600</v>
      </c>
      <c r="X1314" s="47" t="s">
        <v>440</v>
      </c>
      <c r="Y1314" s="48" t="s">
        <v>441</v>
      </c>
      <c r="Z1314" s="48">
        <v>100501600</v>
      </c>
      <c r="AA1314" s="46">
        <v>1.721E-2</v>
      </c>
      <c r="AB1314" s="46"/>
    </row>
    <row r="1315" spans="1:28" ht="48.2" customHeight="1" x14ac:dyDescent="0.25">
      <c r="A1315" s="17" t="e">
        <f>VLOOKUP(C1315,[1]Werke!$A$1:$C$168,3,0)</f>
        <v>#N/A</v>
      </c>
      <c r="B1315" s="17" t="e">
        <f>VLOOKUP(C1315,[1]Werke!$A$1:$C$168,2,0)</f>
        <v>#N/A</v>
      </c>
      <c r="C1315" s="18"/>
      <c r="D1315" s="17" t="e">
        <f>VLOOKUP(C1315,[1]Maliteslimalan!$A$1:$B$210,2,0)</f>
        <v>#N/A</v>
      </c>
      <c r="E1315" s="19" t="e">
        <f>VLOOKUP(C1315,[1]Bestellnr.!$A$1:$B$174,2,0)</f>
        <v>#N/A</v>
      </c>
      <c r="F1315" s="20" t="e">
        <f t="shared" si="591"/>
        <v>#N/A</v>
      </c>
      <c r="G1315" s="17"/>
      <c r="H1315" s="17" t="e">
        <f t="shared" si="592"/>
        <v>#N/A</v>
      </c>
      <c r="I1315" s="20"/>
      <c r="J1315" s="17" t="e">
        <f t="shared" si="593"/>
        <v>#N/A</v>
      </c>
      <c r="K1315" s="17" t="e">
        <f t="shared" si="594"/>
        <v>#N/A</v>
      </c>
      <c r="L1315" s="22"/>
      <c r="M1315" s="22"/>
      <c r="N1315" s="22"/>
      <c r="O1315" s="22" t="e">
        <f t="shared" si="595"/>
        <v>#N/A</v>
      </c>
      <c r="P1315" s="22">
        <f t="shared" si="596"/>
        <v>0</v>
      </c>
      <c r="Q1315" s="22"/>
      <c r="R1315" s="23"/>
      <c r="S1315" s="22">
        <f t="shared" si="597"/>
        <v>0</v>
      </c>
      <c r="T1315" s="24" t="e">
        <f t="shared" si="598"/>
        <v>#N/A</v>
      </c>
      <c r="U1315" s="38">
        <v>100449600</v>
      </c>
      <c r="V1315" s="42" t="s">
        <v>442</v>
      </c>
      <c r="W1315" s="38">
        <v>100449600</v>
      </c>
      <c r="X1315" s="47" t="s">
        <v>443</v>
      </c>
      <c r="Y1315" s="48" t="s">
        <v>444</v>
      </c>
      <c r="Z1315" s="48">
        <v>100449600</v>
      </c>
      <c r="AA1315" s="46">
        <v>3.7499999999999999E-2</v>
      </c>
      <c r="AB1315" s="46"/>
    </row>
    <row r="1316" spans="1:28" ht="48.2" customHeight="1" x14ac:dyDescent="0.25">
      <c r="A1316" s="17" t="e">
        <f>VLOOKUP(C1316,[1]Werke!$A$1:$C$168,3,0)</f>
        <v>#N/A</v>
      </c>
      <c r="B1316" s="17" t="e">
        <f>VLOOKUP(C1316,[1]Werke!$A$1:$C$168,2,0)</f>
        <v>#N/A</v>
      </c>
      <c r="C1316" s="18"/>
      <c r="D1316" s="17" t="e">
        <f>VLOOKUP(C1316,[1]Maliteslimalan!$A$1:$B$210,2,0)</f>
        <v>#N/A</v>
      </c>
      <c r="E1316" s="19" t="e">
        <f>VLOOKUP(C1316,[1]Bestellnr.!$A$1:$B$174,2,0)</f>
        <v>#N/A</v>
      </c>
      <c r="F1316" s="20" t="e">
        <f t="shared" si="591"/>
        <v>#N/A</v>
      </c>
      <c r="G1316" s="17"/>
      <c r="H1316" s="17" t="e">
        <f t="shared" si="592"/>
        <v>#N/A</v>
      </c>
      <c r="I1316" s="20"/>
      <c r="J1316" s="17" t="e">
        <f t="shared" si="593"/>
        <v>#N/A</v>
      </c>
      <c r="K1316" s="17" t="e">
        <f t="shared" si="594"/>
        <v>#N/A</v>
      </c>
      <c r="L1316" s="22"/>
      <c r="M1316" s="22"/>
      <c r="N1316" s="22"/>
      <c r="O1316" s="22" t="e">
        <f t="shared" si="595"/>
        <v>#N/A</v>
      </c>
      <c r="P1316" s="22">
        <f t="shared" si="596"/>
        <v>0</v>
      </c>
      <c r="Q1316" s="22"/>
      <c r="R1316" s="23"/>
      <c r="S1316" s="22">
        <f t="shared" si="597"/>
        <v>0</v>
      </c>
      <c r="T1316" s="24" t="e">
        <f t="shared" si="598"/>
        <v>#N/A</v>
      </c>
      <c r="U1316" s="37">
        <v>940315000</v>
      </c>
      <c r="V1316" s="42" t="s">
        <v>445</v>
      </c>
      <c r="W1316" s="37">
        <v>940315000</v>
      </c>
      <c r="X1316" s="47" t="s">
        <v>446</v>
      </c>
      <c r="Y1316" s="48" t="s">
        <v>447</v>
      </c>
      <c r="Z1316" s="49">
        <v>940315000</v>
      </c>
      <c r="AA1316" s="46">
        <v>5.3400000000000001E-3</v>
      </c>
      <c r="AB1316" s="46"/>
    </row>
    <row r="1317" spans="1:28" ht="48.2" customHeight="1" x14ac:dyDescent="0.25">
      <c r="A1317" s="17" t="e">
        <f>VLOOKUP(C1317,[1]Werke!$A$1:$C$168,3,0)</f>
        <v>#N/A</v>
      </c>
      <c r="B1317" s="17" t="e">
        <f>VLOOKUP(C1317,[1]Werke!$A$1:$C$168,2,0)</f>
        <v>#N/A</v>
      </c>
      <c r="C1317" s="18"/>
      <c r="D1317" s="17" t="e">
        <f>VLOOKUP(C1317,[1]Maliteslimalan!$A$1:$B$210,2,0)</f>
        <v>#N/A</v>
      </c>
      <c r="E1317" s="19" t="e">
        <f>VLOOKUP(C1317,[1]Bestellnr.!$A$1:$B$174,2,0)</f>
        <v>#N/A</v>
      </c>
      <c r="F1317" s="20" t="e">
        <f t="shared" si="591"/>
        <v>#N/A</v>
      </c>
      <c r="G1317" s="17"/>
      <c r="H1317" s="17" t="e">
        <f t="shared" si="592"/>
        <v>#N/A</v>
      </c>
      <c r="I1317" s="20"/>
      <c r="J1317" s="17" t="e">
        <f t="shared" si="593"/>
        <v>#N/A</v>
      </c>
      <c r="K1317" s="17" t="e">
        <f t="shared" si="594"/>
        <v>#N/A</v>
      </c>
      <c r="L1317" s="22"/>
      <c r="M1317" s="22"/>
      <c r="N1317" s="22"/>
      <c r="O1317" s="22" t="e">
        <f t="shared" si="595"/>
        <v>#N/A</v>
      </c>
      <c r="P1317" s="22">
        <f t="shared" si="596"/>
        <v>0</v>
      </c>
      <c r="Q1317" s="22"/>
      <c r="R1317" s="23"/>
      <c r="S1317" s="22">
        <f t="shared" si="597"/>
        <v>0</v>
      </c>
      <c r="T1317" s="24" t="e">
        <f t="shared" si="598"/>
        <v>#N/A</v>
      </c>
      <c r="U1317" s="37">
        <v>100149000</v>
      </c>
      <c r="V1317" s="42" t="s">
        <v>448</v>
      </c>
      <c r="W1317" s="37">
        <v>100149000</v>
      </c>
      <c r="X1317" s="47">
        <v>75</v>
      </c>
      <c r="Y1317" s="48" t="s">
        <v>449</v>
      </c>
      <c r="Z1317" s="49">
        <v>100149000</v>
      </c>
      <c r="AA1317" s="46">
        <v>0.13800000000000001</v>
      </c>
      <c r="AB1317" s="46"/>
    </row>
    <row r="1318" spans="1:28" ht="48.2" customHeight="1" x14ac:dyDescent="0.25">
      <c r="A1318" s="17" t="e">
        <f>VLOOKUP(C1318,[1]Werke!$A$1:$C$168,3,0)</f>
        <v>#N/A</v>
      </c>
      <c r="B1318" s="17" t="e">
        <f>VLOOKUP(C1318,[1]Werke!$A$1:$C$168,2,0)</f>
        <v>#N/A</v>
      </c>
      <c r="C1318" s="18"/>
      <c r="D1318" s="17" t="e">
        <f>VLOOKUP(C1318,[1]Maliteslimalan!$A$1:$B$210,2,0)</f>
        <v>#N/A</v>
      </c>
      <c r="E1318" s="19" t="e">
        <f>VLOOKUP(C1318,[1]Bestellnr.!$A$1:$B$174,2,0)</f>
        <v>#N/A</v>
      </c>
      <c r="F1318" s="20" t="e">
        <f t="shared" si="591"/>
        <v>#N/A</v>
      </c>
      <c r="G1318" s="17"/>
      <c r="H1318" s="17" t="e">
        <f t="shared" si="592"/>
        <v>#N/A</v>
      </c>
      <c r="I1318" s="20"/>
      <c r="J1318" s="17" t="e">
        <f t="shared" si="593"/>
        <v>#N/A</v>
      </c>
      <c r="K1318" s="17" t="e">
        <f t="shared" si="594"/>
        <v>#N/A</v>
      </c>
      <c r="L1318" s="22"/>
      <c r="M1318" s="22"/>
      <c r="N1318" s="22"/>
      <c r="O1318" s="22" t="e">
        <f t="shared" si="595"/>
        <v>#N/A</v>
      </c>
      <c r="P1318" s="22">
        <f t="shared" si="596"/>
        <v>0</v>
      </c>
      <c r="Q1318" s="22"/>
      <c r="R1318" s="23"/>
      <c r="S1318" s="22">
        <f t="shared" si="597"/>
        <v>0</v>
      </c>
      <c r="T1318" s="24" t="e">
        <f t="shared" si="598"/>
        <v>#N/A</v>
      </c>
      <c r="U1318" s="37">
        <v>937273000</v>
      </c>
      <c r="V1318" s="42" t="s">
        <v>450</v>
      </c>
      <c r="W1318" s="37">
        <v>937273000</v>
      </c>
      <c r="X1318" s="47">
        <v>150</v>
      </c>
      <c r="Y1318" s="48" t="s">
        <v>451</v>
      </c>
      <c r="Z1318" s="49">
        <v>937273000</v>
      </c>
      <c r="AA1318" s="46">
        <v>6.7530000000000007E-2</v>
      </c>
      <c r="AB1318" s="46"/>
    </row>
    <row r="1319" spans="1:28" ht="48.2" customHeight="1" x14ac:dyDescent="0.25">
      <c r="A1319" s="17" t="e">
        <f>VLOOKUP(C1319,[1]Werke!$A$1:$C$168,3,0)</f>
        <v>#N/A</v>
      </c>
      <c r="B1319" s="17" t="e">
        <f>VLOOKUP(C1319,[1]Werke!$A$1:$C$168,2,0)</f>
        <v>#N/A</v>
      </c>
      <c r="C1319" s="18"/>
      <c r="D1319" s="17" t="e">
        <f>VLOOKUP(C1319,[1]Maliteslimalan!$A$1:$B$210,2,0)</f>
        <v>#N/A</v>
      </c>
      <c r="E1319" s="19" t="e">
        <f>VLOOKUP(C1319,[1]Bestellnr.!$A$1:$B$174,2,0)</f>
        <v>#N/A</v>
      </c>
      <c r="F1319" s="20" t="e">
        <f t="shared" si="591"/>
        <v>#N/A</v>
      </c>
      <c r="G1319" s="17"/>
      <c r="H1319" s="17" t="e">
        <f t="shared" si="592"/>
        <v>#N/A</v>
      </c>
      <c r="I1319" s="20"/>
      <c r="J1319" s="17" t="e">
        <f t="shared" si="593"/>
        <v>#N/A</v>
      </c>
      <c r="K1319" s="17" t="e">
        <f t="shared" si="594"/>
        <v>#N/A</v>
      </c>
      <c r="L1319" s="22"/>
      <c r="M1319" s="22"/>
      <c r="N1319" s="22"/>
      <c r="O1319" s="22" t="e">
        <f t="shared" si="595"/>
        <v>#N/A</v>
      </c>
      <c r="P1319" s="22">
        <f t="shared" si="596"/>
        <v>0</v>
      </c>
      <c r="Q1319" s="22"/>
      <c r="R1319" s="23"/>
      <c r="S1319" s="22">
        <f t="shared" si="597"/>
        <v>0</v>
      </c>
      <c r="T1319" s="24" t="e">
        <f t="shared" si="598"/>
        <v>#N/A</v>
      </c>
      <c r="U1319" s="37">
        <v>940328000</v>
      </c>
      <c r="V1319" s="42" t="s">
        <v>452</v>
      </c>
      <c r="W1319" s="37">
        <v>940328000</v>
      </c>
      <c r="X1319" s="47">
        <v>200</v>
      </c>
      <c r="Y1319" s="48" t="s">
        <v>453</v>
      </c>
      <c r="Z1319" s="49">
        <v>940328000</v>
      </c>
      <c r="AA1319" s="46">
        <v>5.2429999999999997E-2</v>
      </c>
      <c r="AB1319" s="46"/>
    </row>
    <row r="1320" spans="1:28" ht="48.2" customHeight="1" x14ac:dyDescent="0.25">
      <c r="A1320" s="17" t="e">
        <f>VLOOKUP(C1320,[1]Werke!$A$1:$C$168,3,0)</f>
        <v>#N/A</v>
      </c>
      <c r="B1320" s="17" t="e">
        <f>VLOOKUP(C1320,[1]Werke!$A$1:$C$168,2,0)</f>
        <v>#N/A</v>
      </c>
      <c r="C1320" s="18"/>
      <c r="D1320" s="17" t="e">
        <f>VLOOKUP(C1320,[1]Maliteslimalan!$A$1:$B$210,2,0)</f>
        <v>#N/A</v>
      </c>
      <c r="E1320" s="19" t="e">
        <f>VLOOKUP(C1320,[1]Bestellnr.!$A$1:$B$174,2,0)</f>
        <v>#N/A</v>
      </c>
      <c r="F1320" s="20" t="e">
        <f t="shared" si="591"/>
        <v>#N/A</v>
      </c>
      <c r="G1320" s="17"/>
      <c r="H1320" s="17" t="e">
        <f t="shared" si="592"/>
        <v>#N/A</v>
      </c>
      <c r="I1320" s="20"/>
      <c r="J1320" s="17" t="e">
        <f t="shared" si="593"/>
        <v>#N/A</v>
      </c>
      <c r="K1320" s="17" t="e">
        <f t="shared" si="594"/>
        <v>#N/A</v>
      </c>
      <c r="L1320" s="22"/>
      <c r="M1320" s="22"/>
      <c r="N1320" s="22"/>
      <c r="O1320" s="22" t="e">
        <f t="shared" si="595"/>
        <v>#N/A</v>
      </c>
      <c r="P1320" s="22">
        <f t="shared" si="596"/>
        <v>0</v>
      </c>
      <c r="Q1320" s="22"/>
      <c r="R1320" s="23"/>
      <c r="S1320" s="22">
        <f t="shared" si="597"/>
        <v>0</v>
      </c>
      <c r="T1320" s="24" t="e">
        <f t="shared" si="598"/>
        <v>#N/A</v>
      </c>
      <c r="U1320" s="37">
        <v>967156000</v>
      </c>
      <c r="V1320" s="42" t="s">
        <v>454</v>
      </c>
      <c r="W1320" s="37">
        <v>967156000</v>
      </c>
      <c r="X1320" s="47">
        <v>1500</v>
      </c>
      <c r="Y1320" s="48" t="s">
        <v>455</v>
      </c>
      <c r="Z1320" s="49">
        <v>967156000</v>
      </c>
      <c r="AA1320" s="46">
        <v>9.0399999999999994E-3</v>
      </c>
      <c r="AB1320" s="46"/>
    </row>
    <row r="1321" spans="1:28" ht="48.2" customHeight="1" x14ac:dyDescent="0.25">
      <c r="A1321" s="17" t="e">
        <f>VLOOKUP(C1321,[1]Werke!$A$1:$C$168,3,0)</f>
        <v>#N/A</v>
      </c>
      <c r="B1321" s="17" t="e">
        <f>VLOOKUP(C1321,[1]Werke!$A$1:$C$168,2,0)</f>
        <v>#N/A</v>
      </c>
      <c r="C1321" s="18"/>
      <c r="D1321" s="17" t="e">
        <f>VLOOKUP(C1321,[1]Maliteslimalan!$A$1:$B$210,2,0)</f>
        <v>#N/A</v>
      </c>
      <c r="E1321" s="19" t="e">
        <f>VLOOKUP(C1321,[1]Bestellnr.!$A$1:$B$174,2,0)</f>
        <v>#N/A</v>
      </c>
      <c r="F1321" s="20" t="e">
        <f t="shared" si="591"/>
        <v>#N/A</v>
      </c>
      <c r="G1321" s="17"/>
      <c r="H1321" s="17" t="e">
        <f t="shared" si="592"/>
        <v>#N/A</v>
      </c>
      <c r="I1321" s="20"/>
      <c r="J1321" s="17" t="e">
        <f t="shared" si="593"/>
        <v>#N/A</v>
      </c>
      <c r="K1321" s="17" t="e">
        <f t="shared" si="594"/>
        <v>#N/A</v>
      </c>
      <c r="L1321" s="22"/>
      <c r="M1321" s="22"/>
      <c r="N1321" s="22"/>
      <c r="O1321" s="22" t="e">
        <f t="shared" si="595"/>
        <v>#N/A</v>
      </c>
      <c r="P1321" s="22">
        <f t="shared" si="596"/>
        <v>0</v>
      </c>
      <c r="Q1321" s="22"/>
      <c r="R1321" s="23"/>
      <c r="S1321" s="22">
        <f t="shared" si="597"/>
        <v>0</v>
      </c>
      <c r="T1321" s="24" t="e">
        <f t="shared" si="598"/>
        <v>#N/A</v>
      </c>
      <c r="U1321" s="37">
        <v>967230000</v>
      </c>
      <c r="V1321" s="42" t="s">
        <v>456</v>
      </c>
      <c r="W1321" s="37">
        <v>967230000</v>
      </c>
      <c r="X1321" s="47">
        <v>1200</v>
      </c>
      <c r="Y1321" s="48" t="s">
        <v>457</v>
      </c>
      <c r="Z1321" s="49">
        <v>967230000</v>
      </c>
      <c r="AA1321" s="46">
        <v>8.9499999999999996E-3</v>
      </c>
      <c r="AB1321" s="46"/>
    </row>
    <row r="1322" spans="1:28" ht="48.2" customHeight="1" x14ac:dyDescent="0.25">
      <c r="A1322" s="17" t="e">
        <f>VLOOKUP(C1322,[1]Werke!$A$1:$C$168,3,0)</f>
        <v>#N/A</v>
      </c>
      <c r="B1322" s="17" t="e">
        <f>VLOOKUP(C1322,[1]Werke!$A$1:$C$168,2,0)</f>
        <v>#N/A</v>
      </c>
      <c r="C1322" s="18"/>
      <c r="D1322" s="17" t="e">
        <f>VLOOKUP(C1322,[1]Maliteslimalan!$A$1:$B$210,2,0)</f>
        <v>#N/A</v>
      </c>
      <c r="E1322" s="19" t="e">
        <f>VLOOKUP(C1322,[1]Bestellnr.!$A$1:$B$174,2,0)</f>
        <v>#N/A</v>
      </c>
      <c r="F1322" s="20" t="e">
        <f t="shared" si="591"/>
        <v>#N/A</v>
      </c>
      <c r="G1322" s="17"/>
      <c r="H1322" s="17" t="e">
        <f t="shared" si="592"/>
        <v>#N/A</v>
      </c>
      <c r="I1322" s="20"/>
      <c r="J1322" s="17" t="e">
        <f t="shared" si="593"/>
        <v>#N/A</v>
      </c>
      <c r="K1322" s="17" t="e">
        <f t="shared" si="594"/>
        <v>#N/A</v>
      </c>
      <c r="L1322" s="22"/>
      <c r="M1322" s="22"/>
      <c r="N1322" s="22"/>
      <c r="O1322" s="22" t="e">
        <f t="shared" si="595"/>
        <v>#N/A</v>
      </c>
      <c r="P1322" s="22">
        <f t="shared" si="596"/>
        <v>0</v>
      </c>
      <c r="Q1322" s="22"/>
      <c r="R1322" s="23"/>
      <c r="S1322" s="22">
        <f t="shared" si="597"/>
        <v>0</v>
      </c>
      <c r="T1322" s="24" t="e">
        <f t="shared" si="598"/>
        <v>#N/A</v>
      </c>
      <c r="U1322" s="38">
        <v>100458000</v>
      </c>
      <c r="V1322" s="42" t="s">
        <v>458</v>
      </c>
      <c r="W1322" s="38">
        <v>100458000</v>
      </c>
      <c r="X1322" s="47" t="s">
        <v>459</v>
      </c>
      <c r="Y1322" s="48" t="s">
        <v>460</v>
      </c>
      <c r="Z1322" s="48">
        <v>100458000</v>
      </c>
      <c r="AA1322" s="46">
        <v>5.7500000000000002E-2</v>
      </c>
      <c r="AB1322" s="46"/>
    </row>
    <row r="1323" spans="1:28" ht="48.2" customHeight="1" x14ac:dyDescent="0.25">
      <c r="A1323" s="17" t="e">
        <f>VLOOKUP(C1323,[1]Werke!$A$1:$C$168,3,0)</f>
        <v>#N/A</v>
      </c>
      <c r="B1323" s="17" t="e">
        <f>VLOOKUP(C1323,[1]Werke!$A$1:$C$168,2,0)</f>
        <v>#N/A</v>
      </c>
      <c r="C1323" s="18"/>
      <c r="D1323" s="17" t="e">
        <f>VLOOKUP(C1323,[1]Maliteslimalan!$A$1:$B$210,2,0)</f>
        <v>#N/A</v>
      </c>
      <c r="E1323" s="19" t="e">
        <f>VLOOKUP(C1323,[1]Bestellnr.!$A$1:$B$174,2,0)</f>
        <v>#N/A</v>
      </c>
      <c r="F1323" s="20" t="e">
        <f t="shared" si="591"/>
        <v>#N/A</v>
      </c>
      <c r="G1323" s="17"/>
      <c r="H1323" s="17" t="e">
        <f t="shared" si="592"/>
        <v>#N/A</v>
      </c>
      <c r="I1323" s="20"/>
      <c r="J1323" s="17" t="e">
        <f t="shared" si="593"/>
        <v>#N/A</v>
      </c>
      <c r="K1323" s="17" t="e">
        <f t="shared" si="594"/>
        <v>#N/A</v>
      </c>
      <c r="L1323" s="22"/>
      <c r="M1323" s="22"/>
      <c r="N1323" s="22"/>
      <c r="O1323" s="22" t="e">
        <f t="shared" si="595"/>
        <v>#N/A</v>
      </c>
      <c r="P1323" s="22">
        <f t="shared" si="596"/>
        <v>0</v>
      </c>
      <c r="Q1323" s="22"/>
      <c r="R1323" s="23"/>
      <c r="S1323" s="22">
        <f t="shared" si="597"/>
        <v>0</v>
      </c>
      <c r="T1323" s="24" t="e">
        <f t="shared" si="598"/>
        <v>#N/A</v>
      </c>
      <c r="U1323" s="38">
        <v>100457900</v>
      </c>
      <c r="V1323" s="42" t="s">
        <v>461</v>
      </c>
      <c r="W1323" s="38">
        <v>100457900</v>
      </c>
      <c r="X1323" s="47" t="s">
        <v>459</v>
      </c>
      <c r="Y1323" s="48" t="s">
        <v>462</v>
      </c>
      <c r="Z1323" s="48">
        <v>100457900</v>
      </c>
      <c r="AA1323" s="46">
        <v>5.3499999999999999E-2</v>
      </c>
      <c r="AB1323" s="46"/>
    </row>
    <row r="1324" spans="1:28" ht="48.2" customHeight="1" x14ac:dyDescent="0.25">
      <c r="A1324" s="17" t="e">
        <f>VLOOKUP(C1324,[1]Werke!$A$1:$C$168,3,0)</f>
        <v>#N/A</v>
      </c>
      <c r="B1324" s="17" t="e">
        <f>VLOOKUP(C1324,[1]Werke!$A$1:$C$168,2,0)</f>
        <v>#N/A</v>
      </c>
      <c r="C1324" s="18"/>
      <c r="D1324" s="17" t="e">
        <f>VLOOKUP(C1324,[1]Maliteslimalan!$A$1:$B$210,2,0)</f>
        <v>#N/A</v>
      </c>
      <c r="E1324" s="19" t="e">
        <f>VLOOKUP(C1324,[1]Bestellnr.!$A$1:$B$174,2,0)</f>
        <v>#N/A</v>
      </c>
      <c r="F1324" s="20" t="e">
        <f t="shared" si="591"/>
        <v>#N/A</v>
      </c>
      <c r="G1324" s="17"/>
      <c r="H1324" s="17" t="e">
        <f t="shared" si="592"/>
        <v>#N/A</v>
      </c>
      <c r="I1324" s="20"/>
      <c r="J1324" s="17" t="e">
        <f t="shared" si="593"/>
        <v>#N/A</v>
      </c>
      <c r="K1324" s="17" t="e">
        <f t="shared" si="594"/>
        <v>#N/A</v>
      </c>
      <c r="L1324" s="22"/>
      <c r="M1324" s="22"/>
      <c r="N1324" s="22"/>
      <c r="O1324" s="22" t="e">
        <f t="shared" si="595"/>
        <v>#N/A</v>
      </c>
      <c r="P1324" s="22">
        <f t="shared" si="596"/>
        <v>0</v>
      </c>
      <c r="Q1324" s="22"/>
      <c r="R1324" s="23"/>
      <c r="S1324" s="22">
        <f t="shared" si="597"/>
        <v>0</v>
      </c>
      <c r="T1324" s="24" t="e">
        <f t="shared" si="598"/>
        <v>#N/A</v>
      </c>
      <c r="U1324" s="37">
        <v>969061000</v>
      </c>
      <c r="V1324" s="42" t="s">
        <v>463</v>
      </c>
      <c r="W1324" s="37">
        <v>969061000</v>
      </c>
      <c r="X1324" s="47">
        <v>500</v>
      </c>
      <c r="Y1324" s="48" t="s">
        <v>464</v>
      </c>
      <c r="Z1324" s="49">
        <v>969061000</v>
      </c>
      <c r="AA1324" s="46">
        <v>2.4670000000000001E-2</v>
      </c>
      <c r="AB1324" s="46"/>
    </row>
    <row r="1325" spans="1:28" ht="48.2" customHeight="1" x14ac:dyDescent="0.25">
      <c r="A1325" s="17" t="e">
        <f>VLOOKUP(C1325,[1]Werke!$A$1:$C$168,3,0)</f>
        <v>#N/A</v>
      </c>
      <c r="B1325" s="17" t="e">
        <f>VLOOKUP(C1325,[1]Werke!$A$1:$C$168,2,0)</f>
        <v>#N/A</v>
      </c>
      <c r="C1325" s="18"/>
      <c r="D1325" s="17" t="e">
        <f>VLOOKUP(C1325,[1]Maliteslimalan!$A$1:$B$210,2,0)</f>
        <v>#N/A</v>
      </c>
      <c r="E1325" s="19" t="e">
        <f>VLOOKUP(C1325,[1]Bestellnr.!$A$1:$B$174,2,0)</f>
        <v>#N/A</v>
      </c>
      <c r="F1325" s="20" t="e">
        <f t="shared" si="591"/>
        <v>#N/A</v>
      </c>
      <c r="G1325" s="17"/>
      <c r="H1325" s="17" t="e">
        <f t="shared" si="592"/>
        <v>#N/A</v>
      </c>
      <c r="I1325" s="20"/>
      <c r="J1325" s="17" t="e">
        <f t="shared" si="593"/>
        <v>#N/A</v>
      </c>
      <c r="K1325" s="17" t="e">
        <f t="shared" si="594"/>
        <v>#N/A</v>
      </c>
      <c r="L1325" s="22"/>
      <c r="M1325" s="22"/>
      <c r="N1325" s="22"/>
      <c r="O1325" s="22" t="e">
        <f t="shared" si="595"/>
        <v>#N/A</v>
      </c>
      <c r="P1325" s="22">
        <f t="shared" si="596"/>
        <v>0</v>
      </c>
      <c r="Q1325" s="22"/>
      <c r="R1325" s="23"/>
      <c r="S1325" s="22">
        <f t="shared" si="597"/>
        <v>0</v>
      </c>
      <c r="T1325" s="24" t="e">
        <f t="shared" si="598"/>
        <v>#N/A</v>
      </c>
      <c r="U1325" s="37">
        <v>926080000</v>
      </c>
      <c r="V1325" s="42" t="s">
        <v>465</v>
      </c>
      <c r="W1325" s="37">
        <v>926080000</v>
      </c>
      <c r="X1325" s="47">
        <v>650</v>
      </c>
      <c r="Y1325" s="48" t="s">
        <v>466</v>
      </c>
      <c r="Z1325" s="49">
        <v>926080000</v>
      </c>
      <c r="AA1325" s="46">
        <v>1.77E-2</v>
      </c>
      <c r="AB1325" s="46"/>
    </row>
    <row r="1326" spans="1:28" ht="48.2" customHeight="1" x14ac:dyDescent="0.25">
      <c r="A1326" s="17" t="e">
        <f>VLOOKUP(C1326,[1]Werke!$A$1:$C$168,3,0)</f>
        <v>#N/A</v>
      </c>
      <c r="B1326" s="17" t="e">
        <f>VLOOKUP(C1326,[1]Werke!$A$1:$C$168,2,0)</f>
        <v>#N/A</v>
      </c>
      <c r="C1326" s="18"/>
      <c r="D1326" s="17" t="e">
        <f>VLOOKUP(C1326,[1]Maliteslimalan!$A$1:$B$210,2,0)</f>
        <v>#N/A</v>
      </c>
      <c r="E1326" s="19" t="e">
        <f>VLOOKUP(C1326,[1]Bestellnr.!$A$1:$B$174,2,0)</f>
        <v>#N/A</v>
      </c>
      <c r="F1326" s="20" t="e">
        <f t="shared" si="591"/>
        <v>#N/A</v>
      </c>
      <c r="G1326" s="17"/>
      <c r="H1326" s="17" t="e">
        <f t="shared" si="592"/>
        <v>#N/A</v>
      </c>
      <c r="I1326" s="20"/>
      <c r="J1326" s="17" t="e">
        <f t="shared" si="593"/>
        <v>#N/A</v>
      </c>
      <c r="K1326" s="17" t="e">
        <f t="shared" si="594"/>
        <v>#N/A</v>
      </c>
      <c r="L1326" s="22"/>
      <c r="M1326" s="22"/>
      <c r="N1326" s="22"/>
      <c r="O1326" s="22" t="e">
        <f t="shared" si="595"/>
        <v>#N/A</v>
      </c>
      <c r="P1326" s="22">
        <f t="shared" si="596"/>
        <v>0</v>
      </c>
      <c r="Q1326" s="22"/>
      <c r="R1326" s="23"/>
      <c r="S1326" s="22">
        <f t="shared" si="597"/>
        <v>0</v>
      </c>
      <c r="T1326" s="24" t="e">
        <f t="shared" si="598"/>
        <v>#N/A</v>
      </c>
      <c r="U1326" s="37">
        <v>937292000</v>
      </c>
      <c r="V1326" s="42" t="s">
        <v>467</v>
      </c>
      <c r="W1326" s="37">
        <v>937292000</v>
      </c>
      <c r="X1326" s="47">
        <v>100</v>
      </c>
      <c r="Y1326" s="48" t="s">
        <v>468</v>
      </c>
      <c r="Z1326" s="49">
        <v>937292000</v>
      </c>
      <c r="AA1326" s="46">
        <v>7.6420000000000002E-2</v>
      </c>
      <c r="AB1326" s="46"/>
    </row>
    <row r="1327" spans="1:28" ht="48.2" customHeight="1" x14ac:dyDescent="0.25">
      <c r="A1327" s="17" t="e">
        <f>VLOOKUP(C1327,[1]Werke!$A$1:$C$168,3,0)</f>
        <v>#N/A</v>
      </c>
      <c r="B1327" s="17" t="e">
        <f>VLOOKUP(C1327,[1]Werke!$A$1:$C$168,2,0)</f>
        <v>#N/A</v>
      </c>
      <c r="C1327" s="18"/>
      <c r="D1327" s="17" t="e">
        <f>VLOOKUP(C1327,[1]Maliteslimalan!$A$1:$B$210,2,0)</f>
        <v>#N/A</v>
      </c>
      <c r="E1327" s="19" t="e">
        <f>VLOOKUP(C1327,[1]Bestellnr.!$A$1:$B$174,2,0)</f>
        <v>#N/A</v>
      </c>
      <c r="F1327" s="20" t="e">
        <f t="shared" si="591"/>
        <v>#N/A</v>
      </c>
      <c r="G1327" s="17"/>
      <c r="H1327" s="17" t="e">
        <f t="shared" si="592"/>
        <v>#N/A</v>
      </c>
      <c r="I1327" s="20"/>
      <c r="J1327" s="17" t="e">
        <f t="shared" si="593"/>
        <v>#N/A</v>
      </c>
      <c r="K1327" s="17" t="e">
        <f t="shared" si="594"/>
        <v>#N/A</v>
      </c>
      <c r="L1327" s="22"/>
      <c r="M1327" s="22"/>
      <c r="N1327" s="22"/>
      <c r="O1327" s="22" t="e">
        <f t="shared" si="595"/>
        <v>#N/A</v>
      </c>
      <c r="P1327" s="22">
        <f t="shared" si="596"/>
        <v>0</v>
      </c>
      <c r="Q1327" s="22"/>
      <c r="R1327" s="23"/>
      <c r="S1327" s="22">
        <f t="shared" si="597"/>
        <v>0</v>
      </c>
      <c r="T1327" s="24" t="e">
        <f t="shared" si="598"/>
        <v>#N/A</v>
      </c>
      <c r="U1327" s="37">
        <v>100590000</v>
      </c>
      <c r="V1327" s="42" t="s">
        <v>469</v>
      </c>
      <c r="W1327" s="37">
        <v>100590000</v>
      </c>
      <c r="X1327" s="47" t="s">
        <v>470</v>
      </c>
      <c r="Y1327" s="48" t="s">
        <v>471</v>
      </c>
      <c r="Z1327" s="49">
        <v>100590000</v>
      </c>
      <c r="AA1327" s="46">
        <v>0.14960999999999999</v>
      </c>
      <c r="AB1327" s="46"/>
    </row>
    <row r="1328" spans="1:28" ht="48.2" customHeight="1" x14ac:dyDescent="0.25">
      <c r="A1328" s="17" t="e">
        <f>VLOOKUP(C1328,[1]Werke!$A$1:$C$168,3,0)</f>
        <v>#N/A</v>
      </c>
      <c r="B1328" s="17" t="e">
        <f>VLOOKUP(C1328,[1]Werke!$A$1:$C$168,2,0)</f>
        <v>#N/A</v>
      </c>
      <c r="C1328" s="18"/>
      <c r="D1328" s="17" t="e">
        <f>VLOOKUP(C1328,[1]Maliteslimalan!$A$1:$B$210,2,0)</f>
        <v>#N/A</v>
      </c>
      <c r="E1328" s="19" t="e">
        <f>VLOOKUP(C1328,[1]Bestellnr.!$A$1:$B$174,2,0)</f>
        <v>#N/A</v>
      </c>
      <c r="F1328" s="20" t="e">
        <f t="shared" si="591"/>
        <v>#N/A</v>
      </c>
      <c r="G1328" s="17"/>
      <c r="H1328" s="17" t="e">
        <f t="shared" si="592"/>
        <v>#N/A</v>
      </c>
      <c r="I1328" s="20"/>
      <c r="J1328" s="17" t="e">
        <f t="shared" si="593"/>
        <v>#N/A</v>
      </c>
      <c r="K1328" s="17" t="e">
        <f t="shared" si="594"/>
        <v>#N/A</v>
      </c>
      <c r="L1328" s="22"/>
      <c r="M1328" s="22"/>
      <c r="N1328" s="22"/>
      <c r="O1328" s="22" t="e">
        <f t="shared" si="595"/>
        <v>#N/A</v>
      </c>
      <c r="P1328" s="22">
        <f t="shared" si="596"/>
        <v>0</v>
      </c>
      <c r="Q1328" s="22"/>
      <c r="R1328" s="23"/>
      <c r="S1328" s="22">
        <f t="shared" si="597"/>
        <v>0</v>
      </c>
      <c r="T1328" s="24" t="e">
        <f t="shared" si="598"/>
        <v>#N/A</v>
      </c>
      <c r="U1328" s="37">
        <v>100635300</v>
      </c>
      <c r="V1328" s="42" t="s">
        <v>472</v>
      </c>
      <c r="W1328" s="37">
        <v>100635300</v>
      </c>
      <c r="X1328" s="47" t="s">
        <v>417</v>
      </c>
      <c r="Y1328" s="46" t="s">
        <v>473</v>
      </c>
      <c r="Z1328" s="49">
        <v>100635300</v>
      </c>
      <c r="AA1328" s="46">
        <v>1.788E-2</v>
      </c>
      <c r="AB1328" s="46"/>
    </row>
    <row r="1329" spans="1:28" ht="48.2" customHeight="1" x14ac:dyDescent="0.25">
      <c r="A1329" s="17" t="e">
        <f>VLOOKUP(C1329,[1]Werke!$A$1:$C$168,3,0)</f>
        <v>#N/A</v>
      </c>
      <c r="B1329" s="17" t="e">
        <f>VLOOKUP(C1329,[1]Werke!$A$1:$C$168,2,0)</f>
        <v>#N/A</v>
      </c>
      <c r="C1329" s="18"/>
      <c r="D1329" s="17" t="e">
        <f>VLOOKUP(C1329,[1]Maliteslimalan!$A$1:$B$210,2,0)</f>
        <v>#N/A</v>
      </c>
      <c r="E1329" s="19" t="e">
        <f>VLOOKUP(C1329,[1]Bestellnr.!$A$1:$B$174,2,0)</f>
        <v>#N/A</v>
      </c>
      <c r="F1329" s="20" t="e">
        <f t="shared" si="591"/>
        <v>#N/A</v>
      </c>
      <c r="G1329" s="17"/>
      <c r="H1329" s="17" t="e">
        <f t="shared" si="592"/>
        <v>#N/A</v>
      </c>
      <c r="I1329" s="20"/>
      <c r="J1329" s="17" t="e">
        <f t="shared" si="593"/>
        <v>#N/A</v>
      </c>
      <c r="K1329" s="17" t="e">
        <f t="shared" si="594"/>
        <v>#N/A</v>
      </c>
      <c r="L1329" s="22"/>
      <c r="M1329" s="22"/>
      <c r="N1329" s="22"/>
      <c r="O1329" s="22" t="e">
        <f t="shared" si="595"/>
        <v>#N/A</v>
      </c>
      <c r="P1329" s="22">
        <f t="shared" si="596"/>
        <v>0</v>
      </c>
      <c r="Q1329" s="22"/>
      <c r="R1329" s="23"/>
      <c r="S1329" s="22">
        <f t="shared" si="597"/>
        <v>0</v>
      </c>
      <c r="T1329" s="24" t="e">
        <f t="shared" si="598"/>
        <v>#N/A</v>
      </c>
      <c r="U1329" s="37">
        <v>935846000</v>
      </c>
      <c r="V1329" s="42" t="s">
        <v>474</v>
      </c>
      <c r="W1329" s="37">
        <v>935846000</v>
      </c>
      <c r="X1329" s="47">
        <v>400</v>
      </c>
      <c r="Y1329" s="48" t="s">
        <v>475</v>
      </c>
      <c r="Z1329" s="49">
        <v>935846000</v>
      </c>
      <c r="AA1329" s="46">
        <v>2.614E-2</v>
      </c>
      <c r="AB1329" s="46"/>
    </row>
    <row r="1330" spans="1:28" ht="48.2" customHeight="1" x14ac:dyDescent="0.25">
      <c r="A1330" s="17" t="e">
        <f>VLOOKUP(C1330,[1]Werke!$A$1:$C$168,3,0)</f>
        <v>#N/A</v>
      </c>
      <c r="B1330" s="17" t="e">
        <f>VLOOKUP(C1330,[1]Werke!$A$1:$C$168,2,0)</f>
        <v>#N/A</v>
      </c>
      <c r="C1330" s="18"/>
      <c r="D1330" s="17" t="e">
        <f>VLOOKUP(C1330,[1]Maliteslimalan!$A$1:$B$210,2,0)</f>
        <v>#N/A</v>
      </c>
      <c r="E1330" s="19" t="e">
        <f>VLOOKUP(C1330,[1]Bestellnr.!$A$1:$B$174,2,0)</f>
        <v>#N/A</v>
      </c>
      <c r="F1330" s="20" t="e">
        <f t="shared" si="591"/>
        <v>#N/A</v>
      </c>
      <c r="G1330" s="17"/>
      <c r="H1330" s="17" t="e">
        <f t="shared" si="592"/>
        <v>#N/A</v>
      </c>
      <c r="I1330" s="20"/>
      <c r="J1330" s="17" t="e">
        <f t="shared" si="593"/>
        <v>#N/A</v>
      </c>
      <c r="K1330" s="17" t="e">
        <f t="shared" si="594"/>
        <v>#N/A</v>
      </c>
      <c r="L1330" s="22"/>
      <c r="M1330" s="22"/>
      <c r="N1330" s="22"/>
      <c r="O1330" s="22" t="e">
        <f t="shared" si="595"/>
        <v>#N/A</v>
      </c>
      <c r="P1330" s="22">
        <f t="shared" si="596"/>
        <v>0</v>
      </c>
      <c r="Q1330" s="22"/>
      <c r="R1330" s="23"/>
      <c r="S1330" s="22">
        <f t="shared" si="597"/>
        <v>0</v>
      </c>
      <c r="T1330" s="24" t="e">
        <f t="shared" si="598"/>
        <v>#N/A</v>
      </c>
      <c r="U1330" s="37">
        <v>932972000</v>
      </c>
      <c r="V1330" s="42" t="s">
        <v>476</v>
      </c>
      <c r="W1330" s="37">
        <v>932972000</v>
      </c>
      <c r="X1330" s="47">
        <v>1000</v>
      </c>
      <c r="Y1330" s="48" t="s">
        <v>477</v>
      </c>
      <c r="Z1330" s="49">
        <v>932972000</v>
      </c>
      <c r="AA1330" s="46">
        <v>1.5570000000000001E-2</v>
      </c>
      <c r="AB1330" s="46"/>
    </row>
    <row r="1331" spans="1:28" ht="48.2" customHeight="1" x14ac:dyDescent="0.25">
      <c r="A1331" s="17" t="e">
        <f>VLOOKUP(C1331,[1]Werke!$A$1:$C$168,3,0)</f>
        <v>#N/A</v>
      </c>
      <c r="B1331" s="17" t="e">
        <f>VLOOKUP(C1331,[1]Werke!$A$1:$C$168,2,0)</f>
        <v>#N/A</v>
      </c>
      <c r="C1331" s="18"/>
      <c r="D1331" s="17" t="e">
        <f>VLOOKUP(C1331,[1]Maliteslimalan!$A$1:$B$210,2,0)</f>
        <v>#N/A</v>
      </c>
      <c r="E1331" s="19" t="e">
        <f>VLOOKUP(C1331,[1]Bestellnr.!$A$1:$B$174,2,0)</f>
        <v>#N/A</v>
      </c>
      <c r="F1331" s="20" t="e">
        <f t="shared" si="591"/>
        <v>#N/A</v>
      </c>
      <c r="G1331" s="17"/>
      <c r="H1331" s="17" t="e">
        <f t="shared" si="592"/>
        <v>#N/A</v>
      </c>
      <c r="I1331" s="20"/>
      <c r="J1331" s="17" t="e">
        <f t="shared" si="593"/>
        <v>#N/A</v>
      </c>
      <c r="K1331" s="17" t="e">
        <f t="shared" si="594"/>
        <v>#N/A</v>
      </c>
      <c r="L1331" s="22"/>
      <c r="M1331" s="22"/>
      <c r="N1331" s="22"/>
      <c r="O1331" s="22" t="e">
        <f t="shared" si="595"/>
        <v>#N/A</v>
      </c>
      <c r="P1331" s="22">
        <f t="shared" si="596"/>
        <v>0</v>
      </c>
      <c r="Q1331" s="22"/>
      <c r="R1331" s="23"/>
      <c r="S1331" s="22">
        <f t="shared" si="597"/>
        <v>0</v>
      </c>
      <c r="T1331" s="24" t="e">
        <f t="shared" si="598"/>
        <v>#N/A</v>
      </c>
      <c r="U1331" s="38">
        <v>100417700</v>
      </c>
      <c r="V1331" s="42" t="s">
        <v>478</v>
      </c>
      <c r="W1331" s="38">
        <v>100417700</v>
      </c>
      <c r="X1331" s="47" t="s">
        <v>479</v>
      </c>
      <c r="Y1331" s="48" t="s">
        <v>480</v>
      </c>
      <c r="Z1331" s="48">
        <v>100417700</v>
      </c>
      <c r="AA1331" s="46">
        <v>1.5800000000000002E-2</v>
      </c>
      <c r="AB1331" s="46"/>
    </row>
    <row r="1332" spans="1:28" ht="48.2" customHeight="1" x14ac:dyDescent="0.25">
      <c r="A1332" s="17" t="e">
        <f>VLOOKUP(C1332,[1]Werke!$A$1:$C$168,3,0)</f>
        <v>#N/A</v>
      </c>
      <c r="B1332" s="17" t="e">
        <f>VLOOKUP(C1332,[1]Werke!$A$1:$C$168,2,0)</f>
        <v>#N/A</v>
      </c>
      <c r="C1332" s="18"/>
      <c r="D1332" s="17" t="e">
        <f>VLOOKUP(C1332,[1]Maliteslimalan!$A$1:$B$210,2,0)</f>
        <v>#N/A</v>
      </c>
      <c r="E1332" s="19" t="e">
        <f>VLOOKUP(C1332,[1]Bestellnr.!$A$1:$B$174,2,0)</f>
        <v>#N/A</v>
      </c>
      <c r="F1332" s="20" t="e">
        <f t="shared" si="591"/>
        <v>#N/A</v>
      </c>
      <c r="G1332" s="17"/>
      <c r="H1332" s="17" t="e">
        <f t="shared" si="592"/>
        <v>#N/A</v>
      </c>
      <c r="I1332" s="20"/>
      <c r="J1332" s="17" t="e">
        <f t="shared" si="593"/>
        <v>#N/A</v>
      </c>
      <c r="K1332" s="17" t="e">
        <f t="shared" si="594"/>
        <v>#N/A</v>
      </c>
      <c r="L1332" s="22"/>
      <c r="M1332" s="22"/>
      <c r="N1332" s="22"/>
      <c r="O1332" s="22" t="e">
        <f t="shared" si="595"/>
        <v>#N/A</v>
      </c>
      <c r="P1332" s="22">
        <f t="shared" si="596"/>
        <v>0</v>
      </c>
      <c r="Q1332" s="22"/>
      <c r="R1332" s="23"/>
      <c r="S1332" s="22">
        <f t="shared" si="597"/>
        <v>0</v>
      </c>
      <c r="T1332" s="24" t="e">
        <f t="shared" si="598"/>
        <v>#N/A</v>
      </c>
      <c r="U1332" s="37">
        <v>969062000</v>
      </c>
      <c r="V1332" s="42" t="s">
        <v>481</v>
      </c>
      <c r="W1332" s="37">
        <v>969062000</v>
      </c>
      <c r="X1332" s="47">
        <v>1000</v>
      </c>
      <c r="Y1332" s="48" t="s">
        <v>482</v>
      </c>
      <c r="Z1332" s="49">
        <v>969062000</v>
      </c>
      <c r="AA1332" s="46">
        <v>1.388E-2</v>
      </c>
      <c r="AB1332" s="46"/>
    </row>
    <row r="1333" spans="1:28" ht="48.2" customHeight="1" x14ac:dyDescent="0.25">
      <c r="A1333" s="17" t="e">
        <f>VLOOKUP(C1333,[1]Werke!$A$1:$C$168,3,0)</f>
        <v>#N/A</v>
      </c>
      <c r="B1333" s="17" t="e">
        <f>VLOOKUP(C1333,[1]Werke!$A$1:$C$168,2,0)</f>
        <v>#N/A</v>
      </c>
      <c r="C1333" s="18"/>
      <c r="D1333" s="17" t="e">
        <f>VLOOKUP(C1333,[1]Maliteslimalan!$A$1:$B$210,2,0)</f>
        <v>#N/A</v>
      </c>
      <c r="E1333" s="19" t="e">
        <f>VLOOKUP(C1333,[1]Bestellnr.!$A$1:$B$174,2,0)</f>
        <v>#N/A</v>
      </c>
      <c r="F1333" s="20" t="e">
        <f t="shared" si="591"/>
        <v>#N/A</v>
      </c>
      <c r="G1333" s="17"/>
      <c r="H1333" s="17" t="e">
        <f t="shared" si="592"/>
        <v>#N/A</v>
      </c>
      <c r="I1333" s="20"/>
      <c r="J1333" s="17" t="e">
        <f t="shared" si="593"/>
        <v>#N/A</v>
      </c>
      <c r="K1333" s="17" t="e">
        <f t="shared" si="594"/>
        <v>#N/A</v>
      </c>
      <c r="L1333" s="22"/>
      <c r="M1333" s="22"/>
      <c r="N1333" s="22"/>
      <c r="O1333" s="22" t="e">
        <f t="shared" si="595"/>
        <v>#N/A</v>
      </c>
      <c r="P1333" s="22">
        <f t="shared" si="596"/>
        <v>0</v>
      </c>
      <c r="Q1333" s="22"/>
      <c r="R1333" s="23"/>
      <c r="S1333" s="22">
        <f t="shared" si="597"/>
        <v>0</v>
      </c>
      <c r="T1333" s="24" t="e">
        <f t="shared" si="598"/>
        <v>#N/A</v>
      </c>
      <c r="U1333" s="37">
        <v>969063000</v>
      </c>
      <c r="V1333" s="42" t="s">
        <v>483</v>
      </c>
      <c r="W1333" s="37">
        <v>969063000</v>
      </c>
      <c r="X1333" s="47" t="s">
        <v>484</v>
      </c>
      <c r="Y1333" s="48" t="s">
        <v>485</v>
      </c>
      <c r="Z1333" s="49">
        <v>969063000</v>
      </c>
      <c r="AA1333" s="46">
        <v>1.9900000000000001E-2</v>
      </c>
      <c r="AB1333" s="46"/>
    </row>
    <row r="1334" spans="1:28" ht="48.2" customHeight="1" x14ac:dyDescent="0.25">
      <c r="A1334" s="17" t="e">
        <f>VLOOKUP(C1334,[1]Werke!$A$1:$C$168,3,0)</f>
        <v>#N/A</v>
      </c>
      <c r="B1334" s="17" t="e">
        <f>VLOOKUP(C1334,[1]Werke!$A$1:$C$168,2,0)</f>
        <v>#N/A</v>
      </c>
      <c r="C1334" s="18"/>
      <c r="D1334" s="17" t="e">
        <f>VLOOKUP(C1334,[1]Maliteslimalan!$A$1:$B$210,2,0)</f>
        <v>#N/A</v>
      </c>
      <c r="E1334" s="19" t="e">
        <f>VLOOKUP(C1334,[1]Bestellnr.!$A$1:$B$174,2,0)</f>
        <v>#N/A</v>
      </c>
      <c r="F1334" s="20" t="e">
        <f t="shared" si="591"/>
        <v>#N/A</v>
      </c>
      <c r="G1334" s="17"/>
      <c r="H1334" s="17" t="e">
        <f t="shared" si="592"/>
        <v>#N/A</v>
      </c>
      <c r="I1334" s="20"/>
      <c r="J1334" s="17" t="e">
        <f t="shared" si="593"/>
        <v>#N/A</v>
      </c>
      <c r="K1334" s="17" t="e">
        <f t="shared" si="594"/>
        <v>#N/A</v>
      </c>
      <c r="L1334" s="22"/>
      <c r="M1334" s="22"/>
      <c r="N1334" s="22"/>
      <c r="O1334" s="22" t="e">
        <f t="shared" si="595"/>
        <v>#N/A</v>
      </c>
      <c r="P1334" s="22">
        <f t="shared" si="596"/>
        <v>0</v>
      </c>
      <c r="Q1334" s="22"/>
      <c r="R1334" s="23"/>
      <c r="S1334" s="22">
        <f t="shared" si="597"/>
        <v>0</v>
      </c>
      <c r="T1334" s="24" t="e">
        <f t="shared" si="598"/>
        <v>#N/A</v>
      </c>
      <c r="U1334" s="37">
        <v>933880000</v>
      </c>
      <c r="V1334" s="42" t="s">
        <v>486</v>
      </c>
      <c r="W1334" s="37">
        <v>933880000</v>
      </c>
      <c r="X1334" s="47">
        <v>150</v>
      </c>
      <c r="Y1334" s="48" t="s">
        <v>487</v>
      </c>
      <c r="Z1334" s="49">
        <v>933880000</v>
      </c>
      <c r="AA1334" s="46">
        <v>9.1740000000000002E-2</v>
      </c>
      <c r="AB1334" s="46"/>
    </row>
    <row r="1335" spans="1:28" ht="48.2" customHeight="1" x14ac:dyDescent="0.25">
      <c r="A1335" s="17" t="e">
        <f>VLOOKUP(C1335,[1]Werke!$A$1:$C$168,3,0)</f>
        <v>#N/A</v>
      </c>
      <c r="B1335" s="17" t="e">
        <f>VLOOKUP(C1335,[1]Werke!$A$1:$C$168,2,0)</f>
        <v>#N/A</v>
      </c>
      <c r="C1335" s="18"/>
      <c r="D1335" s="17" t="e">
        <f>VLOOKUP(C1335,[1]Maliteslimalan!$A$1:$B$210,2,0)</f>
        <v>#N/A</v>
      </c>
      <c r="E1335" s="19" t="e">
        <f>VLOOKUP(C1335,[1]Bestellnr.!$A$1:$B$174,2,0)</f>
        <v>#N/A</v>
      </c>
      <c r="F1335" s="20" t="e">
        <f t="shared" si="591"/>
        <v>#N/A</v>
      </c>
      <c r="G1335" s="17"/>
      <c r="H1335" s="17" t="e">
        <f t="shared" si="592"/>
        <v>#N/A</v>
      </c>
      <c r="I1335" s="20"/>
      <c r="J1335" s="17" t="e">
        <f t="shared" si="593"/>
        <v>#N/A</v>
      </c>
      <c r="K1335" s="17" t="e">
        <f t="shared" si="594"/>
        <v>#N/A</v>
      </c>
      <c r="L1335" s="22"/>
      <c r="M1335" s="22"/>
      <c r="N1335" s="22"/>
      <c r="O1335" s="22" t="e">
        <f t="shared" si="595"/>
        <v>#N/A</v>
      </c>
      <c r="P1335" s="22">
        <f t="shared" si="596"/>
        <v>0</v>
      </c>
      <c r="Q1335" s="22"/>
      <c r="R1335" s="23"/>
      <c r="S1335" s="22">
        <f t="shared" si="597"/>
        <v>0</v>
      </c>
      <c r="T1335" s="24" t="e">
        <f t="shared" si="598"/>
        <v>#N/A</v>
      </c>
      <c r="U1335" s="37">
        <v>923518000</v>
      </c>
      <c r="V1335" s="42" t="s">
        <v>488</v>
      </c>
      <c r="W1335" s="37">
        <v>923518000</v>
      </c>
      <c r="X1335" s="47">
        <v>1200</v>
      </c>
      <c r="Y1335" s="48" t="s">
        <v>489</v>
      </c>
      <c r="Z1335" s="49">
        <v>923518000</v>
      </c>
      <c r="AA1335" s="46">
        <v>1.11E-2</v>
      </c>
      <c r="AB1335" s="46"/>
    </row>
    <row r="1336" spans="1:28" ht="48.2" customHeight="1" x14ac:dyDescent="0.25">
      <c r="A1336" s="17" t="e">
        <f>VLOOKUP(C1336,[1]Werke!$A$1:$C$168,3,0)</f>
        <v>#N/A</v>
      </c>
      <c r="B1336" s="17" t="e">
        <f>VLOOKUP(C1336,[1]Werke!$A$1:$C$168,2,0)</f>
        <v>#N/A</v>
      </c>
      <c r="C1336" s="18"/>
      <c r="D1336" s="17" t="e">
        <f>VLOOKUP(C1336,[1]Maliteslimalan!$A$1:$B$210,2,0)</f>
        <v>#N/A</v>
      </c>
      <c r="E1336" s="19" t="e">
        <f>VLOOKUP(C1336,[1]Bestellnr.!$A$1:$B$174,2,0)</f>
        <v>#N/A</v>
      </c>
      <c r="F1336" s="20" t="e">
        <f t="shared" si="591"/>
        <v>#N/A</v>
      </c>
      <c r="G1336" s="17"/>
      <c r="H1336" s="17" t="e">
        <f t="shared" si="592"/>
        <v>#N/A</v>
      </c>
      <c r="I1336" s="20"/>
      <c r="J1336" s="17" t="e">
        <f t="shared" si="593"/>
        <v>#N/A</v>
      </c>
      <c r="K1336" s="17" t="e">
        <f t="shared" si="594"/>
        <v>#N/A</v>
      </c>
      <c r="L1336" s="22"/>
      <c r="M1336" s="22"/>
      <c r="N1336" s="22"/>
      <c r="O1336" s="22" t="e">
        <f t="shared" si="595"/>
        <v>#N/A</v>
      </c>
      <c r="P1336" s="22">
        <f t="shared" si="596"/>
        <v>0</v>
      </c>
      <c r="Q1336" s="22"/>
      <c r="R1336" s="23"/>
      <c r="S1336" s="22">
        <f t="shared" si="597"/>
        <v>0</v>
      </c>
      <c r="T1336" s="24" t="e">
        <f t="shared" si="598"/>
        <v>#N/A</v>
      </c>
      <c r="U1336" s="38">
        <v>100814100</v>
      </c>
      <c r="V1336" s="42" t="s">
        <v>490</v>
      </c>
      <c r="W1336" s="38">
        <v>100814100</v>
      </c>
      <c r="X1336" s="47" t="s">
        <v>470</v>
      </c>
      <c r="Y1336" s="48" t="s">
        <v>491</v>
      </c>
      <c r="Z1336" s="48">
        <v>100814100</v>
      </c>
      <c r="AA1336" s="46">
        <v>0.31280000000000002</v>
      </c>
      <c r="AB1336" s="46"/>
    </row>
    <row r="1337" spans="1:28" ht="48.2" customHeight="1" x14ac:dyDescent="0.25">
      <c r="A1337" s="17" t="e">
        <f>VLOOKUP(C1337,[1]Werke!$A$1:$C$168,3,0)</f>
        <v>#N/A</v>
      </c>
      <c r="B1337" s="17" t="e">
        <f>VLOOKUP(C1337,[1]Werke!$A$1:$C$168,2,0)</f>
        <v>#N/A</v>
      </c>
      <c r="C1337" s="18"/>
      <c r="D1337" s="17" t="e">
        <f>VLOOKUP(C1337,[1]Maliteslimalan!$A$1:$B$210,2,0)</f>
        <v>#N/A</v>
      </c>
      <c r="E1337" s="19" t="e">
        <f>VLOOKUP(C1337,[1]Bestellnr.!$A$1:$B$174,2,0)</f>
        <v>#N/A</v>
      </c>
      <c r="F1337" s="20" t="e">
        <f t="shared" si="591"/>
        <v>#N/A</v>
      </c>
      <c r="G1337" s="17"/>
      <c r="H1337" s="17" t="e">
        <f t="shared" si="592"/>
        <v>#N/A</v>
      </c>
      <c r="I1337" s="20"/>
      <c r="J1337" s="17" t="e">
        <f t="shared" si="593"/>
        <v>#N/A</v>
      </c>
      <c r="K1337" s="17" t="e">
        <f t="shared" si="594"/>
        <v>#N/A</v>
      </c>
      <c r="L1337" s="22"/>
      <c r="M1337" s="22"/>
      <c r="N1337" s="22"/>
      <c r="O1337" s="22" t="e">
        <f t="shared" si="595"/>
        <v>#N/A</v>
      </c>
      <c r="P1337" s="22">
        <f t="shared" si="596"/>
        <v>0</v>
      </c>
      <c r="Q1337" s="22"/>
      <c r="R1337" s="23"/>
      <c r="S1337" s="22">
        <f t="shared" si="597"/>
        <v>0</v>
      </c>
      <c r="T1337" s="24" t="e">
        <f t="shared" si="598"/>
        <v>#N/A</v>
      </c>
      <c r="U1337" s="37">
        <v>966796000</v>
      </c>
      <c r="V1337" s="42" t="s">
        <v>492</v>
      </c>
      <c r="W1337" s="37">
        <v>966796000</v>
      </c>
      <c r="X1337" s="47">
        <v>460</v>
      </c>
      <c r="Y1337" s="48" t="s">
        <v>493</v>
      </c>
      <c r="Z1337" s="49">
        <v>966796000</v>
      </c>
      <c r="AA1337" s="46">
        <v>2.8289999999999999E-2</v>
      </c>
      <c r="AB1337" s="46"/>
    </row>
    <row r="1338" spans="1:28" ht="48.2" customHeight="1" x14ac:dyDescent="0.25">
      <c r="A1338" s="17" t="e">
        <f>VLOOKUP(C1338,[1]Werke!$A$1:$C$168,3,0)</f>
        <v>#N/A</v>
      </c>
      <c r="B1338" s="17" t="e">
        <f>VLOOKUP(C1338,[1]Werke!$A$1:$C$168,2,0)</f>
        <v>#N/A</v>
      </c>
      <c r="C1338" s="18"/>
      <c r="D1338" s="17" t="e">
        <f>VLOOKUP(C1338,[1]Maliteslimalan!$A$1:$B$210,2,0)</f>
        <v>#N/A</v>
      </c>
      <c r="E1338" s="19" t="e">
        <f>VLOOKUP(C1338,[1]Bestellnr.!$A$1:$B$174,2,0)</f>
        <v>#N/A</v>
      </c>
      <c r="F1338" s="20" t="e">
        <f t="shared" si="591"/>
        <v>#N/A</v>
      </c>
      <c r="G1338" s="17"/>
      <c r="H1338" s="17" t="e">
        <f t="shared" si="592"/>
        <v>#N/A</v>
      </c>
      <c r="I1338" s="20"/>
      <c r="J1338" s="17" t="e">
        <f t="shared" si="593"/>
        <v>#N/A</v>
      </c>
      <c r="K1338" s="17" t="e">
        <f t="shared" si="594"/>
        <v>#N/A</v>
      </c>
      <c r="L1338" s="22"/>
      <c r="M1338" s="22"/>
      <c r="N1338" s="22"/>
      <c r="O1338" s="22" t="e">
        <f t="shared" si="595"/>
        <v>#N/A</v>
      </c>
      <c r="P1338" s="22">
        <f t="shared" si="596"/>
        <v>0</v>
      </c>
      <c r="Q1338" s="22"/>
      <c r="R1338" s="23"/>
      <c r="S1338" s="22">
        <f t="shared" si="597"/>
        <v>0</v>
      </c>
      <c r="T1338" s="24" t="e">
        <f t="shared" si="598"/>
        <v>#N/A</v>
      </c>
      <c r="U1338" s="38">
        <v>100217000</v>
      </c>
      <c r="V1338" s="42" t="s">
        <v>359</v>
      </c>
      <c r="W1338" s="38">
        <v>100217000</v>
      </c>
      <c r="X1338" s="47" t="s">
        <v>494</v>
      </c>
      <c r="Y1338" s="48" t="s">
        <v>361</v>
      </c>
      <c r="Z1338" s="48">
        <v>100217000</v>
      </c>
      <c r="AA1338" s="46">
        <v>7.0099999999999997E-3</v>
      </c>
      <c r="AB1338" s="46"/>
    </row>
    <row r="1339" spans="1:28" ht="48.2" customHeight="1" x14ac:dyDescent="0.25">
      <c r="A1339" s="17" t="e">
        <f>VLOOKUP(C1339,[1]Werke!$A$1:$C$168,3,0)</f>
        <v>#N/A</v>
      </c>
      <c r="B1339" s="17" t="e">
        <f>VLOOKUP(C1339,[1]Werke!$A$1:$C$168,2,0)</f>
        <v>#N/A</v>
      </c>
      <c r="C1339" s="18"/>
      <c r="D1339" s="17" t="e">
        <f>VLOOKUP(C1339,[1]Maliteslimalan!$A$1:$B$210,2,0)</f>
        <v>#N/A</v>
      </c>
      <c r="E1339" s="19" t="e">
        <f>VLOOKUP(C1339,[1]Bestellnr.!$A$1:$B$174,2,0)</f>
        <v>#N/A</v>
      </c>
      <c r="F1339" s="20" t="e">
        <f t="shared" si="591"/>
        <v>#N/A</v>
      </c>
      <c r="G1339" s="17"/>
      <c r="H1339" s="17" t="e">
        <f t="shared" si="592"/>
        <v>#N/A</v>
      </c>
      <c r="I1339" s="20"/>
      <c r="J1339" s="17" t="e">
        <f t="shared" si="593"/>
        <v>#N/A</v>
      </c>
      <c r="K1339" s="17" t="e">
        <f t="shared" si="594"/>
        <v>#N/A</v>
      </c>
      <c r="L1339" s="22"/>
      <c r="M1339" s="22"/>
      <c r="N1339" s="22"/>
      <c r="O1339" s="22" t="e">
        <f t="shared" si="595"/>
        <v>#N/A</v>
      </c>
      <c r="P1339" s="22">
        <f t="shared" si="596"/>
        <v>0</v>
      </c>
      <c r="Q1339" s="22"/>
      <c r="R1339" s="23"/>
      <c r="S1339" s="22">
        <f t="shared" si="597"/>
        <v>0</v>
      </c>
      <c r="T1339" s="24" t="e">
        <f t="shared" si="598"/>
        <v>#N/A</v>
      </c>
      <c r="U1339" s="37">
        <v>936539000</v>
      </c>
      <c r="V1339" s="42" t="s">
        <v>495</v>
      </c>
      <c r="W1339" s="37">
        <v>936539000</v>
      </c>
      <c r="X1339" s="47">
        <v>350</v>
      </c>
      <c r="Y1339" s="48" t="s">
        <v>496</v>
      </c>
      <c r="Z1339" s="49">
        <v>936539000</v>
      </c>
      <c r="AA1339" s="46">
        <v>4.011E-2</v>
      </c>
      <c r="AB1339" s="46"/>
    </row>
    <row r="1340" spans="1:28" ht="48.2" customHeight="1" x14ac:dyDescent="0.25">
      <c r="A1340" s="17" t="e">
        <f>VLOOKUP(C1340,[1]Werke!$A$1:$C$168,3,0)</f>
        <v>#N/A</v>
      </c>
      <c r="B1340" s="17" t="e">
        <f>VLOOKUP(C1340,[1]Werke!$A$1:$C$168,2,0)</f>
        <v>#N/A</v>
      </c>
      <c r="C1340" s="18"/>
      <c r="D1340" s="17" t="e">
        <f>VLOOKUP(C1340,[1]Maliteslimalan!$A$1:$B$210,2,0)</f>
        <v>#N/A</v>
      </c>
      <c r="E1340" s="19" t="e">
        <f>VLOOKUP(C1340,[1]Bestellnr.!$A$1:$B$174,2,0)</f>
        <v>#N/A</v>
      </c>
      <c r="F1340" s="20" t="e">
        <f t="shared" si="591"/>
        <v>#N/A</v>
      </c>
      <c r="G1340" s="17"/>
      <c r="H1340" s="17" t="e">
        <f t="shared" si="592"/>
        <v>#N/A</v>
      </c>
      <c r="I1340" s="20"/>
      <c r="J1340" s="17" t="e">
        <f t="shared" si="593"/>
        <v>#N/A</v>
      </c>
      <c r="K1340" s="17" t="e">
        <f t="shared" si="594"/>
        <v>#N/A</v>
      </c>
      <c r="L1340" s="22"/>
      <c r="M1340" s="22"/>
      <c r="N1340" s="22"/>
      <c r="O1340" s="22" t="e">
        <f t="shared" si="595"/>
        <v>#N/A</v>
      </c>
      <c r="P1340" s="22">
        <f t="shared" si="596"/>
        <v>0</v>
      </c>
      <c r="Q1340" s="22"/>
      <c r="R1340" s="23"/>
      <c r="S1340" s="22">
        <f t="shared" si="597"/>
        <v>0</v>
      </c>
      <c r="T1340" s="24" t="e">
        <f t="shared" si="598"/>
        <v>#N/A</v>
      </c>
      <c r="U1340" s="37">
        <v>923519000</v>
      </c>
      <c r="V1340" s="42" t="s">
        <v>497</v>
      </c>
      <c r="W1340" s="37">
        <v>923519000</v>
      </c>
      <c r="X1340" s="47">
        <v>1000</v>
      </c>
      <c r="Y1340" s="48" t="s">
        <v>498</v>
      </c>
      <c r="Z1340" s="49">
        <v>923519000</v>
      </c>
      <c r="AA1340" s="46">
        <v>1.2760000000000001E-2</v>
      </c>
      <c r="AB1340" s="46"/>
    </row>
    <row r="1341" spans="1:28" ht="48.2" customHeight="1" x14ac:dyDescent="0.25">
      <c r="A1341" s="17" t="e">
        <f>VLOOKUP(C1341,[1]Werke!$A$1:$C$168,3,0)</f>
        <v>#N/A</v>
      </c>
      <c r="B1341" s="17" t="e">
        <f>VLOOKUP(C1341,[1]Werke!$A$1:$C$168,2,0)</f>
        <v>#N/A</v>
      </c>
      <c r="C1341" s="18"/>
      <c r="D1341" s="17" t="e">
        <f>VLOOKUP(C1341,[1]Maliteslimalan!$A$1:$B$210,2,0)</f>
        <v>#N/A</v>
      </c>
      <c r="E1341" s="19" t="e">
        <f>VLOOKUP(C1341,[1]Bestellnr.!$A$1:$B$174,2,0)</f>
        <v>#N/A</v>
      </c>
      <c r="F1341" s="20" t="e">
        <f t="shared" si="591"/>
        <v>#N/A</v>
      </c>
      <c r="G1341" s="17"/>
      <c r="H1341" s="17" t="e">
        <f t="shared" si="592"/>
        <v>#N/A</v>
      </c>
      <c r="I1341" s="20"/>
      <c r="J1341" s="17" t="e">
        <f t="shared" si="593"/>
        <v>#N/A</v>
      </c>
      <c r="K1341" s="17" t="e">
        <f t="shared" si="594"/>
        <v>#N/A</v>
      </c>
      <c r="L1341" s="22"/>
      <c r="M1341" s="22"/>
      <c r="N1341" s="22"/>
      <c r="O1341" s="22" t="e">
        <f t="shared" si="595"/>
        <v>#N/A</v>
      </c>
      <c r="P1341" s="22">
        <f t="shared" si="596"/>
        <v>0</v>
      </c>
      <c r="Q1341" s="22"/>
      <c r="R1341" s="23"/>
      <c r="S1341" s="22">
        <f t="shared" si="597"/>
        <v>0</v>
      </c>
      <c r="T1341" s="24" t="e">
        <f t="shared" si="598"/>
        <v>#N/A</v>
      </c>
      <c r="U1341" s="37">
        <v>932337000</v>
      </c>
      <c r="V1341" s="42" t="s">
        <v>499</v>
      </c>
      <c r="W1341" s="37">
        <v>932337000</v>
      </c>
      <c r="X1341" s="47">
        <v>2400</v>
      </c>
      <c r="Y1341" s="48" t="s">
        <v>500</v>
      </c>
      <c r="Z1341" s="49">
        <v>932337000</v>
      </c>
      <c r="AA1341" s="46">
        <v>6.3400000000000001E-3</v>
      </c>
      <c r="AB1341" s="46"/>
    </row>
    <row r="1342" spans="1:28" ht="48.2" customHeight="1" x14ac:dyDescent="0.25">
      <c r="A1342" s="17" t="e">
        <f>VLOOKUP(C1342,[1]Werke!$A$1:$C$168,3,0)</f>
        <v>#N/A</v>
      </c>
      <c r="B1342" s="17" t="e">
        <f>VLOOKUP(C1342,[1]Werke!$A$1:$C$168,2,0)</f>
        <v>#N/A</v>
      </c>
      <c r="C1342" s="18"/>
      <c r="D1342" s="17" t="e">
        <f>VLOOKUP(C1342,[1]Maliteslimalan!$A$1:$B$210,2,0)</f>
        <v>#N/A</v>
      </c>
      <c r="E1342" s="19" t="e">
        <f>VLOOKUP(C1342,[1]Bestellnr.!$A$1:$B$174,2,0)</f>
        <v>#N/A</v>
      </c>
      <c r="F1342" s="20" t="e">
        <f t="shared" si="591"/>
        <v>#N/A</v>
      </c>
      <c r="G1342" s="17"/>
      <c r="H1342" s="17" t="e">
        <f t="shared" si="592"/>
        <v>#N/A</v>
      </c>
      <c r="I1342" s="20"/>
      <c r="J1342" s="17" t="e">
        <f t="shared" si="593"/>
        <v>#N/A</v>
      </c>
      <c r="K1342" s="17" t="e">
        <f t="shared" si="594"/>
        <v>#N/A</v>
      </c>
      <c r="L1342" s="22"/>
      <c r="M1342" s="22"/>
      <c r="N1342" s="22"/>
      <c r="O1342" s="22" t="e">
        <f t="shared" si="595"/>
        <v>#N/A</v>
      </c>
      <c r="P1342" s="22">
        <f t="shared" si="596"/>
        <v>0</v>
      </c>
      <c r="Q1342" s="22"/>
      <c r="R1342" s="23"/>
      <c r="S1342" s="22">
        <f t="shared" si="597"/>
        <v>0</v>
      </c>
      <c r="T1342" s="24" t="e">
        <f t="shared" si="598"/>
        <v>#N/A</v>
      </c>
      <c r="U1342" s="37">
        <v>932226000</v>
      </c>
      <c r="V1342" s="42" t="s">
        <v>501</v>
      </c>
      <c r="W1342" s="37">
        <v>932226000</v>
      </c>
      <c r="X1342" s="47">
        <v>800</v>
      </c>
      <c r="Y1342" s="48" t="s">
        <v>502</v>
      </c>
      <c r="Z1342" s="49">
        <v>932226000</v>
      </c>
      <c r="AA1342" s="46">
        <v>1.7319999999999999E-2</v>
      </c>
      <c r="AB1342" s="46"/>
    </row>
    <row r="1343" spans="1:28" ht="48.2" customHeight="1" x14ac:dyDescent="0.25">
      <c r="A1343" s="17" t="e">
        <f>VLOOKUP(C1343,[1]Werke!$A$1:$C$168,3,0)</f>
        <v>#N/A</v>
      </c>
      <c r="B1343" s="17" t="e">
        <f>VLOOKUP(C1343,[1]Werke!$A$1:$C$168,2,0)</f>
        <v>#N/A</v>
      </c>
      <c r="C1343" s="18"/>
      <c r="D1343" s="17" t="e">
        <f>VLOOKUP(C1343,[1]Maliteslimalan!$A$1:$B$210,2,0)</f>
        <v>#N/A</v>
      </c>
      <c r="E1343" s="19" t="e">
        <f>VLOOKUP(C1343,[1]Bestellnr.!$A$1:$B$174,2,0)</f>
        <v>#N/A</v>
      </c>
      <c r="F1343" s="20" t="e">
        <f t="shared" si="591"/>
        <v>#N/A</v>
      </c>
      <c r="G1343" s="17"/>
      <c r="H1343" s="17" t="e">
        <f t="shared" si="592"/>
        <v>#N/A</v>
      </c>
      <c r="I1343" s="20"/>
      <c r="J1343" s="17" t="e">
        <f t="shared" si="593"/>
        <v>#N/A</v>
      </c>
      <c r="K1343" s="17" t="e">
        <f t="shared" si="594"/>
        <v>#N/A</v>
      </c>
      <c r="L1343" s="22"/>
      <c r="M1343" s="22"/>
      <c r="N1343" s="22"/>
      <c r="O1343" s="22" t="e">
        <f t="shared" si="595"/>
        <v>#N/A</v>
      </c>
      <c r="P1343" s="22">
        <f t="shared" si="596"/>
        <v>0</v>
      </c>
      <c r="Q1343" s="22"/>
      <c r="R1343" s="23"/>
      <c r="S1343" s="22">
        <f t="shared" si="597"/>
        <v>0</v>
      </c>
      <c r="T1343" s="24" t="e">
        <f t="shared" si="598"/>
        <v>#N/A</v>
      </c>
      <c r="U1343" s="37">
        <v>932227000</v>
      </c>
      <c r="V1343" s="42" t="s">
        <v>503</v>
      </c>
      <c r="W1343" s="37">
        <v>932227000</v>
      </c>
      <c r="X1343" s="51">
        <v>1000</v>
      </c>
      <c r="Y1343" s="52" t="s">
        <v>504</v>
      </c>
      <c r="Z1343" s="53">
        <v>932227000</v>
      </c>
      <c r="AA1343" s="54">
        <v>1.4279999999999999E-2</v>
      </c>
      <c r="AB1343" s="46"/>
    </row>
    <row r="1344" spans="1:28" ht="48.2" customHeight="1" x14ac:dyDescent="0.25">
      <c r="A1344" s="17" t="e">
        <f>VLOOKUP(C1344,[1]Werke!$A$1:$C$168,3,0)</f>
        <v>#N/A</v>
      </c>
      <c r="B1344" s="17" t="e">
        <f>VLOOKUP(C1344,[1]Werke!$A$1:$C$168,2,0)</f>
        <v>#N/A</v>
      </c>
      <c r="C1344" s="18"/>
      <c r="D1344" s="17" t="e">
        <f>VLOOKUP(C1344,[1]Maliteslimalan!$A$1:$B$210,2,0)</f>
        <v>#N/A</v>
      </c>
      <c r="E1344" s="19" t="e">
        <f>VLOOKUP(C1344,[1]Bestellnr.!$A$1:$B$174,2,0)</f>
        <v>#N/A</v>
      </c>
      <c r="F1344" s="20" t="e">
        <f t="shared" si="591"/>
        <v>#N/A</v>
      </c>
      <c r="G1344" s="17"/>
      <c r="H1344" s="17" t="e">
        <f t="shared" si="592"/>
        <v>#N/A</v>
      </c>
      <c r="I1344" s="20"/>
      <c r="J1344" s="17" t="e">
        <f t="shared" si="593"/>
        <v>#N/A</v>
      </c>
      <c r="K1344" s="17" t="e">
        <f t="shared" si="594"/>
        <v>#N/A</v>
      </c>
      <c r="L1344" s="22"/>
      <c r="M1344" s="22"/>
      <c r="N1344" s="22"/>
      <c r="O1344" s="22" t="e">
        <f t="shared" si="595"/>
        <v>#N/A</v>
      </c>
      <c r="P1344" s="22">
        <f t="shared" si="596"/>
        <v>0</v>
      </c>
      <c r="Q1344" s="22"/>
      <c r="R1344" s="23"/>
      <c r="S1344" s="22">
        <f t="shared" si="597"/>
        <v>0</v>
      </c>
      <c r="T1344" s="24" t="e">
        <f t="shared" si="598"/>
        <v>#N/A</v>
      </c>
      <c r="U1344" s="38">
        <v>100409800</v>
      </c>
      <c r="V1344" s="42" t="s">
        <v>505</v>
      </c>
      <c r="W1344" s="38">
        <v>100409800</v>
      </c>
      <c r="X1344" s="51" t="s">
        <v>459</v>
      </c>
      <c r="Y1344" s="52" t="s">
        <v>506</v>
      </c>
      <c r="Z1344" s="52">
        <v>100409800</v>
      </c>
      <c r="AA1344" s="54">
        <v>3.5000000000000003E-2</v>
      </c>
      <c r="AB1344" s="46"/>
    </row>
    <row r="1345" spans="1:28" ht="48.2" customHeight="1" x14ac:dyDescent="0.25">
      <c r="A1345" s="17" t="e">
        <f>VLOOKUP(C1345,[1]Werke!$A$1:$C$168,3,0)</f>
        <v>#N/A</v>
      </c>
      <c r="B1345" s="17" t="e">
        <f>VLOOKUP(C1345,[1]Werke!$A$1:$C$168,2,0)</f>
        <v>#N/A</v>
      </c>
      <c r="C1345" s="18"/>
      <c r="D1345" s="17" t="e">
        <f>VLOOKUP(C1345,[1]Maliteslimalan!$A$1:$B$210,2,0)</f>
        <v>#N/A</v>
      </c>
      <c r="E1345" s="19" t="e">
        <f>VLOOKUP(C1345,[1]Bestellnr.!$A$1:$B$174,2,0)</f>
        <v>#N/A</v>
      </c>
      <c r="F1345" s="20" t="e">
        <f t="shared" si="591"/>
        <v>#N/A</v>
      </c>
      <c r="G1345" s="17"/>
      <c r="H1345" s="17" t="e">
        <f t="shared" si="592"/>
        <v>#N/A</v>
      </c>
      <c r="I1345" s="20"/>
      <c r="J1345" s="17" t="e">
        <f t="shared" si="593"/>
        <v>#N/A</v>
      </c>
      <c r="K1345" s="17" t="e">
        <f t="shared" si="594"/>
        <v>#N/A</v>
      </c>
      <c r="L1345" s="22"/>
      <c r="M1345" s="22"/>
      <c r="N1345" s="22"/>
      <c r="O1345" s="22" t="e">
        <f t="shared" si="595"/>
        <v>#N/A</v>
      </c>
      <c r="P1345" s="22">
        <f t="shared" si="596"/>
        <v>0</v>
      </c>
      <c r="Q1345" s="22"/>
      <c r="R1345" s="23"/>
      <c r="S1345" s="22">
        <f t="shared" si="597"/>
        <v>0</v>
      </c>
      <c r="T1345" s="24" t="e">
        <f t="shared" si="598"/>
        <v>#N/A</v>
      </c>
      <c r="U1345" s="38">
        <v>100114000</v>
      </c>
      <c r="V1345" s="42">
        <v>2820766</v>
      </c>
      <c r="W1345" s="38">
        <v>100114000</v>
      </c>
      <c r="X1345" s="55">
        <v>100</v>
      </c>
      <c r="Y1345" s="56" t="s">
        <v>507</v>
      </c>
      <c r="Z1345" s="57">
        <v>100114000</v>
      </c>
      <c r="AA1345" s="58">
        <v>0.20823</v>
      </c>
      <c r="AB1345" s="46"/>
    </row>
    <row r="1346" spans="1:28" ht="48.2" customHeight="1" x14ac:dyDescent="0.25">
      <c r="A1346" s="17" t="e">
        <f>VLOOKUP(C1346,[1]Werke!$A$1:$C$168,3,0)</f>
        <v>#N/A</v>
      </c>
      <c r="B1346" s="17" t="e">
        <f>VLOOKUP(C1346,[1]Werke!$A$1:$C$168,2,0)</f>
        <v>#N/A</v>
      </c>
      <c r="C1346" s="18"/>
      <c r="D1346" s="17" t="e">
        <f>VLOOKUP(C1346,[1]Maliteslimalan!$A$1:$B$210,2,0)</f>
        <v>#N/A</v>
      </c>
      <c r="E1346" s="19" t="e">
        <f>VLOOKUP(C1346,[1]Bestellnr.!$A$1:$B$174,2,0)</f>
        <v>#N/A</v>
      </c>
      <c r="F1346" s="20" t="e">
        <f t="shared" si="591"/>
        <v>#N/A</v>
      </c>
      <c r="G1346" s="17"/>
      <c r="H1346" s="17" t="e">
        <f t="shared" si="592"/>
        <v>#N/A</v>
      </c>
      <c r="I1346" s="20"/>
      <c r="J1346" s="17" t="e">
        <f t="shared" si="593"/>
        <v>#N/A</v>
      </c>
      <c r="K1346" s="17" t="e">
        <f t="shared" si="594"/>
        <v>#N/A</v>
      </c>
      <c r="L1346" s="22"/>
      <c r="M1346" s="22"/>
      <c r="N1346" s="22"/>
      <c r="O1346" s="22" t="e">
        <f t="shared" si="595"/>
        <v>#N/A</v>
      </c>
      <c r="P1346" s="22">
        <f t="shared" si="596"/>
        <v>0</v>
      </c>
      <c r="Q1346" s="22"/>
      <c r="R1346" s="23"/>
      <c r="S1346" s="22">
        <f t="shared" si="597"/>
        <v>0</v>
      </c>
      <c r="T1346" s="24" t="e">
        <f t="shared" si="598"/>
        <v>#N/A</v>
      </c>
      <c r="U1346" s="38">
        <v>100258500</v>
      </c>
      <c r="V1346" s="42">
        <v>2505681</v>
      </c>
      <c r="W1346" s="38">
        <v>100258500</v>
      </c>
      <c r="X1346" s="55">
        <v>150</v>
      </c>
      <c r="Y1346" s="56" t="s">
        <v>508</v>
      </c>
      <c r="Z1346" s="57">
        <v>100258500</v>
      </c>
      <c r="AA1346" s="58">
        <v>3.4680000000000002E-2</v>
      </c>
      <c r="AB1346" s="46"/>
    </row>
    <row r="1347" spans="1:28" ht="48.2" customHeight="1" x14ac:dyDescent="0.25">
      <c r="A1347" s="17" t="e">
        <f>VLOOKUP(C1347,[1]Werke!$A$1:$C$168,3,0)</f>
        <v>#N/A</v>
      </c>
      <c r="B1347" s="17" t="e">
        <f>VLOOKUP(C1347,[1]Werke!$A$1:$C$168,2,0)</f>
        <v>#N/A</v>
      </c>
      <c r="C1347" s="18"/>
      <c r="D1347" s="17" t="e">
        <f>VLOOKUP(C1347,[1]Maliteslimalan!$A$1:$B$210,2,0)</f>
        <v>#N/A</v>
      </c>
      <c r="E1347" s="19" t="e">
        <f>VLOOKUP(C1347,[1]Bestellnr.!$A$1:$B$174,2,0)</f>
        <v>#N/A</v>
      </c>
      <c r="F1347" s="20" t="e">
        <f t="shared" si="591"/>
        <v>#N/A</v>
      </c>
      <c r="G1347" s="17"/>
      <c r="H1347" s="17" t="e">
        <f t="shared" si="592"/>
        <v>#N/A</v>
      </c>
      <c r="I1347" s="20"/>
      <c r="J1347" s="17" t="e">
        <f t="shared" si="593"/>
        <v>#N/A</v>
      </c>
      <c r="K1347" s="17" t="e">
        <f t="shared" si="594"/>
        <v>#N/A</v>
      </c>
      <c r="L1347" s="22"/>
      <c r="M1347" s="22"/>
      <c r="N1347" s="22"/>
      <c r="O1347" s="22" t="e">
        <f t="shared" si="595"/>
        <v>#N/A</v>
      </c>
      <c r="P1347" s="22">
        <f t="shared" si="596"/>
        <v>0</v>
      </c>
      <c r="Q1347" s="22"/>
      <c r="R1347" s="23"/>
      <c r="S1347" s="22">
        <f t="shared" si="597"/>
        <v>0</v>
      </c>
      <c r="T1347" s="24" t="e">
        <f t="shared" si="598"/>
        <v>#N/A</v>
      </c>
      <c r="U1347" s="38">
        <v>110094800</v>
      </c>
      <c r="V1347" s="42">
        <v>2818968</v>
      </c>
      <c r="W1347" s="38">
        <v>110094800</v>
      </c>
      <c r="X1347" s="55">
        <v>100</v>
      </c>
      <c r="Y1347" s="56" t="s">
        <v>509</v>
      </c>
      <c r="Z1347" s="57">
        <v>110094800</v>
      </c>
      <c r="AA1347" s="58">
        <v>4.8919999999999998E-2</v>
      </c>
      <c r="AB1347" s="46"/>
    </row>
    <row r="1348" spans="1:28" ht="48.2" customHeight="1" x14ac:dyDescent="0.25">
      <c r="A1348" s="17" t="e">
        <f>VLOOKUP(C1348,[1]Werke!$A$1:$C$168,3,0)</f>
        <v>#N/A</v>
      </c>
      <c r="B1348" s="17" t="e">
        <f>VLOOKUP(C1348,[1]Werke!$A$1:$C$168,2,0)</f>
        <v>#N/A</v>
      </c>
      <c r="C1348" s="18"/>
      <c r="D1348" s="17" t="e">
        <f>VLOOKUP(C1348,[1]Maliteslimalan!$A$1:$B$210,2,0)</f>
        <v>#N/A</v>
      </c>
      <c r="E1348" s="19" t="e">
        <f>VLOOKUP(C1348,[1]Bestellnr.!$A$1:$B$174,2,0)</f>
        <v>#N/A</v>
      </c>
      <c r="F1348" s="20" t="e">
        <f t="shared" si="591"/>
        <v>#N/A</v>
      </c>
      <c r="G1348" s="17"/>
      <c r="H1348" s="17" t="e">
        <f t="shared" si="592"/>
        <v>#N/A</v>
      </c>
      <c r="I1348" s="20"/>
      <c r="J1348" s="17" t="e">
        <f t="shared" si="593"/>
        <v>#N/A</v>
      </c>
      <c r="K1348" s="17" t="e">
        <f t="shared" si="594"/>
        <v>#N/A</v>
      </c>
      <c r="L1348" s="22"/>
      <c r="M1348" s="22"/>
      <c r="N1348" s="22"/>
      <c r="O1348" s="22" t="e">
        <f t="shared" si="595"/>
        <v>#N/A</v>
      </c>
      <c r="P1348" s="22">
        <f t="shared" si="596"/>
        <v>0</v>
      </c>
      <c r="Q1348" s="22"/>
      <c r="R1348" s="23"/>
      <c r="S1348" s="22">
        <f t="shared" si="597"/>
        <v>0</v>
      </c>
      <c r="T1348" s="24" t="e">
        <f t="shared" si="598"/>
        <v>#N/A</v>
      </c>
      <c r="U1348" s="38">
        <v>934742000</v>
      </c>
      <c r="V1348" s="42">
        <v>2741397</v>
      </c>
      <c r="W1348" s="38">
        <v>934742000</v>
      </c>
      <c r="X1348" s="55">
        <v>400</v>
      </c>
      <c r="Y1348" s="56" t="s">
        <v>510</v>
      </c>
      <c r="Z1348" s="57">
        <v>934742000</v>
      </c>
      <c r="AA1348" s="58">
        <v>2.0379999999999999E-2</v>
      </c>
      <c r="AB1348" s="46"/>
    </row>
    <row r="1349" spans="1:28" ht="48.2" customHeight="1" x14ac:dyDescent="0.25">
      <c r="A1349" s="17" t="e">
        <f>VLOOKUP(C1349,[1]Werke!$A$1:$C$168,3,0)</f>
        <v>#N/A</v>
      </c>
      <c r="B1349" s="17" t="e">
        <f>VLOOKUP(C1349,[1]Werke!$A$1:$C$168,2,0)</f>
        <v>#N/A</v>
      </c>
      <c r="C1349" s="18"/>
      <c r="D1349" s="17" t="e">
        <f>VLOOKUP(C1349,[1]Maliteslimalan!$A$1:$B$210,2,0)</f>
        <v>#N/A</v>
      </c>
      <c r="E1349" s="19" t="e">
        <f>VLOOKUP(C1349,[1]Bestellnr.!$A$1:$B$174,2,0)</f>
        <v>#N/A</v>
      </c>
      <c r="F1349" s="20" t="e">
        <f t="shared" si="591"/>
        <v>#N/A</v>
      </c>
      <c r="G1349" s="17"/>
      <c r="H1349" s="17" t="e">
        <f t="shared" si="592"/>
        <v>#N/A</v>
      </c>
      <c r="I1349" s="20"/>
      <c r="J1349" s="17" t="e">
        <f t="shared" si="593"/>
        <v>#N/A</v>
      </c>
      <c r="K1349" s="17" t="e">
        <f t="shared" si="594"/>
        <v>#N/A</v>
      </c>
      <c r="L1349" s="22"/>
      <c r="M1349" s="22"/>
      <c r="N1349" s="22"/>
      <c r="O1349" s="22" t="e">
        <f t="shared" si="595"/>
        <v>#N/A</v>
      </c>
      <c r="P1349" s="22">
        <f t="shared" si="596"/>
        <v>0</v>
      </c>
      <c r="Q1349" s="22"/>
      <c r="R1349" s="23"/>
      <c r="S1349" s="22">
        <f t="shared" si="597"/>
        <v>0</v>
      </c>
      <c r="T1349" s="24" t="e">
        <f t="shared" si="598"/>
        <v>#N/A</v>
      </c>
      <c r="U1349" s="38">
        <v>940348000</v>
      </c>
      <c r="V1349" s="42">
        <v>2505667</v>
      </c>
      <c r="W1349" s="38">
        <v>940348000</v>
      </c>
      <c r="X1349" s="55">
        <v>88</v>
      </c>
      <c r="Y1349" s="56" t="s">
        <v>511</v>
      </c>
      <c r="Z1349" s="57">
        <v>940348000</v>
      </c>
      <c r="AA1349" s="58">
        <v>4.3770000000000003E-2</v>
      </c>
      <c r="AB1349" s="46"/>
    </row>
    <row r="1350" spans="1:28" ht="48.2" customHeight="1" x14ac:dyDescent="0.25">
      <c r="A1350" s="17" t="e">
        <f>VLOOKUP(C1350,[1]Werke!$A$1:$C$168,3,0)</f>
        <v>#N/A</v>
      </c>
      <c r="B1350" s="17" t="e">
        <f>VLOOKUP(C1350,[1]Werke!$A$1:$C$168,2,0)</f>
        <v>#N/A</v>
      </c>
      <c r="C1350" s="18"/>
      <c r="D1350" s="17" t="e">
        <f>VLOOKUP(C1350,[1]Maliteslimalan!$A$1:$B$210,2,0)</f>
        <v>#N/A</v>
      </c>
      <c r="E1350" s="19" t="e">
        <f>VLOOKUP(C1350,[1]Bestellnr.!$A$1:$B$174,2,0)</f>
        <v>#N/A</v>
      </c>
      <c r="F1350" s="20" t="e">
        <f t="shared" si="591"/>
        <v>#N/A</v>
      </c>
      <c r="G1350" s="17"/>
      <c r="H1350" s="17" t="e">
        <f t="shared" si="592"/>
        <v>#N/A</v>
      </c>
      <c r="I1350" s="20"/>
      <c r="J1350" s="17" t="e">
        <f t="shared" si="593"/>
        <v>#N/A</v>
      </c>
      <c r="K1350" s="17" t="e">
        <f t="shared" si="594"/>
        <v>#N/A</v>
      </c>
      <c r="L1350" s="22"/>
      <c r="M1350" s="22"/>
      <c r="N1350" s="22"/>
      <c r="O1350" s="22" t="e">
        <f t="shared" si="595"/>
        <v>#N/A</v>
      </c>
      <c r="P1350" s="22">
        <f t="shared" si="596"/>
        <v>0</v>
      </c>
      <c r="Q1350" s="22"/>
      <c r="R1350" s="23"/>
      <c r="S1350" s="22">
        <f t="shared" si="597"/>
        <v>0</v>
      </c>
      <c r="T1350" s="24" t="e">
        <f t="shared" si="598"/>
        <v>#N/A</v>
      </c>
      <c r="U1350" s="38">
        <v>940349000</v>
      </c>
      <c r="V1350" s="42">
        <v>2505668</v>
      </c>
      <c r="W1350" s="38">
        <v>940349000</v>
      </c>
      <c r="X1350" s="55">
        <v>100</v>
      </c>
      <c r="Y1350" s="56" t="s">
        <v>512</v>
      </c>
      <c r="Z1350" s="57">
        <v>940349000</v>
      </c>
      <c r="AA1350" s="58">
        <v>4.6800000000000001E-2</v>
      </c>
      <c r="AB1350" s="46"/>
    </row>
    <row r="1351" spans="1:28" ht="48.2" customHeight="1" x14ac:dyDescent="0.25">
      <c r="A1351" s="17" t="e">
        <f>VLOOKUP(C1351,[1]Werke!$A$1:$C$168,3,0)</f>
        <v>#N/A</v>
      </c>
      <c r="B1351" s="17" t="e">
        <f>VLOOKUP(C1351,[1]Werke!$A$1:$C$168,2,0)</f>
        <v>#N/A</v>
      </c>
      <c r="C1351" s="18"/>
      <c r="D1351" s="17" t="e">
        <f>VLOOKUP(C1351,[1]Maliteslimalan!$A$1:$B$210,2,0)</f>
        <v>#N/A</v>
      </c>
      <c r="E1351" s="19" t="e">
        <f>VLOOKUP(C1351,[1]Bestellnr.!$A$1:$B$174,2,0)</f>
        <v>#N/A</v>
      </c>
      <c r="F1351" s="20" t="e">
        <f t="shared" si="591"/>
        <v>#N/A</v>
      </c>
      <c r="G1351" s="17"/>
      <c r="H1351" s="17" t="e">
        <f t="shared" si="592"/>
        <v>#N/A</v>
      </c>
      <c r="I1351" s="20"/>
      <c r="J1351" s="17" t="e">
        <f t="shared" si="593"/>
        <v>#N/A</v>
      </c>
      <c r="K1351" s="17" t="e">
        <f t="shared" si="594"/>
        <v>#N/A</v>
      </c>
      <c r="L1351" s="22"/>
      <c r="M1351" s="22"/>
      <c r="N1351" s="22"/>
      <c r="O1351" s="22" t="e">
        <f t="shared" si="595"/>
        <v>#N/A</v>
      </c>
      <c r="P1351" s="22">
        <f t="shared" si="596"/>
        <v>0</v>
      </c>
      <c r="Q1351" s="22"/>
      <c r="R1351" s="23"/>
      <c r="S1351" s="22">
        <f t="shared" si="597"/>
        <v>0</v>
      </c>
      <c r="T1351" s="24" t="e">
        <f t="shared" si="598"/>
        <v>#N/A</v>
      </c>
      <c r="U1351" s="38">
        <v>940350000</v>
      </c>
      <c r="V1351" s="42">
        <v>2505669</v>
      </c>
      <c r="W1351" s="38">
        <v>940350000</v>
      </c>
      <c r="X1351" s="55">
        <v>80</v>
      </c>
      <c r="Y1351" s="56" t="s">
        <v>513</v>
      </c>
      <c r="Z1351" s="57">
        <v>940350000</v>
      </c>
      <c r="AA1351" s="58">
        <v>4.9889999999999997E-2</v>
      </c>
      <c r="AB1351" s="46"/>
    </row>
    <row r="1352" spans="1:28" ht="48.2" customHeight="1" x14ac:dyDescent="0.25">
      <c r="A1352" s="17" t="e">
        <f>VLOOKUP(C1352,[1]Werke!$A$1:$C$168,3,0)</f>
        <v>#N/A</v>
      </c>
      <c r="B1352" s="17" t="e">
        <f>VLOOKUP(C1352,[1]Werke!$A$1:$C$168,2,0)</f>
        <v>#N/A</v>
      </c>
      <c r="C1352" s="18"/>
      <c r="D1352" s="17" t="e">
        <f>VLOOKUP(C1352,[1]Maliteslimalan!$A$1:$B$210,2,0)</f>
        <v>#N/A</v>
      </c>
      <c r="E1352" s="19" t="e">
        <f>VLOOKUP(C1352,[1]Bestellnr.!$A$1:$B$174,2,0)</f>
        <v>#N/A</v>
      </c>
      <c r="F1352" s="20" t="e">
        <f t="shared" si="591"/>
        <v>#N/A</v>
      </c>
      <c r="G1352" s="17"/>
      <c r="H1352" s="17" t="e">
        <f t="shared" si="592"/>
        <v>#N/A</v>
      </c>
      <c r="I1352" s="20"/>
      <c r="J1352" s="17" t="e">
        <f t="shared" si="593"/>
        <v>#N/A</v>
      </c>
      <c r="K1352" s="17" t="e">
        <f t="shared" si="594"/>
        <v>#N/A</v>
      </c>
      <c r="L1352" s="22"/>
      <c r="M1352" s="22"/>
      <c r="N1352" s="22"/>
      <c r="O1352" s="22" t="e">
        <f t="shared" si="595"/>
        <v>#N/A</v>
      </c>
      <c r="P1352" s="22">
        <f t="shared" si="596"/>
        <v>0</v>
      </c>
      <c r="Q1352" s="22"/>
      <c r="R1352" s="23"/>
      <c r="S1352" s="22">
        <f t="shared" si="597"/>
        <v>0</v>
      </c>
      <c r="T1352" s="24" t="e">
        <f t="shared" si="598"/>
        <v>#N/A</v>
      </c>
      <c r="U1352" s="38">
        <v>940351000</v>
      </c>
      <c r="V1352" s="42">
        <v>2505670</v>
      </c>
      <c r="W1352" s="38">
        <v>940351000</v>
      </c>
      <c r="X1352" s="55">
        <v>80</v>
      </c>
      <c r="Y1352" s="56" t="s">
        <v>514</v>
      </c>
      <c r="Z1352" s="57">
        <v>940351000</v>
      </c>
      <c r="AA1352" s="58">
        <v>5.2979999999999999E-2</v>
      </c>
      <c r="AB1352" s="46"/>
    </row>
    <row r="1353" spans="1:28" ht="48.2" customHeight="1" x14ac:dyDescent="0.25">
      <c r="A1353" s="17" t="e">
        <f>VLOOKUP(C1353,[1]Werke!$A$1:$C$168,3,0)</f>
        <v>#N/A</v>
      </c>
      <c r="B1353" s="17" t="e">
        <f>VLOOKUP(C1353,[1]Werke!$A$1:$C$168,2,0)</f>
        <v>#N/A</v>
      </c>
      <c r="C1353" s="18"/>
      <c r="D1353" s="17" t="e">
        <f>VLOOKUP(C1353,[1]Maliteslimalan!$A$1:$B$210,2,0)</f>
        <v>#N/A</v>
      </c>
      <c r="E1353" s="19" t="e">
        <f>VLOOKUP(C1353,[1]Bestellnr.!$A$1:$B$174,2,0)</f>
        <v>#N/A</v>
      </c>
      <c r="F1353" s="20" t="e">
        <f t="shared" si="591"/>
        <v>#N/A</v>
      </c>
      <c r="G1353" s="21"/>
      <c r="H1353" s="17" t="e">
        <f t="shared" si="592"/>
        <v>#N/A</v>
      </c>
      <c r="I1353" s="20"/>
      <c r="J1353" s="17" t="e">
        <f t="shared" si="593"/>
        <v>#N/A</v>
      </c>
      <c r="K1353" s="17" t="e">
        <f t="shared" si="594"/>
        <v>#N/A</v>
      </c>
      <c r="L1353" s="22"/>
      <c r="M1353" s="22"/>
      <c r="N1353" s="22"/>
      <c r="O1353" s="22" t="e">
        <f t="shared" si="595"/>
        <v>#N/A</v>
      </c>
      <c r="P1353" s="22">
        <f t="shared" si="596"/>
        <v>0</v>
      </c>
      <c r="Q1353" s="22"/>
      <c r="R1353" s="23"/>
      <c r="S1353" s="22">
        <f t="shared" si="597"/>
        <v>0</v>
      </c>
      <c r="T1353" s="24" t="e">
        <f t="shared" si="598"/>
        <v>#N/A</v>
      </c>
      <c r="U1353" s="38">
        <v>925668000</v>
      </c>
      <c r="V1353" s="42" t="s">
        <v>515</v>
      </c>
      <c r="W1353" s="38">
        <v>925668000</v>
      </c>
      <c r="X1353" s="55">
        <v>800</v>
      </c>
      <c r="Y1353" s="56" t="s">
        <v>516</v>
      </c>
      <c r="Z1353" s="57">
        <v>925668000</v>
      </c>
      <c r="AA1353" s="58">
        <v>1.866E-2</v>
      </c>
      <c r="AB1353" s="46"/>
    </row>
    <row r="1354" spans="1:28" ht="48.2" customHeight="1" x14ac:dyDescent="0.25">
      <c r="A1354" s="17" t="e">
        <f>VLOOKUP(C1354,[1]Werke!$A$1:$C$168,3,0)</f>
        <v>#N/A</v>
      </c>
      <c r="B1354" s="17" t="e">
        <f>VLOOKUP(C1354,[1]Werke!$A$1:$C$168,2,0)</f>
        <v>#N/A</v>
      </c>
      <c r="C1354" s="18"/>
      <c r="D1354" s="17" t="e">
        <f>VLOOKUP(C1354,[1]Maliteslimalan!$A$1:$B$210,2,0)</f>
        <v>#N/A</v>
      </c>
      <c r="E1354" s="19" t="e">
        <f>VLOOKUP(C1354,[1]Bestellnr.!$A$1:$B$174,2,0)</f>
        <v>#N/A</v>
      </c>
      <c r="F1354" s="20" t="e">
        <f t="shared" si="591"/>
        <v>#N/A</v>
      </c>
      <c r="G1354" s="17"/>
      <c r="H1354" s="17" t="e">
        <f t="shared" si="592"/>
        <v>#N/A</v>
      </c>
      <c r="I1354" s="20"/>
      <c r="J1354" s="17" t="e">
        <f t="shared" si="593"/>
        <v>#N/A</v>
      </c>
      <c r="K1354" s="17" t="e">
        <f t="shared" si="594"/>
        <v>#N/A</v>
      </c>
      <c r="L1354" s="22"/>
      <c r="M1354" s="22"/>
      <c r="N1354" s="22"/>
      <c r="O1354" s="22" t="e">
        <f t="shared" si="595"/>
        <v>#N/A</v>
      </c>
      <c r="P1354" s="22">
        <f t="shared" si="596"/>
        <v>0</v>
      </c>
      <c r="Q1354" s="22"/>
      <c r="R1354" s="23"/>
      <c r="S1354" s="22">
        <f t="shared" si="597"/>
        <v>0</v>
      </c>
      <c r="T1354" s="24" t="e">
        <f t="shared" si="598"/>
        <v>#N/A</v>
      </c>
      <c r="U1354" s="38">
        <v>931781000</v>
      </c>
      <c r="V1354" s="42" t="s">
        <v>517</v>
      </c>
      <c r="W1354" s="38">
        <v>931781000</v>
      </c>
      <c r="X1354" s="55">
        <v>300</v>
      </c>
      <c r="Y1354" s="56" t="s">
        <v>518</v>
      </c>
      <c r="Z1354" s="57">
        <v>931781000</v>
      </c>
      <c r="AA1354" s="58">
        <v>3.6630000000000003E-2</v>
      </c>
      <c r="AB1354" s="46"/>
    </row>
    <row r="1355" spans="1:28" ht="48.2" customHeight="1" x14ac:dyDescent="0.25">
      <c r="A1355" s="17" t="e">
        <f>VLOOKUP(C1355,[1]Werke!$A$1:$C$168,3,0)</f>
        <v>#N/A</v>
      </c>
      <c r="B1355" s="17" t="e">
        <f>VLOOKUP(C1355,[1]Werke!$A$1:$C$168,2,0)</f>
        <v>#N/A</v>
      </c>
      <c r="C1355" s="18"/>
      <c r="D1355" s="17" t="e">
        <f>VLOOKUP(C1355,[1]Maliteslimalan!$A$1:$B$210,2,0)</f>
        <v>#N/A</v>
      </c>
      <c r="E1355" s="19" t="e">
        <f>VLOOKUP(C1355,[1]Bestellnr.!$A$1:$B$174,2,0)</f>
        <v>#N/A</v>
      </c>
      <c r="F1355" s="20" t="e">
        <f t="shared" si="591"/>
        <v>#N/A</v>
      </c>
      <c r="G1355" s="17"/>
      <c r="H1355" s="17" t="e">
        <f t="shared" si="592"/>
        <v>#N/A</v>
      </c>
      <c r="I1355" s="20"/>
      <c r="J1355" s="17" t="e">
        <f t="shared" si="593"/>
        <v>#N/A</v>
      </c>
      <c r="K1355" s="17" t="e">
        <f t="shared" si="594"/>
        <v>#N/A</v>
      </c>
      <c r="L1355" s="22"/>
      <c r="M1355" s="22"/>
      <c r="N1355" s="22"/>
      <c r="O1355" s="22" t="e">
        <f t="shared" si="595"/>
        <v>#N/A</v>
      </c>
      <c r="P1355" s="22">
        <f t="shared" si="596"/>
        <v>0</v>
      </c>
      <c r="Q1355" s="22"/>
      <c r="R1355" s="23"/>
      <c r="S1355" s="22">
        <f t="shared" si="597"/>
        <v>0</v>
      </c>
      <c r="T1355" s="24" t="e">
        <f t="shared" si="598"/>
        <v>#N/A</v>
      </c>
      <c r="U1355" s="38">
        <v>970723000</v>
      </c>
      <c r="V1355" s="42" t="s">
        <v>519</v>
      </c>
      <c r="W1355" s="38">
        <v>970723000</v>
      </c>
      <c r="X1355" s="55">
        <v>4300</v>
      </c>
      <c r="Y1355" s="56" t="s">
        <v>520</v>
      </c>
      <c r="Z1355" s="57">
        <v>970723000</v>
      </c>
      <c r="AA1355" s="58">
        <v>3.3800000000000002E-3</v>
      </c>
      <c r="AB1355" s="46"/>
    </row>
    <row r="1356" spans="1:28" ht="48.2" customHeight="1" x14ac:dyDescent="0.25">
      <c r="A1356" s="17" t="e">
        <f>VLOOKUP(C1356,[1]Werke!$A$1:$C$168,3,0)</f>
        <v>#N/A</v>
      </c>
      <c r="B1356" s="17" t="e">
        <f>VLOOKUP(C1356,[1]Werke!$A$1:$C$168,2,0)</f>
        <v>#N/A</v>
      </c>
      <c r="C1356" s="18"/>
      <c r="D1356" s="17" t="e">
        <f>VLOOKUP(C1356,[1]Maliteslimalan!$A$1:$B$210,2,0)</f>
        <v>#N/A</v>
      </c>
      <c r="E1356" s="19" t="e">
        <f>VLOOKUP(C1356,[1]Bestellnr.!$A$1:$B$174,2,0)</f>
        <v>#N/A</v>
      </c>
      <c r="F1356" s="20" t="e">
        <f t="shared" si="591"/>
        <v>#N/A</v>
      </c>
      <c r="G1356" s="17"/>
      <c r="H1356" s="17" t="e">
        <f t="shared" si="592"/>
        <v>#N/A</v>
      </c>
      <c r="I1356" s="20"/>
      <c r="J1356" s="17" t="e">
        <f t="shared" si="593"/>
        <v>#N/A</v>
      </c>
      <c r="K1356" s="17" t="e">
        <f t="shared" si="594"/>
        <v>#N/A</v>
      </c>
      <c r="L1356" s="22"/>
      <c r="M1356" s="22"/>
      <c r="N1356" s="22"/>
      <c r="O1356" s="22" t="e">
        <f t="shared" si="595"/>
        <v>#N/A</v>
      </c>
      <c r="P1356" s="22">
        <f t="shared" si="596"/>
        <v>0</v>
      </c>
      <c r="Q1356" s="22"/>
      <c r="R1356" s="23"/>
      <c r="S1356" s="22">
        <f t="shared" si="597"/>
        <v>0</v>
      </c>
      <c r="T1356" s="24" t="e">
        <f t="shared" si="598"/>
        <v>#N/A</v>
      </c>
      <c r="U1356" s="38">
        <v>931781000</v>
      </c>
      <c r="V1356" s="42" t="s">
        <v>517</v>
      </c>
      <c r="W1356" s="38">
        <v>931781000</v>
      </c>
      <c r="X1356" s="55">
        <v>300</v>
      </c>
      <c r="Y1356" s="56" t="s">
        <v>518</v>
      </c>
      <c r="Z1356" s="57">
        <v>931781000</v>
      </c>
      <c r="AA1356" s="58">
        <v>3.6630000000000003E-2</v>
      </c>
      <c r="AB1356" s="46"/>
    </row>
    <row r="1357" spans="1:28" ht="48.2" customHeight="1" x14ac:dyDescent="0.25">
      <c r="A1357" s="17" t="e">
        <f>VLOOKUP(C1357,[1]Werke!$A$1:$C$168,3,0)</f>
        <v>#N/A</v>
      </c>
      <c r="B1357" s="17" t="e">
        <f>VLOOKUP(C1357,[1]Werke!$A$1:$C$168,2,0)</f>
        <v>#N/A</v>
      </c>
      <c r="C1357" s="18"/>
      <c r="D1357" s="17" t="e">
        <f>VLOOKUP(C1357,[1]Maliteslimalan!$A$1:$B$210,2,0)</f>
        <v>#N/A</v>
      </c>
      <c r="E1357" s="19" t="e">
        <f>VLOOKUP(C1357,[1]Bestellnr.!$A$1:$B$174,2,0)</f>
        <v>#N/A</v>
      </c>
      <c r="F1357" s="20" t="e">
        <f t="shared" si="591"/>
        <v>#N/A</v>
      </c>
      <c r="G1357" s="17"/>
      <c r="H1357" s="17" t="e">
        <f t="shared" si="592"/>
        <v>#N/A</v>
      </c>
      <c r="I1357" s="20"/>
      <c r="J1357" s="17" t="e">
        <f t="shared" si="593"/>
        <v>#N/A</v>
      </c>
      <c r="K1357" s="17" t="e">
        <f t="shared" si="594"/>
        <v>#N/A</v>
      </c>
      <c r="L1357" s="22"/>
      <c r="M1357" s="22"/>
      <c r="N1357" s="22"/>
      <c r="O1357" s="22" t="e">
        <f t="shared" si="595"/>
        <v>#N/A</v>
      </c>
      <c r="P1357" s="22">
        <f t="shared" si="596"/>
        <v>0</v>
      </c>
      <c r="Q1357" s="22"/>
      <c r="R1357" s="23"/>
      <c r="S1357" s="22">
        <f t="shared" si="597"/>
        <v>0</v>
      </c>
      <c r="T1357" s="24" t="e">
        <f t="shared" si="598"/>
        <v>#N/A</v>
      </c>
      <c r="U1357" s="38">
        <v>120011900</v>
      </c>
      <c r="V1357" s="42" t="s">
        <v>521</v>
      </c>
      <c r="W1357" s="38">
        <v>120011900</v>
      </c>
      <c r="X1357" s="55">
        <v>10000</v>
      </c>
      <c r="Y1357" s="56" t="s">
        <v>522</v>
      </c>
      <c r="Z1357" s="57">
        <v>120011900</v>
      </c>
      <c r="AA1357" s="58">
        <v>1.2700000000000001E-3</v>
      </c>
      <c r="AB1357" s="46"/>
    </row>
    <row r="1358" spans="1:28" ht="48.2" customHeight="1" x14ac:dyDescent="0.25">
      <c r="A1358" s="17" t="e">
        <f>VLOOKUP(C1358,[1]Werke!$A$1:$C$168,3,0)</f>
        <v>#N/A</v>
      </c>
      <c r="B1358" s="17" t="e">
        <f>VLOOKUP(C1358,[1]Werke!$A$1:$C$168,2,0)</f>
        <v>#N/A</v>
      </c>
      <c r="C1358" s="18"/>
      <c r="D1358" s="17" t="e">
        <f>VLOOKUP(C1358,[1]Maliteslimalan!$A$1:$B$210,2,0)</f>
        <v>#N/A</v>
      </c>
      <c r="E1358" s="19" t="e">
        <f>VLOOKUP(C1358,[1]Bestellnr.!$A$1:$B$174,2,0)</f>
        <v>#N/A</v>
      </c>
      <c r="F1358" s="20" t="e">
        <f t="shared" si="591"/>
        <v>#N/A</v>
      </c>
      <c r="G1358" s="17"/>
      <c r="H1358" s="17" t="e">
        <f t="shared" si="592"/>
        <v>#N/A</v>
      </c>
      <c r="I1358" s="20"/>
      <c r="J1358" s="17" t="e">
        <f t="shared" si="593"/>
        <v>#N/A</v>
      </c>
      <c r="K1358" s="17" t="e">
        <f t="shared" si="594"/>
        <v>#N/A</v>
      </c>
      <c r="L1358" s="22"/>
      <c r="M1358" s="22"/>
      <c r="N1358" s="22"/>
      <c r="O1358" s="22" t="e">
        <f t="shared" si="595"/>
        <v>#N/A</v>
      </c>
      <c r="P1358" s="22">
        <f t="shared" si="596"/>
        <v>0</v>
      </c>
      <c r="Q1358" s="22"/>
      <c r="R1358" s="23"/>
      <c r="S1358" s="22">
        <f t="shared" si="597"/>
        <v>0</v>
      </c>
      <c r="T1358" s="24" t="e">
        <f t="shared" si="598"/>
        <v>#N/A</v>
      </c>
      <c r="U1358" s="38">
        <v>970829000</v>
      </c>
      <c r="V1358" s="42" t="s">
        <v>523</v>
      </c>
      <c r="W1358" s="38">
        <v>970829000</v>
      </c>
      <c r="X1358" s="55">
        <v>1800</v>
      </c>
      <c r="Y1358" s="56" t="s">
        <v>524</v>
      </c>
      <c r="Z1358" s="57">
        <v>970829000</v>
      </c>
      <c r="AA1358" s="58">
        <v>7.7499999999999999E-3</v>
      </c>
      <c r="AB1358" s="46"/>
    </row>
    <row r="1359" spans="1:28" ht="48.2" customHeight="1" x14ac:dyDescent="0.25">
      <c r="A1359" s="17" t="e">
        <f>VLOOKUP(C1359,[1]Werke!$A$1:$C$168,3,0)</f>
        <v>#N/A</v>
      </c>
      <c r="B1359" s="17" t="e">
        <f>VLOOKUP(C1359,[1]Werke!$A$1:$C$168,2,0)</f>
        <v>#N/A</v>
      </c>
      <c r="C1359" s="18"/>
      <c r="D1359" s="17" t="e">
        <f>VLOOKUP(C1359,[1]Maliteslimalan!$A$1:$B$210,2,0)</f>
        <v>#N/A</v>
      </c>
      <c r="E1359" s="19" t="e">
        <f>VLOOKUP(C1359,[1]Bestellnr.!$A$1:$B$174,2,0)</f>
        <v>#N/A</v>
      </c>
      <c r="F1359" s="20" t="e">
        <f t="shared" si="591"/>
        <v>#N/A</v>
      </c>
      <c r="G1359" s="17"/>
      <c r="H1359" s="17" t="e">
        <f t="shared" si="592"/>
        <v>#N/A</v>
      </c>
      <c r="I1359" s="20"/>
      <c r="J1359" s="17" t="e">
        <f t="shared" si="593"/>
        <v>#N/A</v>
      </c>
      <c r="K1359" s="17" t="e">
        <f t="shared" si="594"/>
        <v>#N/A</v>
      </c>
      <c r="L1359" s="22"/>
      <c r="M1359" s="22"/>
      <c r="N1359" s="22"/>
      <c r="O1359" s="22" t="e">
        <f t="shared" si="595"/>
        <v>#N/A</v>
      </c>
      <c r="P1359" s="22">
        <f t="shared" si="596"/>
        <v>0</v>
      </c>
      <c r="Q1359" s="22"/>
      <c r="R1359" s="23"/>
      <c r="S1359" s="22">
        <f t="shared" si="597"/>
        <v>0</v>
      </c>
      <c r="T1359" s="24" t="e">
        <f t="shared" si="598"/>
        <v>#N/A</v>
      </c>
      <c r="U1359" s="38">
        <v>110052100</v>
      </c>
      <c r="V1359" s="42" t="s">
        <v>525</v>
      </c>
      <c r="W1359" s="38">
        <v>110052100</v>
      </c>
      <c r="X1359" s="55">
        <v>1750</v>
      </c>
      <c r="Y1359" s="56" t="s">
        <v>526</v>
      </c>
      <c r="Z1359" s="57">
        <v>110052100</v>
      </c>
      <c r="AA1359" s="58">
        <v>6.3E-3</v>
      </c>
      <c r="AB1359" s="46"/>
    </row>
    <row r="1360" spans="1:28" ht="48.2" customHeight="1" x14ac:dyDescent="0.25">
      <c r="A1360" s="17" t="e">
        <f>VLOOKUP(C1360,[1]Werke!$A$1:$C$168,3,0)</f>
        <v>#N/A</v>
      </c>
      <c r="B1360" s="17" t="e">
        <f>VLOOKUP(C1360,[1]Werke!$A$1:$C$168,2,0)</f>
        <v>#N/A</v>
      </c>
      <c r="C1360" s="18"/>
      <c r="D1360" s="17" t="e">
        <f>VLOOKUP(C1360,[1]Maliteslimalan!$A$1:$B$210,2,0)</f>
        <v>#N/A</v>
      </c>
      <c r="E1360" s="19" t="e">
        <f>VLOOKUP(C1360,[1]Bestellnr.!$A$1:$B$174,2,0)</f>
        <v>#N/A</v>
      </c>
      <c r="F1360" s="20" t="e">
        <f t="shared" si="591"/>
        <v>#N/A</v>
      </c>
      <c r="G1360" s="17"/>
      <c r="H1360" s="17" t="e">
        <f t="shared" si="592"/>
        <v>#N/A</v>
      </c>
      <c r="I1360" s="20"/>
      <c r="J1360" s="17" t="e">
        <f t="shared" si="593"/>
        <v>#N/A</v>
      </c>
      <c r="K1360" s="17" t="e">
        <f t="shared" si="594"/>
        <v>#N/A</v>
      </c>
      <c r="L1360" s="22"/>
      <c r="M1360" s="22"/>
      <c r="N1360" s="22"/>
      <c r="O1360" s="22" t="e">
        <f t="shared" si="595"/>
        <v>#N/A</v>
      </c>
      <c r="P1360" s="22">
        <f t="shared" si="596"/>
        <v>0</v>
      </c>
      <c r="Q1360" s="22"/>
      <c r="R1360" s="23"/>
      <c r="S1360" s="22">
        <f t="shared" si="597"/>
        <v>0</v>
      </c>
      <c r="T1360" s="24" t="e">
        <f t="shared" si="598"/>
        <v>#N/A</v>
      </c>
      <c r="U1360" s="38">
        <v>970520000</v>
      </c>
      <c r="V1360" s="42" t="s">
        <v>527</v>
      </c>
      <c r="W1360" s="38">
        <v>970520000</v>
      </c>
      <c r="X1360" s="55">
        <v>40</v>
      </c>
      <c r="Y1360" s="56" t="s">
        <v>528</v>
      </c>
      <c r="Z1360" s="57">
        <v>970520000</v>
      </c>
      <c r="AA1360" s="58">
        <v>0.27506999999999998</v>
      </c>
      <c r="AB1360" s="46"/>
    </row>
    <row r="1361" spans="1:28" ht="48.2" customHeight="1" x14ac:dyDescent="0.25">
      <c r="A1361" s="17" t="e">
        <f>VLOOKUP(C1361,[1]Werke!$A$1:$C$168,3,0)</f>
        <v>#N/A</v>
      </c>
      <c r="B1361" s="17" t="e">
        <f>VLOOKUP(C1361,[1]Werke!$A$1:$C$168,2,0)</f>
        <v>#N/A</v>
      </c>
      <c r="C1361" s="18"/>
      <c r="D1361" s="17" t="e">
        <f>VLOOKUP(C1361,[1]Maliteslimalan!$A$1:$B$210,2,0)</f>
        <v>#N/A</v>
      </c>
      <c r="E1361" s="19" t="e">
        <f>VLOOKUP(C1361,[1]Bestellnr.!$A$1:$B$174,2,0)</f>
        <v>#N/A</v>
      </c>
      <c r="F1361" s="20" t="e">
        <f t="shared" si="591"/>
        <v>#N/A</v>
      </c>
      <c r="G1361" s="17"/>
      <c r="H1361" s="17" t="e">
        <f t="shared" si="592"/>
        <v>#N/A</v>
      </c>
      <c r="I1361" s="20"/>
      <c r="J1361" s="17" t="e">
        <f t="shared" si="593"/>
        <v>#N/A</v>
      </c>
      <c r="K1361" s="17" t="e">
        <f t="shared" si="594"/>
        <v>#N/A</v>
      </c>
      <c r="L1361" s="22"/>
      <c r="M1361" s="22"/>
      <c r="N1361" s="22"/>
      <c r="O1361" s="22" t="e">
        <f t="shared" si="595"/>
        <v>#N/A</v>
      </c>
      <c r="P1361" s="22">
        <f t="shared" si="596"/>
        <v>0</v>
      </c>
      <c r="Q1361" s="22"/>
      <c r="R1361" s="23"/>
      <c r="S1361" s="22">
        <f t="shared" si="597"/>
        <v>0</v>
      </c>
      <c r="T1361" s="24" t="e">
        <f t="shared" si="598"/>
        <v>#N/A</v>
      </c>
      <c r="U1361" s="38">
        <v>970088000</v>
      </c>
      <c r="V1361" s="42" t="s">
        <v>529</v>
      </c>
      <c r="W1361" s="38">
        <v>970088000</v>
      </c>
      <c r="X1361" s="55">
        <v>1750</v>
      </c>
      <c r="Y1361" s="56" t="s">
        <v>530</v>
      </c>
      <c r="Z1361" s="57">
        <v>970088000</v>
      </c>
      <c r="AA1361" s="58">
        <v>6.5599999999999999E-3</v>
      </c>
      <c r="AB1361" s="46"/>
    </row>
    <row r="1362" spans="1:28" ht="48.2" customHeight="1" x14ac:dyDescent="0.25">
      <c r="A1362" s="17" t="e">
        <f>VLOOKUP(C1362,[1]Werke!$A$1:$C$168,3,0)</f>
        <v>#N/A</v>
      </c>
      <c r="B1362" s="17" t="e">
        <f>VLOOKUP(C1362,[1]Werke!$A$1:$C$168,2,0)</f>
        <v>#N/A</v>
      </c>
      <c r="C1362" s="18"/>
      <c r="D1362" s="17" t="e">
        <f>VLOOKUP(C1362,[1]Maliteslimalan!$A$1:$B$210,2,0)</f>
        <v>#N/A</v>
      </c>
      <c r="E1362" s="19" t="e">
        <f>VLOOKUP(C1362,[1]Bestellnr.!$A$1:$B$174,2,0)</f>
        <v>#N/A</v>
      </c>
      <c r="F1362" s="20" t="e">
        <f t="shared" ref="F1362:F1425" si="599">VLOOKUP(G1362,$U$1:$V$1730,2,0)</f>
        <v>#N/A</v>
      </c>
      <c r="G1362" s="17"/>
      <c r="H1362" s="17" t="e">
        <f t="shared" ref="H1362:H1425" si="600">VLOOKUP(G1362,Z$2:AA$1905,2,FALSE)</f>
        <v>#N/A</v>
      </c>
      <c r="I1362" s="20"/>
      <c r="J1362" s="17" t="e">
        <f t="shared" ref="J1362:J1425" si="601">VLOOKUP(G1362,W$2:X$1905,2,FALSE)</f>
        <v>#N/A</v>
      </c>
      <c r="K1362" s="17" t="e">
        <f t="shared" ref="K1362:K1425" si="602">I1362/J1362</f>
        <v>#N/A</v>
      </c>
      <c r="L1362" s="22"/>
      <c r="M1362" s="22"/>
      <c r="N1362" s="22"/>
      <c r="O1362" s="22" t="e">
        <f t="shared" ref="O1362:O1425" si="603">VLOOKUP(N1362,$AL$1285:$AM$1310,2,FALSE)</f>
        <v>#N/A</v>
      </c>
      <c r="P1362" s="22">
        <f t="shared" ref="P1362:P1425" si="604">VLOOKUP(N1362,AC$2:AD$1905,2,FALSE)</f>
        <v>0</v>
      </c>
      <c r="Q1362" s="22"/>
      <c r="R1362" s="23"/>
      <c r="S1362" s="22">
        <f t="shared" ref="S1362:S1425" si="605">VLOOKUP(R1362,AC$2:AD$1905,2,FALSE)</f>
        <v>0</v>
      </c>
      <c r="T1362" s="24" t="e">
        <f t="shared" ref="T1362:T1425" si="606">(H1362*I1362)+P1362*Q1362+S1362*K1362</f>
        <v>#N/A</v>
      </c>
      <c r="U1362" s="38">
        <v>906281000</v>
      </c>
      <c r="V1362" s="42">
        <v>8914401404</v>
      </c>
      <c r="W1362" s="38">
        <v>906281000</v>
      </c>
      <c r="X1362" s="55">
        <v>150</v>
      </c>
      <c r="Y1362" s="56" t="s">
        <v>531</v>
      </c>
      <c r="Z1362" s="58">
        <v>906281000</v>
      </c>
      <c r="AA1362" s="58">
        <v>0.11799999999999999</v>
      </c>
      <c r="AB1362" s="46"/>
    </row>
    <row r="1363" spans="1:28" ht="48.2" customHeight="1" x14ac:dyDescent="0.25">
      <c r="A1363" s="17" t="e">
        <f>VLOOKUP(C1363,[1]Werke!$A$1:$C$168,3,0)</f>
        <v>#N/A</v>
      </c>
      <c r="B1363" s="17" t="e">
        <f>VLOOKUP(C1363,[1]Werke!$A$1:$C$168,2,0)</f>
        <v>#N/A</v>
      </c>
      <c r="C1363" s="18"/>
      <c r="D1363" s="17" t="e">
        <f>VLOOKUP(C1363,[1]Maliteslimalan!$A$1:$B$210,2,0)</f>
        <v>#N/A</v>
      </c>
      <c r="E1363" s="19" t="e">
        <f>VLOOKUP(C1363,[1]Bestellnr.!$A$1:$B$174,2,0)</f>
        <v>#N/A</v>
      </c>
      <c r="F1363" s="20" t="e">
        <f t="shared" si="599"/>
        <v>#N/A</v>
      </c>
      <c r="G1363" s="17"/>
      <c r="H1363" s="17" t="e">
        <f t="shared" si="600"/>
        <v>#N/A</v>
      </c>
      <c r="I1363" s="20"/>
      <c r="J1363" s="17" t="e">
        <f t="shared" si="601"/>
        <v>#N/A</v>
      </c>
      <c r="K1363" s="17" t="e">
        <f t="shared" si="602"/>
        <v>#N/A</v>
      </c>
      <c r="L1363" s="22"/>
      <c r="M1363" s="22"/>
      <c r="N1363" s="22"/>
      <c r="O1363" s="22" t="e">
        <f t="shared" si="603"/>
        <v>#N/A</v>
      </c>
      <c r="P1363" s="22">
        <f t="shared" si="604"/>
        <v>0</v>
      </c>
      <c r="Q1363" s="22"/>
      <c r="R1363" s="23"/>
      <c r="S1363" s="22">
        <f t="shared" si="605"/>
        <v>0</v>
      </c>
      <c r="T1363" s="24" t="e">
        <f t="shared" si="606"/>
        <v>#N/A</v>
      </c>
      <c r="U1363" s="37">
        <v>968138000</v>
      </c>
      <c r="V1363" s="42" t="s">
        <v>532</v>
      </c>
      <c r="W1363" s="37">
        <v>968138000</v>
      </c>
      <c r="X1363" s="47">
        <v>1600</v>
      </c>
      <c r="Y1363" s="48" t="s">
        <v>533</v>
      </c>
      <c r="Z1363" s="49">
        <v>968138000</v>
      </c>
      <c r="AA1363" s="46">
        <v>8.5900000000000004E-3</v>
      </c>
      <c r="AB1363" s="46"/>
    </row>
    <row r="1364" spans="1:28" ht="48.2" customHeight="1" x14ac:dyDescent="0.25">
      <c r="A1364" s="17" t="e">
        <f>VLOOKUP(C1364,[1]Werke!$A$1:$C$168,3,0)</f>
        <v>#N/A</v>
      </c>
      <c r="B1364" s="17" t="e">
        <f>VLOOKUP(C1364,[1]Werke!$A$1:$C$168,2,0)</f>
        <v>#N/A</v>
      </c>
      <c r="C1364" s="18"/>
      <c r="D1364" s="17" t="e">
        <f>VLOOKUP(C1364,[1]Maliteslimalan!$A$1:$B$210,2,0)</f>
        <v>#N/A</v>
      </c>
      <c r="E1364" s="19" t="e">
        <f>VLOOKUP(C1364,[1]Bestellnr.!$A$1:$B$174,2,0)</f>
        <v>#N/A</v>
      </c>
      <c r="F1364" s="20" t="e">
        <f t="shared" si="599"/>
        <v>#N/A</v>
      </c>
      <c r="G1364" s="17"/>
      <c r="H1364" s="17" t="e">
        <f t="shared" si="600"/>
        <v>#N/A</v>
      </c>
      <c r="I1364" s="20"/>
      <c r="J1364" s="17" t="e">
        <f t="shared" si="601"/>
        <v>#N/A</v>
      </c>
      <c r="K1364" s="17" t="e">
        <f t="shared" si="602"/>
        <v>#N/A</v>
      </c>
      <c r="L1364" s="22"/>
      <c r="M1364" s="22"/>
      <c r="N1364" s="22"/>
      <c r="O1364" s="22" t="e">
        <f t="shared" si="603"/>
        <v>#N/A</v>
      </c>
      <c r="P1364" s="22">
        <f t="shared" si="604"/>
        <v>0</v>
      </c>
      <c r="Q1364" s="22"/>
      <c r="R1364" s="23"/>
      <c r="S1364" s="22">
        <f t="shared" si="605"/>
        <v>0</v>
      </c>
      <c r="T1364" s="24" t="e">
        <f t="shared" si="606"/>
        <v>#N/A</v>
      </c>
      <c r="U1364" s="37">
        <v>933036000</v>
      </c>
      <c r="V1364" s="42" t="s">
        <v>534</v>
      </c>
      <c r="W1364" s="37">
        <v>933036000</v>
      </c>
      <c r="X1364" s="47">
        <v>1700</v>
      </c>
      <c r="Y1364" s="48" t="s">
        <v>535</v>
      </c>
      <c r="Z1364" s="49">
        <v>933036000</v>
      </c>
      <c r="AA1364" s="46">
        <v>8.6499999999999997E-3</v>
      </c>
      <c r="AB1364" s="46"/>
    </row>
    <row r="1365" spans="1:28" ht="48.2" customHeight="1" x14ac:dyDescent="0.25">
      <c r="A1365" s="17" t="e">
        <f>VLOOKUP(C1365,[1]Werke!$A$1:$C$168,3,0)</f>
        <v>#N/A</v>
      </c>
      <c r="B1365" s="17" t="e">
        <f>VLOOKUP(C1365,[1]Werke!$A$1:$C$168,2,0)</f>
        <v>#N/A</v>
      </c>
      <c r="C1365" s="18"/>
      <c r="D1365" s="17" t="e">
        <f>VLOOKUP(C1365,[1]Maliteslimalan!$A$1:$B$210,2,0)</f>
        <v>#N/A</v>
      </c>
      <c r="E1365" s="19" t="e">
        <f>VLOOKUP(C1365,[1]Bestellnr.!$A$1:$B$174,2,0)</f>
        <v>#N/A</v>
      </c>
      <c r="F1365" s="20" t="e">
        <f t="shared" si="599"/>
        <v>#N/A</v>
      </c>
      <c r="G1365" s="17"/>
      <c r="H1365" s="17" t="e">
        <f t="shared" si="600"/>
        <v>#N/A</v>
      </c>
      <c r="I1365" s="20"/>
      <c r="J1365" s="17" t="e">
        <f t="shared" si="601"/>
        <v>#N/A</v>
      </c>
      <c r="K1365" s="17" t="e">
        <f t="shared" si="602"/>
        <v>#N/A</v>
      </c>
      <c r="L1365" s="22"/>
      <c r="M1365" s="22"/>
      <c r="N1365" s="22"/>
      <c r="O1365" s="22" t="e">
        <f t="shared" si="603"/>
        <v>#N/A</v>
      </c>
      <c r="P1365" s="22">
        <f t="shared" si="604"/>
        <v>0</v>
      </c>
      <c r="Q1365" s="22"/>
      <c r="R1365" s="23"/>
      <c r="S1365" s="22">
        <f t="shared" si="605"/>
        <v>0</v>
      </c>
      <c r="T1365" s="24" t="e">
        <f t="shared" si="606"/>
        <v>#N/A</v>
      </c>
      <c r="U1365" s="37">
        <v>933025000</v>
      </c>
      <c r="V1365" s="42" t="s">
        <v>536</v>
      </c>
      <c r="W1365" s="37">
        <v>933025000</v>
      </c>
      <c r="X1365" s="47">
        <v>1300</v>
      </c>
      <c r="Y1365" s="48" t="s">
        <v>537</v>
      </c>
      <c r="Z1365" s="49">
        <v>933025000</v>
      </c>
      <c r="AA1365" s="46">
        <v>9.8399999999999998E-3</v>
      </c>
      <c r="AB1365" s="46"/>
    </row>
    <row r="1366" spans="1:28" ht="48.2" customHeight="1" x14ac:dyDescent="0.25">
      <c r="A1366" s="17" t="e">
        <f>VLOOKUP(C1366,[1]Werke!$A$1:$C$168,3,0)</f>
        <v>#N/A</v>
      </c>
      <c r="B1366" s="17" t="e">
        <f>VLOOKUP(C1366,[1]Werke!$A$1:$C$168,2,0)</f>
        <v>#N/A</v>
      </c>
      <c r="C1366" s="18"/>
      <c r="D1366" s="17" t="e">
        <f>VLOOKUP(C1366,[1]Maliteslimalan!$A$1:$B$210,2,0)</f>
        <v>#N/A</v>
      </c>
      <c r="E1366" s="19" t="e">
        <f>VLOOKUP(C1366,[1]Bestellnr.!$A$1:$B$174,2,0)</f>
        <v>#N/A</v>
      </c>
      <c r="F1366" s="20" t="e">
        <f t="shared" si="599"/>
        <v>#N/A</v>
      </c>
      <c r="G1366" s="17"/>
      <c r="H1366" s="17" t="e">
        <f t="shared" si="600"/>
        <v>#N/A</v>
      </c>
      <c r="I1366" s="20"/>
      <c r="J1366" s="17" t="e">
        <f t="shared" si="601"/>
        <v>#N/A</v>
      </c>
      <c r="K1366" s="17" t="e">
        <f t="shared" si="602"/>
        <v>#N/A</v>
      </c>
      <c r="L1366" s="22"/>
      <c r="M1366" s="22"/>
      <c r="N1366" s="22"/>
      <c r="O1366" s="22" t="e">
        <f t="shared" si="603"/>
        <v>#N/A</v>
      </c>
      <c r="P1366" s="22">
        <f t="shared" si="604"/>
        <v>0</v>
      </c>
      <c r="Q1366" s="22"/>
      <c r="R1366" s="23"/>
      <c r="S1366" s="22">
        <f t="shared" si="605"/>
        <v>0</v>
      </c>
      <c r="T1366" s="24" t="e">
        <f t="shared" si="606"/>
        <v>#N/A</v>
      </c>
      <c r="U1366" s="37">
        <v>932228000</v>
      </c>
      <c r="V1366" s="42" t="s">
        <v>538</v>
      </c>
      <c r="W1366" s="37">
        <v>932228000</v>
      </c>
      <c r="X1366" s="47">
        <v>600</v>
      </c>
      <c r="Y1366" s="48" t="s">
        <v>539</v>
      </c>
      <c r="Z1366" s="49">
        <v>932228000</v>
      </c>
      <c r="AA1366" s="46">
        <v>1.9439999999999999E-2</v>
      </c>
      <c r="AB1366" s="46"/>
    </row>
    <row r="1367" spans="1:28" ht="48.2" customHeight="1" x14ac:dyDescent="0.25">
      <c r="A1367" s="17" t="e">
        <f>VLOOKUP(C1367,[1]Werke!$A$1:$C$168,3,0)</f>
        <v>#N/A</v>
      </c>
      <c r="B1367" s="17" t="e">
        <f>VLOOKUP(C1367,[1]Werke!$A$1:$C$168,2,0)</f>
        <v>#N/A</v>
      </c>
      <c r="C1367" s="18"/>
      <c r="D1367" s="17" t="e">
        <f>VLOOKUP(C1367,[1]Maliteslimalan!$A$1:$B$210,2,0)</f>
        <v>#N/A</v>
      </c>
      <c r="E1367" s="19" t="e">
        <f>VLOOKUP(C1367,[1]Bestellnr.!$A$1:$B$174,2,0)</f>
        <v>#N/A</v>
      </c>
      <c r="F1367" s="20" t="e">
        <f t="shared" si="599"/>
        <v>#N/A</v>
      </c>
      <c r="G1367" s="17"/>
      <c r="H1367" s="17" t="e">
        <f t="shared" si="600"/>
        <v>#N/A</v>
      </c>
      <c r="I1367" s="20"/>
      <c r="J1367" s="17" t="e">
        <f t="shared" si="601"/>
        <v>#N/A</v>
      </c>
      <c r="K1367" s="17" t="e">
        <f t="shared" si="602"/>
        <v>#N/A</v>
      </c>
      <c r="L1367" s="22"/>
      <c r="M1367" s="22"/>
      <c r="N1367" s="22"/>
      <c r="O1367" s="22" t="e">
        <f t="shared" si="603"/>
        <v>#N/A</v>
      </c>
      <c r="P1367" s="22">
        <f t="shared" si="604"/>
        <v>0</v>
      </c>
      <c r="Q1367" s="22"/>
      <c r="R1367" s="23"/>
      <c r="S1367" s="22">
        <f t="shared" si="605"/>
        <v>0</v>
      </c>
      <c r="T1367" s="24" t="e">
        <f t="shared" si="606"/>
        <v>#N/A</v>
      </c>
      <c r="U1367" s="37">
        <v>925198000</v>
      </c>
      <c r="V1367" s="42" t="s">
        <v>540</v>
      </c>
      <c r="W1367" s="37">
        <v>925198000</v>
      </c>
      <c r="X1367" s="47">
        <v>135</v>
      </c>
      <c r="Y1367" s="48" t="s">
        <v>541</v>
      </c>
      <c r="Z1367" s="49">
        <v>925198000</v>
      </c>
      <c r="AA1367" s="46">
        <v>8.7820999999999996E-2</v>
      </c>
      <c r="AB1367" s="46"/>
    </row>
    <row r="1368" spans="1:28" ht="48.2" customHeight="1" x14ac:dyDescent="0.25">
      <c r="A1368" s="17" t="e">
        <f>VLOOKUP(C1368,[1]Werke!$A$1:$C$168,3,0)</f>
        <v>#N/A</v>
      </c>
      <c r="B1368" s="17" t="e">
        <f>VLOOKUP(C1368,[1]Werke!$A$1:$C$168,2,0)</f>
        <v>#N/A</v>
      </c>
      <c r="C1368" s="18"/>
      <c r="D1368" s="17" t="e">
        <f>VLOOKUP(C1368,[1]Maliteslimalan!$A$1:$B$210,2,0)</f>
        <v>#N/A</v>
      </c>
      <c r="E1368" s="19" t="e">
        <f>VLOOKUP(C1368,[1]Bestellnr.!$A$1:$B$174,2,0)</f>
        <v>#N/A</v>
      </c>
      <c r="F1368" s="20" t="e">
        <f t="shared" si="599"/>
        <v>#N/A</v>
      </c>
      <c r="G1368" s="17"/>
      <c r="H1368" s="17" t="e">
        <f t="shared" si="600"/>
        <v>#N/A</v>
      </c>
      <c r="I1368" s="20"/>
      <c r="J1368" s="17" t="e">
        <f t="shared" si="601"/>
        <v>#N/A</v>
      </c>
      <c r="K1368" s="17" t="e">
        <f t="shared" si="602"/>
        <v>#N/A</v>
      </c>
      <c r="L1368" s="22"/>
      <c r="M1368" s="22"/>
      <c r="N1368" s="22"/>
      <c r="O1368" s="22" t="e">
        <f t="shared" si="603"/>
        <v>#N/A</v>
      </c>
      <c r="P1368" s="22">
        <f t="shared" si="604"/>
        <v>0</v>
      </c>
      <c r="Q1368" s="22"/>
      <c r="R1368" s="23"/>
      <c r="S1368" s="22">
        <f t="shared" si="605"/>
        <v>0</v>
      </c>
      <c r="T1368" s="24" t="e">
        <f t="shared" si="606"/>
        <v>#N/A</v>
      </c>
      <c r="U1368" s="37">
        <v>935956000</v>
      </c>
      <c r="V1368" s="42" t="s">
        <v>542</v>
      </c>
      <c r="W1368" s="37">
        <v>935956000</v>
      </c>
      <c r="X1368" s="47" t="s">
        <v>470</v>
      </c>
      <c r="Y1368" s="48" t="s">
        <v>543</v>
      </c>
      <c r="Z1368" s="49">
        <v>935956000</v>
      </c>
      <c r="AA1368" s="46">
        <v>0.14693999999999999</v>
      </c>
      <c r="AB1368" s="46"/>
    </row>
    <row r="1369" spans="1:28" ht="48.2" customHeight="1" x14ac:dyDescent="0.25">
      <c r="A1369" s="17" t="e">
        <f>VLOOKUP(C1369,[1]Werke!$A$1:$C$168,3,0)</f>
        <v>#N/A</v>
      </c>
      <c r="B1369" s="17" t="e">
        <f>VLOOKUP(C1369,[1]Werke!$A$1:$C$168,2,0)</f>
        <v>#N/A</v>
      </c>
      <c r="C1369" s="18"/>
      <c r="D1369" s="17" t="e">
        <f>VLOOKUP(C1369,[1]Maliteslimalan!$A$1:$B$210,2,0)</f>
        <v>#N/A</v>
      </c>
      <c r="E1369" s="19" t="e">
        <f>VLOOKUP(C1369,[1]Bestellnr.!$A$1:$B$174,2,0)</f>
        <v>#N/A</v>
      </c>
      <c r="F1369" s="20" t="e">
        <f t="shared" si="599"/>
        <v>#N/A</v>
      </c>
      <c r="G1369" s="17"/>
      <c r="H1369" s="17" t="e">
        <f t="shared" si="600"/>
        <v>#N/A</v>
      </c>
      <c r="I1369" s="20"/>
      <c r="J1369" s="17" t="e">
        <f t="shared" si="601"/>
        <v>#N/A</v>
      </c>
      <c r="K1369" s="17" t="e">
        <f t="shared" si="602"/>
        <v>#N/A</v>
      </c>
      <c r="L1369" s="22"/>
      <c r="M1369" s="22"/>
      <c r="N1369" s="22"/>
      <c r="O1369" s="22" t="e">
        <f t="shared" si="603"/>
        <v>#N/A</v>
      </c>
      <c r="P1369" s="22">
        <f t="shared" si="604"/>
        <v>0</v>
      </c>
      <c r="Q1369" s="22"/>
      <c r="R1369" s="23"/>
      <c r="S1369" s="22">
        <f t="shared" si="605"/>
        <v>0</v>
      </c>
      <c r="T1369" s="24" t="e">
        <f t="shared" si="606"/>
        <v>#N/A</v>
      </c>
      <c r="U1369" s="37">
        <v>101182700</v>
      </c>
      <c r="V1369" s="42" t="s">
        <v>544</v>
      </c>
      <c r="W1369" s="37">
        <v>101182700</v>
      </c>
      <c r="X1369" s="47">
        <v>650</v>
      </c>
      <c r="Y1369" s="48" t="s">
        <v>545</v>
      </c>
      <c r="Z1369" s="49">
        <v>101182700</v>
      </c>
      <c r="AA1369" s="46" t="s">
        <v>546</v>
      </c>
      <c r="AB1369" s="46"/>
    </row>
    <row r="1370" spans="1:28" ht="48.2" customHeight="1" x14ac:dyDescent="0.25">
      <c r="A1370" s="17" t="e">
        <f>VLOOKUP(C1370,[1]Werke!$A$1:$C$168,3,0)</f>
        <v>#N/A</v>
      </c>
      <c r="B1370" s="17" t="e">
        <f>VLOOKUP(C1370,[1]Werke!$A$1:$C$168,2,0)</f>
        <v>#N/A</v>
      </c>
      <c r="C1370" s="18"/>
      <c r="D1370" s="17" t="e">
        <f>VLOOKUP(C1370,[1]Maliteslimalan!$A$1:$B$210,2,0)</f>
        <v>#N/A</v>
      </c>
      <c r="E1370" s="19" t="e">
        <f>VLOOKUP(C1370,[1]Bestellnr.!$A$1:$B$174,2,0)</f>
        <v>#N/A</v>
      </c>
      <c r="F1370" s="20" t="e">
        <f t="shared" si="599"/>
        <v>#N/A</v>
      </c>
      <c r="G1370" s="17"/>
      <c r="H1370" s="17" t="e">
        <f t="shared" si="600"/>
        <v>#N/A</v>
      </c>
      <c r="I1370" s="20"/>
      <c r="J1370" s="17" t="e">
        <f t="shared" si="601"/>
        <v>#N/A</v>
      </c>
      <c r="K1370" s="17" t="e">
        <f t="shared" si="602"/>
        <v>#N/A</v>
      </c>
      <c r="L1370" s="22"/>
      <c r="M1370" s="22"/>
      <c r="N1370" s="22"/>
      <c r="O1370" s="22" t="e">
        <f t="shared" si="603"/>
        <v>#N/A</v>
      </c>
      <c r="P1370" s="22">
        <f t="shared" si="604"/>
        <v>0</v>
      </c>
      <c r="Q1370" s="22"/>
      <c r="R1370" s="23"/>
      <c r="S1370" s="22">
        <f t="shared" si="605"/>
        <v>0</v>
      </c>
      <c r="T1370" s="24" t="e">
        <f t="shared" si="606"/>
        <v>#N/A</v>
      </c>
      <c r="U1370" s="37">
        <v>101182800</v>
      </c>
      <c r="V1370" s="42" t="s">
        <v>547</v>
      </c>
      <c r="W1370" s="37">
        <v>101182800</v>
      </c>
      <c r="X1370" s="47">
        <v>650</v>
      </c>
      <c r="Y1370" s="48" t="s">
        <v>548</v>
      </c>
      <c r="Z1370" s="49">
        <v>101182800</v>
      </c>
      <c r="AA1370" s="46" t="s">
        <v>549</v>
      </c>
      <c r="AB1370" s="46"/>
    </row>
    <row r="1371" spans="1:28" ht="48.2" customHeight="1" x14ac:dyDescent="0.25">
      <c r="A1371" s="17" t="e">
        <f>VLOOKUP(C1371,[1]Werke!$A$1:$C$168,3,0)</f>
        <v>#N/A</v>
      </c>
      <c r="B1371" s="17" t="e">
        <f>VLOOKUP(C1371,[1]Werke!$A$1:$C$168,2,0)</f>
        <v>#N/A</v>
      </c>
      <c r="C1371" s="18"/>
      <c r="D1371" s="17" t="e">
        <f>VLOOKUP(C1371,[1]Maliteslimalan!$A$1:$B$210,2,0)</f>
        <v>#N/A</v>
      </c>
      <c r="E1371" s="19" t="e">
        <f>VLOOKUP(C1371,[1]Bestellnr.!$A$1:$B$174,2,0)</f>
        <v>#N/A</v>
      </c>
      <c r="F1371" s="20" t="e">
        <f t="shared" si="599"/>
        <v>#N/A</v>
      </c>
      <c r="G1371" s="17"/>
      <c r="H1371" s="17" t="e">
        <f t="shared" si="600"/>
        <v>#N/A</v>
      </c>
      <c r="I1371" s="20"/>
      <c r="J1371" s="17" t="e">
        <f t="shared" si="601"/>
        <v>#N/A</v>
      </c>
      <c r="K1371" s="17" t="e">
        <f t="shared" si="602"/>
        <v>#N/A</v>
      </c>
      <c r="L1371" s="22"/>
      <c r="M1371" s="22"/>
      <c r="N1371" s="22"/>
      <c r="O1371" s="22" t="e">
        <f t="shared" si="603"/>
        <v>#N/A</v>
      </c>
      <c r="P1371" s="22">
        <f t="shared" si="604"/>
        <v>0</v>
      </c>
      <c r="Q1371" s="22"/>
      <c r="R1371" s="23"/>
      <c r="S1371" s="22">
        <f t="shared" si="605"/>
        <v>0</v>
      </c>
      <c r="T1371" s="24" t="e">
        <f t="shared" si="606"/>
        <v>#N/A</v>
      </c>
      <c r="U1371" s="37">
        <v>101182900</v>
      </c>
      <c r="V1371" s="42" t="s">
        <v>550</v>
      </c>
      <c r="W1371" s="37">
        <v>101182900</v>
      </c>
      <c r="X1371" s="47">
        <v>700</v>
      </c>
      <c r="Y1371" s="48" t="s">
        <v>551</v>
      </c>
      <c r="Z1371" s="49">
        <v>101182900</v>
      </c>
      <c r="AA1371" s="46" t="s">
        <v>552</v>
      </c>
      <c r="AB1371" s="46"/>
    </row>
    <row r="1372" spans="1:28" ht="48.2" customHeight="1" x14ac:dyDescent="0.25">
      <c r="A1372" s="17" t="e">
        <f>VLOOKUP(C1372,[1]Werke!$A$1:$C$168,3,0)</f>
        <v>#N/A</v>
      </c>
      <c r="B1372" s="17" t="e">
        <f>VLOOKUP(C1372,[1]Werke!$A$1:$C$168,2,0)</f>
        <v>#N/A</v>
      </c>
      <c r="C1372" s="18"/>
      <c r="D1372" s="17" t="e">
        <f>VLOOKUP(C1372,[1]Maliteslimalan!$A$1:$B$210,2,0)</f>
        <v>#N/A</v>
      </c>
      <c r="E1372" s="19" t="e">
        <f>VLOOKUP(C1372,[1]Bestellnr.!$A$1:$B$174,2,0)</f>
        <v>#N/A</v>
      </c>
      <c r="F1372" s="20" t="e">
        <f t="shared" si="599"/>
        <v>#N/A</v>
      </c>
      <c r="G1372" s="17"/>
      <c r="H1372" s="17" t="e">
        <f t="shared" si="600"/>
        <v>#N/A</v>
      </c>
      <c r="I1372" s="20"/>
      <c r="J1372" s="17" t="e">
        <f t="shared" si="601"/>
        <v>#N/A</v>
      </c>
      <c r="K1372" s="17" t="e">
        <f t="shared" si="602"/>
        <v>#N/A</v>
      </c>
      <c r="L1372" s="22"/>
      <c r="M1372" s="22"/>
      <c r="N1372" s="22"/>
      <c r="O1372" s="22" t="e">
        <f t="shared" si="603"/>
        <v>#N/A</v>
      </c>
      <c r="P1372" s="22">
        <f t="shared" si="604"/>
        <v>0</v>
      </c>
      <c r="Q1372" s="22"/>
      <c r="R1372" s="23"/>
      <c r="S1372" s="22">
        <f t="shared" si="605"/>
        <v>0</v>
      </c>
      <c r="T1372" s="24" t="e">
        <f t="shared" si="606"/>
        <v>#N/A</v>
      </c>
      <c r="U1372" s="37">
        <v>101183000</v>
      </c>
      <c r="V1372" s="42" t="s">
        <v>553</v>
      </c>
      <c r="W1372" s="37">
        <v>101183000</v>
      </c>
      <c r="X1372" s="47">
        <v>650</v>
      </c>
      <c r="Y1372" s="59" t="s">
        <v>554</v>
      </c>
      <c r="Z1372" s="49">
        <v>101183000</v>
      </c>
      <c r="AA1372" s="46" t="s">
        <v>555</v>
      </c>
      <c r="AB1372" s="46"/>
    </row>
    <row r="1373" spans="1:28" ht="48.2" customHeight="1" x14ac:dyDescent="0.25">
      <c r="A1373" s="17" t="e">
        <f>VLOOKUP(C1373,[1]Werke!$A$1:$C$168,3,0)</f>
        <v>#N/A</v>
      </c>
      <c r="B1373" s="17" t="e">
        <f>VLOOKUP(C1373,[1]Werke!$A$1:$C$168,2,0)</f>
        <v>#N/A</v>
      </c>
      <c r="C1373" s="18"/>
      <c r="D1373" s="17" t="e">
        <f>VLOOKUP(C1373,[1]Maliteslimalan!$A$1:$B$210,2,0)</f>
        <v>#N/A</v>
      </c>
      <c r="E1373" s="19" t="e">
        <f>VLOOKUP(C1373,[1]Bestellnr.!$A$1:$B$174,2,0)</f>
        <v>#N/A</v>
      </c>
      <c r="F1373" s="20" t="e">
        <f t="shared" si="599"/>
        <v>#N/A</v>
      </c>
      <c r="G1373" s="17"/>
      <c r="H1373" s="17" t="e">
        <f t="shared" si="600"/>
        <v>#N/A</v>
      </c>
      <c r="I1373" s="20"/>
      <c r="J1373" s="17" t="e">
        <f t="shared" si="601"/>
        <v>#N/A</v>
      </c>
      <c r="K1373" s="17" t="e">
        <f t="shared" si="602"/>
        <v>#N/A</v>
      </c>
      <c r="L1373" s="22"/>
      <c r="M1373" s="22"/>
      <c r="N1373" s="22"/>
      <c r="O1373" s="22" t="e">
        <f t="shared" si="603"/>
        <v>#N/A</v>
      </c>
      <c r="P1373" s="22">
        <f t="shared" si="604"/>
        <v>0</v>
      </c>
      <c r="Q1373" s="22"/>
      <c r="R1373" s="23"/>
      <c r="S1373" s="22">
        <f t="shared" si="605"/>
        <v>0</v>
      </c>
      <c r="T1373" s="24" t="e">
        <f t="shared" si="606"/>
        <v>#N/A</v>
      </c>
      <c r="U1373" s="37">
        <v>101183100</v>
      </c>
      <c r="V1373" s="42" t="s">
        <v>556</v>
      </c>
      <c r="W1373" s="37">
        <v>101183100</v>
      </c>
      <c r="X1373" s="47">
        <v>300</v>
      </c>
      <c r="Y1373" s="48" t="s">
        <v>557</v>
      </c>
      <c r="Z1373" s="49">
        <v>101183100</v>
      </c>
      <c r="AA1373" s="46" t="s">
        <v>558</v>
      </c>
      <c r="AB1373" s="46"/>
    </row>
    <row r="1374" spans="1:28" ht="48.2" customHeight="1" x14ac:dyDescent="0.25">
      <c r="A1374" s="17" t="e">
        <f>VLOOKUP(C1374,[1]Werke!$A$1:$C$168,3,0)</f>
        <v>#N/A</v>
      </c>
      <c r="B1374" s="17" t="e">
        <f>VLOOKUP(C1374,[1]Werke!$A$1:$C$168,2,0)</f>
        <v>#N/A</v>
      </c>
      <c r="C1374" s="18"/>
      <c r="D1374" s="17" t="e">
        <f>VLOOKUP(C1374,[1]Maliteslimalan!$A$1:$B$210,2,0)</f>
        <v>#N/A</v>
      </c>
      <c r="E1374" s="19" t="e">
        <f>VLOOKUP(C1374,[1]Bestellnr.!$A$1:$B$174,2,0)</f>
        <v>#N/A</v>
      </c>
      <c r="F1374" s="20" t="e">
        <f t="shared" si="599"/>
        <v>#N/A</v>
      </c>
      <c r="G1374" s="17"/>
      <c r="H1374" s="17" t="e">
        <f t="shared" si="600"/>
        <v>#N/A</v>
      </c>
      <c r="I1374" s="20"/>
      <c r="J1374" s="17" t="e">
        <f t="shared" si="601"/>
        <v>#N/A</v>
      </c>
      <c r="K1374" s="17" t="e">
        <f t="shared" si="602"/>
        <v>#N/A</v>
      </c>
      <c r="L1374" s="22"/>
      <c r="M1374" s="22"/>
      <c r="N1374" s="22"/>
      <c r="O1374" s="22" t="e">
        <f t="shared" si="603"/>
        <v>#N/A</v>
      </c>
      <c r="P1374" s="22">
        <f t="shared" si="604"/>
        <v>0</v>
      </c>
      <c r="Q1374" s="22"/>
      <c r="R1374" s="23"/>
      <c r="S1374" s="22">
        <f t="shared" si="605"/>
        <v>0</v>
      </c>
      <c r="T1374" s="24" t="e">
        <f t="shared" si="606"/>
        <v>#N/A</v>
      </c>
      <c r="U1374" s="37">
        <v>101183200</v>
      </c>
      <c r="V1374" s="42" t="s">
        <v>559</v>
      </c>
      <c r="W1374" s="37">
        <v>101183200</v>
      </c>
      <c r="X1374" s="47">
        <v>450</v>
      </c>
      <c r="Y1374" s="48" t="s">
        <v>560</v>
      </c>
      <c r="Z1374" s="49">
        <v>101183200</v>
      </c>
      <c r="AA1374" s="46" t="s">
        <v>561</v>
      </c>
      <c r="AB1374" s="46"/>
    </row>
    <row r="1375" spans="1:28" ht="48.2" customHeight="1" x14ac:dyDescent="0.25">
      <c r="A1375" s="17" t="e">
        <f>VLOOKUP(C1375,[1]Werke!$A$1:$C$168,3,0)</f>
        <v>#N/A</v>
      </c>
      <c r="B1375" s="17" t="e">
        <f>VLOOKUP(C1375,[1]Werke!$A$1:$C$168,2,0)</f>
        <v>#N/A</v>
      </c>
      <c r="C1375" s="18"/>
      <c r="D1375" s="17" t="e">
        <f>VLOOKUP(C1375,[1]Maliteslimalan!$A$1:$B$210,2,0)</f>
        <v>#N/A</v>
      </c>
      <c r="E1375" s="19" t="e">
        <f>VLOOKUP(C1375,[1]Bestellnr.!$A$1:$B$174,2,0)</f>
        <v>#N/A</v>
      </c>
      <c r="F1375" s="20" t="e">
        <f t="shared" si="599"/>
        <v>#N/A</v>
      </c>
      <c r="G1375" s="17"/>
      <c r="H1375" s="17" t="e">
        <f t="shared" si="600"/>
        <v>#N/A</v>
      </c>
      <c r="I1375" s="20"/>
      <c r="J1375" s="17" t="e">
        <f t="shared" si="601"/>
        <v>#N/A</v>
      </c>
      <c r="K1375" s="17" t="e">
        <f t="shared" si="602"/>
        <v>#N/A</v>
      </c>
      <c r="L1375" s="22"/>
      <c r="M1375" s="22"/>
      <c r="N1375" s="22"/>
      <c r="O1375" s="22" t="e">
        <f t="shared" si="603"/>
        <v>#N/A</v>
      </c>
      <c r="P1375" s="22">
        <f t="shared" si="604"/>
        <v>0</v>
      </c>
      <c r="Q1375" s="22"/>
      <c r="R1375" s="23"/>
      <c r="S1375" s="22">
        <f t="shared" si="605"/>
        <v>0</v>
      </c>
      <c r="T1375" s="24" t="e">
        <f t="shared" si="606"/>
        <v>#N/A</v>
      </c>
      <c r="U1375" s="37">
        <v>101147800</v>
      </c>
      <c r="V1375" s="42" t="s">
        <v>562</v>
      </c>
      <c r="W1375" s="37">
        <v>101147800</v>
      </c>
      <c r="X1375" s="47">
        <v>60</v>
      </c>
      <c r="Y1375" s="48" t="s">
        <v>563</v>
      </c>
      <c r="Z1375" s="49">
        <v>101147800</v>
      </c>
      <c r="AA1375" s="46" t="s">
        <v>564</v>
      </c>
      <c r="AB1375" s="46"/>
    </row>
    <row r="1376" spans="1:28" s="42" customFormat="1" ht="48.2" customHeight="1" x14ac:dyDescent="0.25">
      <c r="A1376" s="17" t="e">
        <f>VLOOKUP(C1376,[1]Werke!$A$1:$C$168,3,0)</f>
        <v>#N/A</v>
      </c>
      <c r="B1376" s="17" t="e">
        <f>VLOOKUP(C1376,[1]Werke!$A$1:$C$168,2,0)</f>
        <v>#N/A</v>
      </c>
      <c r="C1376" s="18"/>
      <c r="D1376" s="17" t="e">
        <f>VLOOKUP(C1376,[1]Maliteslimalan!$A$1:$B$210,2,0)</f>
        <v>#N/A</v>
      </c>
      <c r="E1376" s="19" t="e">
        <f>VLOOKUP(C1376,[1]Bestellnr.!$A$1:$B$174,2,0)</f>
        <v>#N/A</v>
      </c>
      <c r="F1376" s="20" t="e">
        <f t="shared" si="599"/>
        <v>#N/A</v>
      </c>
      <c r="G1376" s="17"/>
      <c r="H1376" s="17" t="e">
        <f t="shared" si="600"/>
        <v>#N/A</v>
      </c>
      <c r="I1376" s="20"/>
      <c r="J1376" s="17" t="e">
        <f t="shared" si="601"/>
        <v>#N/A</v>
      </c>
      <c r="K1376" s="17" t="e">
        <f t="shared" si="602"/>
        <v>#N/A</v>
      </c>
      <c r="L1376" s="22"/>
      <c r="M1376" s="22"/>
      <c r="N1376" s="22"/>
      <c r="O1376" s="22" t="e">
        <f t="shared" si="603"/>
        <v>#N/A</v>
      </c>
      <c r="P1376" s="22">
        <f t="shared" si="604"/>
        <v>0</v>
      </c>
      <c r="Q1376" s="22"/>
      <c r="R1376" s="23"/>
      <c r="S1376" s="22">
        <f t="shared" si="605"/>
        <v>0</v>
      </c>
      <c r="T1376" s="24" t="e">
        <f t="shared" si="606"/>
        <v>#N/A</v>
      </c>
      <c r="U1376" s="37">
        <v>101183800</v>
      </c>
      <c r="V1376" s="42" t="s">
        <v>565</v>
      </c>
      <c r="W1376" s="37">
        <v>101183800</v>
      </c>
      <c r="X1376" s="47">
        <v>2000</v>
      </c>
      <c r="Y1376" s="48" t="s">
        <v>566</v>
      </c>
      <c r="Z1376" s="49">
        <v>101183800</v>
      </c>
      <c r="AA1376" s="46" t="s">
        <v>567</v>
      </c>
    </row>
    <row r="1377" spans="1:28" s="42" customFormat="1" ht="48.2" customHeight="1" x14ac:dyDescent="0.25">
      <c r="A1377" s="17" t="e">
        <f>VLOOKUP(C1377,[1]Werke!$A$1:$C$168,3,0)</f>
        <v>#N/A</v>
      </c>
      <c r="B1377" s="17" t="e">
        <f>VLOOKUP(C1377,[1]Werke!$A$1:$C$168,2,0)</f>
        <v>#N/A</v>
      </c>
      <c r="C1377" s="18"/>
      <c r="D1377" s="17" t="e">
        <f>VLOOKUP(C1377,[1]Maliteslimalan!$A$1:$B$210,2,0)</f>
        <v>#N/A</v>
      </c>
      <c r="E1377" s="19" t="e">
        <f>VLOOKUP(C1377,[1]Bestellnr.!$A$1:$B$174,2,0)</f>
        <v>#N/A</v>
      </c>
      <c r="F1377" s="20" t="e">
        <f t="shared" si="599"/>
        <v>#N/A</v>
      </c>
      <c r="G1377" s="17"/>
      <c r="H1377" s="17" t="e">
        <f t="shared" si="600"/>
        <v>#N/A</v>
      </c>
      <c r="I1377" s="20"/>
      <c r="J1377" s="17" t="e">
        <f t="shared" si="601"/>
        <v>#N/A</v>
      </c>
      <c r="K1377" s="17" t="e">
        <f t="shared" si="602"/>
        <v>#N/A</v>
      </c>
      <c r="L1377" s="22"/>
      <c r="M1377" s="22"/>
      <c r="N1377" s="22"/>
      <c r="O1377" s="22" t="e">
        <f t="shared" si="603"/>
        <v>#N/A</v>
      </c>
      <c r="P1377" s="22">
        <f t="shared" si="604"/>
        <v>0</v>
      </c>
      <c r="Q1377" s="22"/>
      <c r="R1377" s="23"/>
      <c r="S1377" s="22">
        <f t="shared" si="605"/>
        <v>0</v>
      </c>
      <c r="T1377" s="24" t="e">
        <f t="shared" si="606"/>
        <v>#N/A</v>
      </c>
      <c r="U1377" s="37">
        <v>101105300</v>
      </c>
      <c r="V1377" s="42" t="s">
        <v>568</v>
      </c>
      <c r="W1377" s="37">
        <v>101105300</v>
      </c>
      <c r="X1377" s="47">
        <v>90</v>
      </c>
      <c r="Y1377" s="48" t="s">
        <v>569</v>
      </c>
      <c r="Z1377" s="49">
        <v>101105300</v>
      </c>
      <c r="AA1377" s="46" t="s">
        <v>570</v>
      </c>
    </row>
    <row r="1378" spans="1:28" s="42" customFormat="1" ht="48.2" customHeight="1" x14ac:dyDescent="0.25">
      <c r="A1378" s="17" t="e">
        <f>VLOOKUP(C1378,[1]Werke!$A$1:$C$168,3,0)</f>
        <v>#N/A</v>
      </c>
      <c r="B1378" s="17" t="e">
        <f>VLOOKUP(C1378,[1]Werke!$A$1:$C$168,2,0)</f>
        <v>#N/A</v>
      </c>
      <c r="C1378" s="18"/>
      <c r="D1378" s="17" t="e">
        <f>VLOOKUP(C1378,[1]Maliteslimalan!$A$1:$B$210,2,0)</f>
        <v>#N/A</v>
      </c>
      <c r="E1378" s="19" t="e">
        <f>VLOOKUP(C1378,[1]Bestellnr.!$A$1:$B$174,2,0)</f>
        <v>#N/A</v>
      </c>
      <c r="F1378" s="20" t="e">
        <f t="shared" si="599"/>
        <v>#N/A</v>
      </c>
      <c r="G1378" s="17"/>
      <c r="H1378" s="17" t="e">
        <f t="shared" si="600"/>
        <v>#N/A</v>
      </c>
      <c r="I1378" s="20"/>
      <c r="J1378" s="17" t="e">
        <f t="shared" si="601"/>
        <v>#N/A</v>
      </c>
      <c r="K1378" s="17" t="e">
        <f t="shared" si="602"/>
        <v>#N/A</v>
      </c>
      <c r="L1378" s="22"/>
      <c r="M1378" s="22"/>
      <c r="N1378" s="22"/>
      <c r="O1378" s="22" t="e">
        <f t="shared" si="603"/>
        <v>#N/A</v>
      </c>
      <c r="P1378" s="22">
        <f t="shared" si="604"/>
        <v>0</v>
      </c>
      <c r="Q1378" s="22"/>
      <c r="R1378" s="23"/>
      <c r="S1378" s="22">
        <f t="shared" si="605"/>
        <v>0</v>
      </c>
      <c r="T1378" s="24" t="e">
        <f t="shared" si="606"/>
        <v>#N/A</v>
      </c>
      <c r="U1378" s="37">
        <v>101202200</v>
      </c>
      <c r="V1378" s="42" t="s">
        <v>571</v>
      </c>
      <c r="W1378" s="37">
        <v>101202200</v>
      </c>
      <c r="X1378" s="47">
        <v>2500</v>
      </c>
      <c r="Y1378" s="48" t="s">
        <v>572</v>
      </c>
      <c r="Z1378" s="49">
        <v>101202200</v>
      </c>
      <c r="AA1378" s="46" t="s">
        <v>573</v>
      </c>
    </row>
    <row r="1379" spans="1:28" s="42" customFormat="1" ht="48.2" customHeight="1" x14ac:dyDescent="0.25">
      <c r="A1379" s="17" t="e">
        <f>VLOOKUP(C1379,[1]Werke!$A$1:$C$168,3,0)</f>
        <v>#N/A</v>
      </c>
      <c r="B1379" s="17" t="e">
        <f>VLOOKUP(C1379,[1]Werke!$A$1:$C$168,2,0)</f>
        <v>#N/A</v>
      </c>
      <c r="C1379" s="18"/>
      <c r="D1379" s="17" t="e">
        <f>VLOOKUP(C1379,[1]Maliteslimalan!$A$1:$B$210,2,0)</f>
        <v>#N/A</v>
      </c>
      <c r="E1379" s="19" t="e">
        <f>VLOOKUP(C1379,[1]Bestellnr.!$A$1:$B$174,2,0)</f>
        <v>#N/A</v>
      </c>
      <c r="F1379" s="20" t="e">
        <f t="shared" si="599"/>
        <v>#N/A</v>
      </c>
      <c r="G1379" s="17"/>
      <c r="H1379" s="17" t="e">
        <f t="shared" si="600"/>
        <v>#N/A</v>
      </c>
      <c r="I1379" s="20"/>
      <c r="J1379" s="17" t="e">
        <f t="shared" si="601"/>
        <v>#N/A</v>
      </c>
      <c r="K1379" s="17" t="e">
        <f t="shared" si="602"/>
        <v>#N/A</v>
      </c>
      <c r="L1379" s="22"/>
      <c r="M1379" s="22"/>
      <c r="N1379" s="22"/>
      <c r="O1379" s="22" t="e">
        <f t="shared" si="603"/>
        <v>#N/A</v>
      </c>
      <c r="P1379" s="22">
        <f t="shared" si="604"/>
        <v>0</v>
      </c>
      <c r="Q1379" s="22"/>
      <c r="R1379" s="23"/>
      <c r="S1379" s="22">
        <f t="shared" si="605"/>
        <v>0</v>
      </c>
      <c r="T1379" s="24" t="e">
        <f t="shared" si="606"/>
        <v>#N/A</v>
      </c>
      <c r="U1379" s="37">
        <v>101203400</v>
      </c>
      <c r="V1379" s="42" t="s">
        <v>574</v>
      </c>
      <c r="W1379" s="37">
        <v>101203400</v>
      </c>
      <c r="X1379" s="47">
        <v>2500</v>
      </c>
      <c r="Y1379" s="48" t="s">
        <v>575</v>
      </c>
      <c r="Z1379" s="49">
        <v>101203400</v>
      </c>
      <c r="AA1379" s="46" t="s">
        <v>576</v>
      </c>
    </row>
    <row r="1380" spans="1:28" s="42" customFormat="1" ht="48.2" customHeight="1" x14ac:dyDescent="0.25">
      <c r="A1380" s="17" t="e">
        <f>VLOOKUP(C1380,[1]Werke!$A$1:$C$168,3,0)</f>
        <v>#N/A</v>
      </c>
      <c r="B1380" s="17" t="e">
        <f>VLOOKUP(C1380,[1]Werke!$A$1:$C$168,2,0)</f>
        <v>#N/A</v>
      </c>
      <c r="C1380" s="18"/>
      <c r="D1380" s="17" t="e">
        <f>VLOOKUP(C1380,[1]Maliteslimalan!$A$1:$B$210,2,0)</f>
        <v>#N/A</v>
      </c>
      <c r="E1380" s="19" t="e">
        <f>VLOOKUP(C1380,[1]Bestellnr.!$A$1:$B$174,2,0)</f>
        <v>#N/A</v>
      </c>
      <c r="F1380" s="20" t="e">
        <f t="shared" si="599"/>
        <v>#N/A</v>
      </c>
      <c r="G1380" s="17"/>
      <c r="H1380" s="17" t="e">
        <f t="shared" si="600"/>
        <v>#N/A</v>
      </c>
      <c r="I1380" s="20"/>
      <c r="J1380" s="17" t="e">
        <f t="shared" si="601"/>
        <v>#N/A</v>
      </c>
      <c r="K1380" s="17" t="e">
        <f t="shared" si="602"/>
        <v>#N/A</v>
      </c>
      <c r="L1380" s="22"/>
      <c r="M1380" s="22"/>
      <c r="N1380" s="22"/>
      <c r="O1380" s="22" t="e">
        <f t="shared" si="603"/>
        <v>#N/A</v>
      </c>
      <c r="P1380" s="22">
        <f t="shared" si="604"/>
        <v>0</v>
      </c>
      <c r="Q1380" s="22"/>
      <c r="R1380" s="23"/>
      <c r="S1380" s="22">
        <f t="shared" si="605"/>
        <v>0</v>
      </c>
      <c r="T1380" s="24" t="e">
        <f t="shared" si="606"/>
        <v>#N/A</v>
      </c>
      <c r="U1380" s="37">
        <v>101203500</v>
      </c>
      <c r="V1380" s="42" t="s">
        <v>577</v>
      </c>
      <c r="W1380" s="37">
        <v>101203500</v>
      </c>
      <c r="X1380" s="47">
        <v>800</v>
      </c>
      <c r="Y1380" s="48" t="s">
        <v>578</v>
      </c>
      <c r="Z1380" s="49">
        <v>101203500</v>
      </c>
      <c r="AA1380" s="46" t="s">
        <v>579</v>
      </c>
    </row>
    <row r="1381" spans="1:28" s="42" customFormat="1" ht="48.2" customHeight="1" x14ac:dyDescent="0.25">
      <c r="A1381" s="17" t="e">
        <f>VLOOKUP(C1381,[1]Werke!$A$1:$C$168,3,0)</f>
        <v>#N/A</v>
      </c>
      <c r="B1381" s="17" t="e">
        <f>VLOOKUP(C1381,[1]Werke!$A$1:$C$168,2,0)</f>
        <v>#N/A</v>
      </c>
      <c r="C1381" s="18"/>
      <c r="D1381" s="17" t="e">
        <f>VLOOKUP(C1381,[1]Maliteslimalan!$A$1:$B$210,2,0)</f>
        <v>#N/A</v>
      </c>
      <c r="E1381" s="19" t="e">
        <f>VLOOKUP(C1381,[1]Bestellnr.!$A$1:$B$174,2,0)</f>
        <v>#N/A</v>
      </c>
      <c r="F1381" s="20" t="e">
        <f t="shared" si="599"/>
        <v>#N/A</v>
      </c>
      <c r="G1381" s="17"/>
      <c r="H1381" s="17" t="e">
        <f t="shared" si="600"/>
        <v>#N/A</v>
      </c>
      <c r="I1381" s="20"/>
      <c r="J1381" s="17" t="e">
        <f t="shared" si="601"/>
        <v>#N/A</v>
      </c>
      <c r="K1381" s="17" t="e">
        <f t="shared" si="602"/>
        <v>#N/A</v>
      </c>
      <c r="L1381" s="22"/>
      <c r="M1381" s="22"/>
      <c r="N1381" s="22"/>
      <c r="O1381" s="22" t="e">
        <f t="shared" si="603"/>
        <v>#N/A</v>
      </c>
      <c r="P1381" s="22">
        <f t="shared" si="604"/>
        <v>0</v>
      </c>
      <c r="Q1381" s="22"/>
      <c r="R1381" s="23"/>
      <c r="S1381" s="22">
        <f t="shared" si="605"/>
        <v>0</v>
      </c>
      <c r="T1381" s="24" t="e">
        <f t="shared" si="606"/>
        <v>#N/A</v>
      </c>
      <c r="U1381" s="37">
        <v>120042100</v>
      </c>
      <c r="V1381" s="42" t="s">
        <v>580</v>
      </c>
      <c r="W1381" s="37">
        <v>120042100</v>
      </c>
      <c r="X1381" s="47">
        <v>4000</v>
      </c>
      <c r="Y1381" s="48" t="s">
        <v>581</v>
      </c>
      <c r="Z1381" s="49">
        <v>120042100</v>
      </c>
      <c r="AA1381" s="46" t="s">
        <v>582</v>
      </c>
    </row>
    <row r="1382" spans="1:28" s="42" customFormat="1" ht="48.2" customHeight="1" x14ac:dyDescent="0.25">
      <c r="A1382" s="17" t="e">
        <f>VLOOKUP(C1382,[1]Werke!$A$1:$C$168,3,0)</f>
        <v>#N/A</v>
      </c>
      <c r="B1382" s="17" t="e">
        <f>VLOOKUP(C1382,[1]Werke!$A$1:$C$168,2,0)</f>
        <v>#N/A</v>
      </c>
      <c r="C1382" s="18"/>
      <c r="D1382" s="17" t="e">
        <f>VLOOKUP(C1382,[1]Maliteslimalan!$A$1:$B$210,2,0)</f>
        <v>#N/A</v>
      </c>
      <c r="E1382" s="19" t="e">
        <f>VLOOKUP(C1382,[1]Bestellnr.!$A$1:$B$174,2,0)</f>
        <v>#N/A</v>
      </c>
      <c r="F1382" s="20" t="e">
        <f t="shared" si="599"/>
        <v>#N/A</v>
      </c>
      <c r="G1382" s="17"/>
      <c r="H1382" s="17" t="e">
        <f t="shared" si="600"/>
        <v>#N/A</v>
      </c>
      <c r="I1382" s="20"/>
      <c r="J1382" s="17" t="e">
        <f t="shared" si="601"/>
        <v>#N/A</v>
      </c>
      <c r="K1382" s="17" t="e">
        <f t="shared" si="602"/>
        <v>#N/A</v>
      </c>
      <c r="L1382" s="22"/>
      <c r="M1382" s="22"/>
      <c r="N1382" s="22"/>
      <c r="O1382" s="22" t="e">
        <f t="shared" si="603"/>
        <v>#N/A</v>
      </c>
      <c r="P1382" s="22">
        <f t="shared" si="604"/>
        <v>0</v>
      </c>
      <c r="Q1382" s="22"/>
      <c r="R1382" s="23"/>
      <c r="S1382" s="22">
        <f t="shared" si="605"/>
        <v>0</v>
      </c>
      <c r="T1382" s="24" t="e">
        <f t="shared" si="606"/>
        <v>#N/A</v>
      </c>
      <c r="U1382" s="37">
        <v>170002446</v>
      </c>
      <c r="V1382" s="42" t="s">
        <v>583</v>
      </c>
      <c r="W1382" s="37">
        <v>170002446</v>
      </c>
      <c r="X1382" s="47">
        <v>1000</v>
      </c>
      <c r="Y1382" s="48" t="s">
        <v>584</v>
      </c>
      <c r="Z1382" s="49">
        <v>170002446</v>
      </c>
      <c r="AA1382" s="46" t="s">
        <v>585</v>
      </c>
    </row>
    <row r="1383" spans="1:28" ht="48.2" customHeight="1" x14ac:dyDescent="0.25">
      <c r="A1383" s="17" t="e">
        <f>VLOOKUP(C1383,[1]Werke!$A$1:$C$168,3,0)</f>
        <v>#N/A</v>
      </c>
      <c r="B1383" s="17" t="e">
        <f>VLOOKUP(C1383,[1]Werke!$A$1:$C$168,2,0)</f>
        <v>#N/A</v>
      </c>
      <c r="C1383" s="18"/>
      <c r="D1383" s="17" t="e">
        <f>VLOOKUP(C1383,[1]Maliteslimalan!$A$1:$B$210,2,0)</f>
        <v>#N/A</v>
      </c>
      <c r="E1383" s="19" t="e">
        <f>VLOOKUP(C1383,[1]Bestellnr.!$A$1:$B$174,2,0)</f>
        <v>#N/A</v>
      </c>
      <c r="F1383" s="20" t="e">
        <f t="shared" si="599"/>
        <v>#N/A</v>
      </c>
      <c r="G1383" s="17"/>
      <c r="H1383" s="17" t="e">
        <f t="shared" si="600"/>
        <v>#N/A</v>
      </c>
      <c r="I1383" s="20"/>
      <c r="J1383" s="17" t="e">
        <f t="shared" si="601"/>
        <v>#N/A</v>
      </c>
      <c r="K1383" s="17" t="e">
        <f t="shared" si="602"/>
        <v>#N/A</v>
      </c>
      <c r="L1383" s="22"/>
      <c r="M1383" s="22"/>
      <c r="N1383" s="22"/>
      <c r="O1383" s="22" t="e">
        <f t="shared" si="603"/>
        <v>#N/A</v>
      </c>
      <c r="P1383" s="22">
        <f t="shared" si="604"/>
        <v>0</v>
      </c>
      <c r="Q1383" s="22"/>
      <c r="R1383" s="23"/>
      <c r="S1383" s="22">
        <f t="shared" si="605"/>
        <v>0</v>
      </c>
      <c r="T1383" s="24" t="e">
        <f t="shared" si="606"/>
        <v>#N/A</v>
      </c>
      <c r="U1383" s="37">
        <v>932803000</v>
      </c>
      <c r="V1383" s="42" t="s">
        <v>586</v>
      </c>
      <c r="W1383" s="37">
        <v>932803000</v>
      </c>
      <c r="X1383" s="47">
        <v>800</v>
      </c>
      <c r="Y1383" s="48" t="s">
        <v>587</v>
      </c>
      <c r="Z1383" s="49">
        <v>932803000</v>
      </c>
      <c r="AA1383" s="46">
        <v>1.469E-2</v>
      </c>
      <c r="AB1383" s="46"/>
    </row>
    <row r="1384" spans="1:28" ht="48.2" customHeight="1" x14ac:dyDescent="0.25">
      <c r="A1384" s="17" t="e">
        <f>VLOOKUP(C1384,[1]Werke!$A$1:$C$168,3,0)</f>
        <v>#N/A</v>
      </c>
      <c r="B1384" s="17" t="e">
        <f>VLOOKUP(C1384,[1]Werke!$A$1:$C$168,2,0)</f>
        <v>#N/A</v>
      </c>
      <c r="C1384" s="18"/>
      <c r="D1384" s="17" t="e">
        <f>VLOOKUP(C1384,[1]Maliteslimalan!$A$1:$B$210,2,0)</f>
        <v>#N/A</v>
      </c>
      <c r="E1384" s="19" t="e">
        <f>VLOOKUP(C1384,[1]Bestellnr.!$A$1:$B$174,2,0)</f>
        <v>#N/A</v>
      </c>
      <c r="F1384" s="20" t="e">
        <f t="shared" si="599"/>
        <v>#N/A</v>
      </c>
      <c r="G1384" s="17"/>
      <c r="H1384" s="17" t="e">
        <f t="shared" si="600"/>
        <v>#N/A</v>
      </c>
      <c r="I1384" s="20"/>
      <c r="J1384" s="17" t="e">
        <f t="shared" si="601"/>
        <v>#N/A</v>
      </c>
      <c r="K1384" s="17" t="e">
        <f t="shared" si="602"/>
        <v>#N/A</v>
      </c>
      <c r="L1384" s="22"/>
      <c r="M1384" s="22"/>
      <c r="N1384" s="22"/>
      <c r="O1384" s="22" t="e">
        <f t="shared" si="603"/>
        <v>#N/A</v>
      </c>
      <c r="P1384" s="22">
        <f t="shared" si="604"/>
        <v>0</v>
      </c>
      <c r="Q1384" s="22"/>
      <c r="R1384" s="23"/>
      <c r="S1384" s="22">
        <f t="shared" si="605"/>
        <v>0</v>
      </c>
      <c r="T1384" s="24" t="e">
        <f t="shared" si="606"/>
        <v>#N/A</v>
      </c>
      <c r="U1384" s="37">
        <v>930730000</v>
      </c>
      <c r="V1384" s="42" t="s">
        <v>588</v>
      </c>
      <c r="W1384" s="37">
        <v>930730000</v>
      </c>
      <c r="X1384" s="47" t="s">
        <v>437</v>
      </c>
      <c r="Y1384" s="48" t="s">
        <v>589</v>
      </c>
      <c r="Z1384" s="49">
        <v>930730000</v>
      </c>
      <c r="AA1384" s="46">
        <v>1.5440000000000001E-2</v>
      </c>
      <c r="AB1384" s="46"/>
    </row>
    <row r="1385" spans="1:28" ht="48.2" customHeight="1" x14ac:dyDescent="0.25">
      <c r="A1385" s="17" t="e">
        <f>VLOOKUP(C1385,[1]Werke!$A$1:$C$168,3,0)</f>
        <v>#N/A</v>
      </c>
      <c r="B1385" s="17" t="e">
        <f>VLOOKUP(C1385,[1]Werke!$A$1:$C$168,2,0)</f>
        <v>#N/A</v>
      </c>
      <c r="C1385" s="18"/>
      <c r="D1385" s="17" t="e">
        <f>VLOOKUP(C1385,[1]Maliteslimalan!$A$1:$B$210,2,0)</f>
        <v>#N/A</v>
      </c>
      <c r="E1385" s="19" t="e">
        <f>VLOOKUP(C1385,[1]Bestellnr.!$A$1:$B$174,2,0)</f>
        <v>#N/A</v>
      </c>
      <c r="F1385" s="20" t="e">
        <f t="shared" si="599"/>
        <v>#N/A</v>
      </c>
      <c r="G1385" s="17"/>
      <c r="H1385" s="17" t="e">
        <f t="shared" si="600"/>
        <v>#N/A</v>
      </c>
      <c r="I1385" s="20"/>
      <c r="J1385" s="17" t="e">
        <f t="shared" si="601"/>
        <v>#N/A</v>
      </c>
      <c r="K1385" s="17" t="e">
        <f t="shared" si="602"/>
        <v>#N/A</v>
      </c>
      <c r="L1385" s="22"/>
      <c r="M1385" s="22"/>
      <c r="N1385" s="22"/>
      <c r="O1385" s="22" t="e">
        <f t="shared" si="603"/>
        <v>#N/A</v>
      </c>
      <c r="P1385" s="22">
        <f t="shared" si="604"/>
        <v>0</v>
      </c>
      <c r="Q1385" s="22"/>
      <c r="R1385" s="23"/>
      <c r="S1385" s="22">
        <f t="shared" si="605"/>
        <v>0</v>
      </c>
      <c r="T1385" s="24" t="e">
        <f t="shared" si="606"/>
        <v>#N/A</v>
      </c>
      <c r="U1385" s="37">
        <v>930789003</v>
      </c>
      <c r="V1385" s="42" t="s">
        <v>590</v>
      </c>
      <c r="W1385" s="37">
        <v>930789003</v>
      </c>
      <c r="X1385" s="47">
        <v>120</v>
      </c>
      <c r="Y1385" s="48" t="s">
        <v>591</v>
      </c>
      <c r="Z1385" s="49">
        <v>930789003</v>
      </c>
      <c r="AA1385" s="46">
        <v>0.10407</v>
      </c>
      <c r="AB1385" s="46"/>
    </row>
    <row r="1386" spans="1:28" ht="48.2" customHeight="1" x14ac:dyDescent="0.25">
      <c r="A1386" s="17" t="e">
        <f>VLOOKUP(C1386,[1]Werke!$A$1:$C$168,3,0)</f>
        <v>#N/A</v>
      </c>
      <c r="B1386" s="17" t="e">
        <f>VLOOKUP(C1386,[1]Werke!$A$1:$C$168,2,0)</f>
        <v>#N/A</v>
      </c>
      <c r="C1386" s="18"/>
      <c r="D1386" s="17" t="e">
        <f>VLOOKUP(C1386,[1]Maliteslimalan!$A$1:$B$210,2,0)</f>
        <v>#N/A</v>
      </c>
      <c r="E1386" s="19" t="e">
        <f>VLOOKUP(C1386,[1]Bestellnr.!$A$1:$B$174,2,0)</f>
        <v>#N/A</v>
      </c>
      <c r="F1386" s="20" t="e">
        <f t="shared" si="599"/>
        <v>#N/A</v>
      </c>
      <c r="G1386" s="17"/>
      <c r="H1386" s="17" t="e">
        <f t="shared" si="600"/>
        <v>#N/A</v>
      </c>
      <c r="I1386" s="20"/>
      <c r="J1386" s="17" t="e">
        <f t="shared" si="601"/>
        <v>#N/A</v>
      </c>
      <c r="K1386" s="17" t="e">
        <f t="shared" si="602"/>
        <v>#N/A</v>
      </c>
      <c r="L1386" s="22"/>
      <c r="M1386" s="22"/>
      <c r="N1386" s="22"/>
      <c r="O1386" s="22" t="e">
        <f t="shared" si="603"/>
        <v>#N/A</v>
      </c>
      <c r="P1386" s="22">
        <f t="shared" si="604"/>
        <v>0</v>
      </c>
      <c r="Q1386" s="22"/>
      <c r="R1386" s="23"/>
      <c r="S1386" s="22">
        <f t="shared" si="605"/>
        <v>0</v>
      </c>
      <c r="T1386" s="24" t="e">
        <f t="shared" si="606"/>
        <v>#N/A</v>
      </c>
      <c r="U1386" s="37">
        <v>931781000</v>
      </c>
      <c r="V1386" s="42" t="s">
        <v>517</v>
      </c>
      <c r="W1386" s="37">
        <v>931781000</v>
      </c>
      <c r="X1386" s="47">
        <v>300</v>
      </c>
      <c r="Y1386" s="48" t="s">
        <v>592</v>
      </c>
      <c r="Z1386" s="49">
        <v>931781000</v>
      </c>
      <c r="AA1386" s="46">
        <v>3.6630000000000003E-2</v>
      </c>
      <c r="AB1386" s="46"/>
    </row>
    <row r="1387" spans="1:28" ht="48.2" customHeight="1" x14ac:dyDescent="0.25">
      <c r="A1387" s="17" t="e">
        <f>VLOOKUP(C1387,[1]Werke!$A$1:$C$168,3,0)</f>
        <v>#N/A</v>
      </c>
      <c r="B1387" s="17" t="e">
        <f>VLOOKUP(C1387,[1]Werke!$A$1:$C$168,2,0)</f>
        <v>#N/A</v>
      </c>
      <c r="C1387" s="18"/>
      <c r="D1387" s="17" t="e">
        <f>VLOOKUP(C1387,[1]Maliteslimalan!$A$1:$B$210,2,0)</f>
        <v>#N/A</v>
      </c>
      <c r="E1387" s="19" t="e">
        <f>VLOOKUP(C1387,[1]Bestellnr.!$A$1:$B$174,2,0)</f>
        <v>#N/A</v>
      </c>
      <c r="F1387" s="20" t="e">
        <f t="shared" si="599"/>
        <v>#N/A</v>
      </c>
      <c r="G1387" s="17"/>
      <c r="H1387" s="17" t="e">
        <f t="shared" si="600"/>
        <v>#N/A</v>
      </c>
      <c r="I1387" s="20"/>
      <c r="J1387" s="17" t="e">
        <f t="shared" si="601"/>
        <v>#N/A</v>
      </c>
      <c r="K1387" s="17" t="e">
        <f t="shared" si="602"/>
        <v>#N/A</v>
      </c>
      <c r="L1387" s="22"/>
      <c r="M1387" s="22"/>
      <c r="N1387" s="22"/>
      <c r="O1387" s="22" t="e">
        <f t="shared" si="603"/>
        <v>#N/A</v>
      </c>
      <c r="P1387" s="22">
        <f t="shared" si="604"/>
        <v>0</v>
      </c>
      <c r="Q1387" s="22"/>
      <c r="R1387" s="23"/>
      <c r="S1387" s="22">
        <f t="shared" si="605"/>
        <v>0</v>
      </c>
      <c r="T1387" s="24" t="e">
        <f t="shared" si="606"/>
        <v>#N/A</v>
      </c>
      <c r="U1387" s="37">
        <v>936769000</v>
      </c>
      <c r="V1387" s="42" t="s">
        <v>593</v>
      </c>
      <c r="W1387" s="37">
        <v>936769000</v>
      </c>
      <c r="X1387" s="47">
        <v>40</v>
      </c>
      <c r="Y1387" s="48" t="s">
        <v>594</v>
      </c>
      <c r="Z1387" s="49">
        <v>936769000</v>
      </c>
      <c r="AA1387" s="46">
        <v>0.22858000000000001</v>
      </c>
      <c r="AB1387" s="46"/>
    </row>
    <row r="1388" spans="1:28" ht="48.2" customHeight="1" x14ac:dyDescent="0.25">
      <c r="A1388" s="17" t="e">
        <f>VLOOKUP(C1388,[1]Werke!$A$1:$C$168,3,0)</f>
        <v>#N/A</v>
      </c>
      <c r="B1388" s="17" t="e">
        <f>VLOOKUP(C1388,[1]Werke!$A$1:$C$168,2,0)</f>
        <v>#N/A</v>
      </c>
      <c r="C1388" s="18"/>
      <c r="D1388" s="17" t="e">
        <f>VLOOKUP(C1388,[1]Maliteslimalan!$A$1:$B$210,2,0)</f>
        <v>#N/A</v>
      </c>
      <c r="E1388" s="19" t="e">
        <f>VLOOKUP(C1388,[1]Bestellnr.!$A$1:$B$174,2,0)</f>
        <v>#N/A</v>
      </c>
      <c r="F1388" s="20" t="e">
        <f t="shared" si="599"/>
        <v>#N/A</v>
      </c>
      <c r="G1388" s="17"/>
      <c r="H1388" s="17" t="e">
        <f t="shared" si="600"/>
        <v>#N/A</v>
      </c>
      <c r="I1388" s="20"/>
      <c r="J1388" s="17" t="e">
        <f t="shared" si="601"/>
        <v>#N/A</v>
      </c>
      <c r="K1388" s="17" t="e">
        <f t="shared" si="602"/>
        <v>#N/A</v>
      </c>
      <c r="L1388" s="22"/>
      <c r="M1388" s="22"/>
      <c r="N1388" s="22"/>
      <c r="O1388" s="22" t="e">
        <f t="shared" si="603"/>
        <v>#N/A</v>
      </c>
      <c r="P1388" s="22">
        <f t="shared" si="604"/>
        <v>0</v>
      </c>
      <c r="Q1388" s="22"/>
      <c r="R1388" s="23"/>
      <c r="S1388" s="22">
        <f t="shared" si="605"/>
        <v>0</v>
      </c>
      <c r="T1388" s="24" t="e">
        <f t="shared" si="606"/>
        <v>#N/A</v>
      </c>
      <c r="U1388" s="37">
        <v>932125000</v>
      </c>
      <c r="V1388" s="42" t="s">
        <v>595</v>
      </c>
      <c r="W1388" s="37">
        <v>932125000</v>
      </c>
      <c r="X1388" s="47">
        <v>500</v>
      </c>
      <c r="Y1388" s="48" t="s">
        <v>596</v>
      </c>
      <c r="Z1388" s="49">
        <v>932125000</v>
      </c>
      <c r="AA1388" s="46">
        <v>1.9730000000000001E-2</v>
      </c>
      <c r="AB1388" s="46"/>
    </row>
    <row r="1389" spans="1:28" ht="48.2" customHeight="1" x14ac:dyDescent="0.25">
      <c r="A1389" s="17" t="e">
        <f>VLOOKUP(C1389,[1]Werke!$A$1:$C$168,3,0)</f>
        <v>#N/A</v>
      </c>
      <c r="B1389" s="17" t="e">
        <f>VLOOKUP(C1389,[1]Werke!$A$1:$C$168,2,0)</f>
        <v>#N/A</v>
      </c>
      <c r="C1389" s="18"/>
      <c r="D1389" s="17" t="e">
        <f>VLOOKUP(C1389,[1]Maliteslimalan!$A$1:$B$210,2,0)</f>
        <v>#N/A</v>
      </c>
      <c r="E1389" s="19" t="e">
        <f>VLOOKUP(C1389,[1]Bestellnr.!$A$1:$B$174,2,0)</f>
        <v>#N/A</v>
      </c>
      <c r="F1389" s="20" t="e">
        <f t="shared" si="599"/>
        <v>#N/A</v>
      </c>
      <c r="G1389" s="17"/>
      <c r="H1389" s="17" t="e">
        <f t="shared" si="600"/>
        <v>#N/A</v>
      </c>
      <c r="I1389" s="20"/>
      <c r="J1389" s="17" t="e">
        <f t="shared" si="601"/>
        <v>#N/A</v>
      </c>
      <c r="K1389" s="17" t="e">
        <f t="shared" si="602"/>
        <v>#N/A</v>
      </c>
      <c r="L1389" s="22"/>
      <c r="M1389" s="22"/>
      <c r="N1389" s="22"/>
      <c r="O1389" s="22" t="e">
        <f t="shared" si="603"/>
        <v>#N/A</v>
      </c>
      <c r="P1389" s="22">
        <f t="shared" si="604"/>
        <v>0</v>
      </c>
      <c r="Q1389" s="22"/>
      <c r="R1389" s="23"/>
      <c r="S1389" s="22">
        <f t="shared" si="605"/>
        <v>0</v>
      </c>
      <c r="T1389" s="24" t="e">
        <f t="shared" si="606"/>
        <v>#N/A</v>
      </c>
      <c r="U1389" s="37">
        <v>968160000</v>
      </c>
      <c r="V1389" s="42" t="s">
        <v>597</v>
      </c>
      <c r="W1389" s="37">
        <v>968160000</v>
      </c>
      <c r="X1389" s="47">
        <v>800</v>
      </c>
      <c r="Y1389" s="48" t="s">
        <v>598</v>
      </c>
      <c r="Z1389" s="49">
        <v>968160000</v>
      </c>
      <c r="AA1389" s="46">
        <v>1.677E-2</v>
      </c>
      <c r="AB1389" s="46"/>
    </row>
    <row r="1390" spans="1:28" ht="48.2" customHeight="1" x14ac:dyDescent="0.25">
      <c r="A1390" s="17" t="e">
        <f>VLOOKUP(C1390,[1]Werke!$A$1:$C$168,3,0)</f>
        <v>#N/A</v>
      </c>
      <c r="B1390" s="17" t="e">
        <f>VLOOKUP(C1390,[1]Werke!$A$1:$C$168,2,0)</f>
        <v>#N/A</v>
      </c>
      <c r="C1390" s="18"/>
      <c r="D1390" s="17" t="e">
        <f>VLOOKUP(C1390,[1]Maliteslimalan!$A$1:$B$210,2,0)</f>
        <v>#N/A</v>
      </c>
      <c r="E1390" s="19" t="e">
        <f>VLOOKUP(C1390,[1]Bestellnr.!$A$1:$B$174,2,0)</f>
        <v>#N/A</v>
      </c>
      <c r="F1390" s="20" t="e">
        <f t="shared" si="599"/>
        <v>#N/A</v>
      </c>
      <c r="G1390" s="17"/>
      <c r="H1390" s="17" t="e">
        <f t="shared" si="600"/>
        <v>#N/A</v>
      </c>
      <c r="I1390" s="20"/>
      <c r="J1390" s="17" t="e">
        <f t="shared" si="601"/>
        <v>#N/A</v>
      </c>
      <c r="K1390" s="17" t="e">
        <f t="shared" si="602"/>
        <v>#N/A</v>
      </c>
      <c r="L1390" s="22"/>
      <c r="M1390" s="22"/>
      <c r="N1390" s="22"/>
      <c r="O1390" s="22" t="e">
        <f t="shared" si="603"/>
        <v>#N/A</v>
      </c>
      <c r="P1390" s="22">
        <f t="shared" si="604"/>
        <v>0</v>
      </c>
      <c r="Q1390" s="22"/>
      <c r="R1390" s="23"/>
      <c r="S1390" s="22">
        <f t="shared" si="605"/>
        <v>0</v>
      </c>
      <c r="T1390" s="24" t="e">
        <f t="shared" si="606"/>
        <v>#N/A</v>
      </c>
      <c r="U1390" s="37">
        <v>932595000</v>
      </c>
      <c r="V1390" s="42" t="s">
        <v>599</v>
      </c>
      <c r="W1390" s="37">
        <v>932595000</v>
      </c>
      <c r="X1390" s="47">
        <v>400</v>
      </c>
      <c r="Y1390" s="48" t="s">
        <v>600</v>
      </c>
      <c r="Z1390" s="49">
        <v>932595000</v>
      </c>
      <c r="AA1390" s="46">
        <v>2.069E-2</v>
      </c>
      <c r="AB1390" s="46"/>
    </row>
    <row r="1391" spans="1:28" ht="48.2" customHeight="1" x14ac:dyDescent="0.25">
      <c r="A1391" s="17" t="e">
        <f>VLOOKUP(C1391,[1]Werke!$A$1:$C$168,3,0)</f>
        <v>#N/A</v>
      </c>
      <c r="B1391" s="17" t="e">
        <f>VLOOKUP(C1391,[1]Werke!$A$1:$C$168,2,0)</f>
        <v>#N/A</v>
      </c>
      <c r="C1391" s="18"/>
      <c r="D1391" s="17" t="e">
        <f>VLOOKUP(C1391,[1]Maliteslimalan!$A$1:$B$210,2,0)</f>
        <v>#N/A</v>
      </c>
      <c r="E1391" s="19" t="e">
        <f>VLOOKUP(C1391,[1]Bestellnr.!$A$1:$B$174,2,0)</f>
        <v>#N/A</v>
      </c>
      <c r="F1391" s="20" t="e">
        <f t="shared" si="599"/>
        <v>#N/A</v>
      </c>
      <c r="G1391" s="17"/>
      <c r="H1391" s="17" t="e">
        <f t="shared" si="600"/>
        <v>#N/A</v>
      </c>
      <c r="I1391" s="20"/>
      <c r="J1391" s="17" t="e">
        <f t="shared" si="601"/>
        <v>#N/A</v>
      </c>
      <c r="K1391" s="17" t="e">
        <f t="shared" si="602"/>
        <v>#N/A</v>
      </c>
      <c r="L1391" s="22"/>
      <c r="M1391" s="22"/>
      <c r="N1391" s="22"/>
      <c r="O1391" s="22" t="e">
        <f t="shared" si="603"/>
        <v>#N/A</v>
      </c>
      <c r="P1391" s="22">
        <f t="shared" si="604"/>
        <v>0</v>
      </c>
      <c r="Q1391" s="22"/>
      <c r="R1391" s="23"/>
      <c r="S1391" s="22">
        <f t="shared" si="605"/>
        <v>0</v>
      </c>
      <c r="T1391" s="24" t="e">
        <f t="shared" si="606"/>
        <v>#N/A</v>
      </c>
      <c r="U1391" s="37">
        <v>932764000</v>
      </c>
      <c r="V1391" s="42" t="s">
        <v>601</v>
      </c>
      <c r="W1391" s="37">
        <v>932764000</v>
      </c>
      <c r="X1391" s="47">
        <v>385</v>
      </c>
      <c r="Y1391" s="48" t="s">
        <v>602</v>
      </c>
      <c r="Z1391" s="49">
        <v>932764000</v>
      </c>
      <c r="AA1391" s="46">
        <v>3.6850000000000001E-2</v>
      </c>
      <c r="AB1391" s="46"/>
    </row>
    <row r="1392" spans="1:28" ht="48.2" customHeight="1" x14ac:dyDescent="0.25">
      <c r="A1392" s="17" t="e">
        <f>VLOOKUP(C1392,[1]Werke!$A$1:$C$168,3,0)</f>
        <v>#N/A</v>
      </c>
      <c r="B1392" s="17" t="e">
        <f>VLOOKUP(C1392,[1]Werke!$A$1:$C$168,2,0)</f>
        <v>#N/A</v>
      </c>
      <c r="C1392" s="18"/>
      <c r="D1392" s="17" t="e">
        <f>VLOOKUP(C1392,[1]Maliteslimalan!$A$1:$B$210,2,0)</f>
        <v>#N/A</v>
      </c>
      <c r="E1392" s="19" t="e">
        <f>VLOOKUP(C1392,[1]Bestellnr.!$A$1:$B$174,2,0)</f>
        <v>#N/A</v>
      </c>
      <c r="F1392" s="20" t="e">
        <f t="shared" si="599"/>
        <v>#N/A</v>
      </c>
      <c r="G1392" s="17"/>
      <c r="H1392" s="17" t="e">
        <f t="shared" si="600"/>
        <v>#N/A</v>
      </c>
      <c r="I1392" s="20"/>
      <c r="J1392" s="17" t="e">
        <f t="shared" si="601"/>
        <v>#N/A</v>
      </c>
      <c r="K1392" s="17" t="e">
        <f t="shared" si="602"/>
        <v>#N/A</v>
      </c>
      <c r="L1392" s="22"/>
      <c r="M1392" s="22"/>
      <c r="N1392" s="22"/>
      <c r="O1392" s="22" t="e">
        <f t="shared" si="603"/>
        <v>#N/A</v>
      </c>
      <c r="P1392" s="22">
        <f t="shared" si="604"/>
        <v>0</v>
      </c>
      <c r="Q1392" s="22"/>
      <c r="R1392" s="23"/>
      <c r="S1392" s="22">
        <f t="shared" si="605"/>
        <v>0</v>
      </c>
      <c r="T1392" s="24" t="e">
        <f t="shared" si="606"/>
        <v>#N/A</v>
      </c>
      <c r="U1392" s="38">
        <v>100302300</v>
      </c>
      <c r="V1392" s="42" t="s">
        <v>603</v>
      </c>
      <c r="W1392" s="38">
        <v>100302300</v>
      </c>
      <c r="X1392" s="47">
        <v>300</v>
      </c>
      <c r="Y1392" s="48" t="s">
        <v>604</v>
      </c>
      <c r="Z1392" s="48">
        <v>100302300</v>
      </c>
      <c r="AA1392" s="46">
        <v>5.0619999999999998E-2</v>
      </c>
      <c r="AB1392" s="46"/>
    </row>
    <row r="1393" spans="1:28" ht="48.2" customHeight="1" x14ac:dyDescent="0.25">
      <c r="A1393" s="17" t="e">
        <f>VLOOKUP(C1393,[1]Werke!$A$1:$C$168,3,0)</f>
        <v>#N/A</v>
      </c>
      <c r="B1393" s="17" t="e">
        <f>VLOOKUP(C1393,[1]Werke!$A$1:$C$168,2,0)</f>
        <v>#N/A</v>
      </c>
      <c r="C1393" s="18"/>
      <c r="D1393" s="17" t="e">
        <f>VLOOKUP(C1393,[1]Maliteslimalan!$A$1:$B$210,2,0)</f>
        <v>#N/A</v>
      </c>
      <c r="E1393" s="19" t="e">
        <f>VLOOKUP(C1393,[1]Bestellnr.!$A$1:$B$174,2,0)</f>
        <v>#N/A</v>
      </c>
      <c r="F1393" s="20" t="e">
        <f t="shared" si="599"/>
        <v>#N/A</v>
      </c>
      <c r="G1393" s="17"/>
      <c r="H1393" s="17" t="e">
        <f t="shared" si="600"/>
        <v>#N/A</v>
      </c>
      <c r="I1393" s="20"/>
      <c r="J1393" s="17" t="e">
        <f t="shared" si="601"/>
        <v>#N/A</v>
      </c>
      <c r="K1393" s="17" t="e">
        <f t="shared" si="602"/>
        <v>#N/A</v>
      </c>
      <c r="L1393" s="22"/>
      <c r="M1393" s="22"/>
      <c r="N1393" s="22"/>
      <c r="O1393" s="22" t="e">
        <f t="shared" si="603"/>
        <v>#N/A</v>
      </c>
      <c r="P1393" s="22">
        <f t="shared" si="604"/>
        <v>0</v>
      </c>
      <c r="Q1393" s="22"/>
      <c r="R1393" s="23"/>
      <c r="S1393" s="22">
        <f t="shared" si="605"/>
        <v>0</v>
      </c>
      <c r="T1393" s="24" t="e">
        <f t="shared" si="606"/>
        <v>#N/A</v>
      </c>
      <c r="U1393" s="37">
        <v>932885000</v>
      </c>
      <c r="V1393" s="42" t="s">
        <v>605</v>
      </c>
      <c r="W1393" s="37">
        <v>932885000</v>
      </c>
      <c r="X1393" s="47">
        <v>400</v>
      </c>
      <c r="Y1393" s="48" t="s">
        <v>606</v>
      </c>
      <c r="Z1393" s="49">
        <v>932885000</v>
      </c>
      <c r="AA1393" s="46">
        <v>2.819E-2</v>
      </c>
      <c r="AB1393" s="46"/>
    </row>
    <row r="1394" spans="1:28" ht="48.2" customHeight="1" x14ac:dyDescent="0.25">
      <c r="A1394" s="17" t="e">
        <f>VLOOKUP(C1394,[1]Werke!$A$1:$C$168,3,0)</f>
        <v>#N/A</v>
      </c>
      <c r="B1394" s="17" t="e">
        <f>VLOOKUP(C1394,[1]Werke!$A$1:$C$168,2,0)</f>
        <v>#N/A</v>
      </c>
      <c r="C1394" s="18"/>
      <c r="D1394" s="17" t="e">
        <f>VLOOKUP(C1394,[1]Maliteslimalan!$A$1:$B$210,2,0)</f>
        <v>#N/A</v>
      </c>
      <c r="E1394" s="19" t="e">
        <f>VLOOKUP(C1394,[1]Bestellnr.!$A$1:$B$174,2,0)</f>
        <v>#N/A</v>
      </c>
      <c r="F1394" s="20" t="e">
        <f t="shared" si="599"/>
        <v>#N/A</v>
      </c>
      <c r="G1394" s="17"/>
      <c r="H1394" s="17" t="e">
        <f t="shared" si="600"/>
        <v>#N/A</v>
      </c>
      <c r="I1394" s="20"/>
      <c r="J1394" s="17" t="e">
        <f t="shared" si="601"/>
        <v>#N/A</v>
      </c>
      <c r="K1394" s="17" t="e">
        <f t="shared" si="602"/>
        <v>#N/A</v>
      </c>
      <c r="L1394" s="22"/>
      <c r="M1394" s="22"/>
      <c r="N1394" s="22"/>
      <c r="O1394" s="22" t="e">
        <f t="shared" si="603"/>
        <v>#N/A</v>
      </c>
      <c r="P1394" s="22">
        <f t="shared" si="604"/>
        <v>0</v>
      </c>
      <c r="Q1394" s="22"/>
      <c r="R1394" s="23"/>
      <c r="S1394" s="22">
        <f t="shared" si="605"/>
        <v>0</v>
      </c>
      <c r="T1394" s="24" t="e">
        <f t="shared" si="606"/>
        <v>#N/A</v>
      </c>
      <c r="U1394" s="37">
        <v>932765000</v>
      </c>
      <c r="V1394" s="42" t="s">
        <v>607</v>
      </c>
      <c r="W1394" s="37">
        <v>932765000</v>
      </c>
      <c r="X1394" s="47">
        <v>80</v>
      </c>
      <c r="Y1394" s="48" t="s">
        <v>608</v>
      </c>
      <c r="Z1394" s="49">
        <v>932765000</v>
      </c>
      <c r="AA1394" s="46">
        <v>0.10908</v>
      </c>
      <c r="AB1394" s="46"/>
    </row>
    <row r="1395" spans="1:28" ht="48.2" customHeight="1" x14ac:dyDescent="0.25">
      <c r="A1395" s="17" t="e">
        <f>VLOOKUP(C1395,[1]Werke!$A$1:$C$168,3,0)</f>
        <v>#N/A</v>
      </c>
      <c r="B1395" s="17" t="e">
        <f>VLOOKUP(C1395,[1]Werke!$A$1:$C$168,2,0)</f>
        <v>#N/A</v>
      </c>
      <c r="C1395" s="18"/>
      <c r="D1395" s="17" t="e">
        <f>VLOOKUP(C1395,[1]Maliteslimalan!$A$1:$B$210,2,0)</f>
        <v>#N/A</v>
      </c>
      <c r="E1395" s="19" t="e">
        <f>VLOOKUP(C1395,[1]Bestellnr.!$A$1:$B$174,2,0)</f>
        <v>#N/A</v>
      </c>
      <c r="F1395" s="20" t="e">
        <f t="shared" si="599"/>
        <v>#N/A</v>
      </c>
      <c r="G1395" s="17"/>
      <c r="H1395" s="17" t="e">
        <f t="shared" si="600"/>
        <v>#N/A</v>
      </c>
      <c r="I1395" s="20"/>
      <c r="J1395" s="17" t="e">
        <f t="shared" si="601"/>
        <v>#N/A</v>
      </c>
      <c r="K1395" s="17" t="e">
        <f t="shared" si="602"/>
        <v>#N/A</v>
      </c>
      <c r="L1395" s="22"/>
      <c r="M1395" s="22"/>
      <c r="N1395" s="22"/>
      <c r="O1395" s="22" t="e">
        <f t="shared" si="603"/>
        <v>#N/A</v>
      </c>
      <c r="P1395" s="22">
        <f t="shared" si="604"/>
        <v>0</v>
      </c>
      <c r="Q1395" s="22"/>
      <c r="R1395" s="23"/>
      <c r="S1395" s="22">
        <f t="shared" si="605"/>
        <v>0</v>
      </c>
      <c r="T1395" s="24" t="e">
        <f t="shared" si="606"/>
        <v>#N/A</v>
      </c>
      <c r="U1395" s="37">
        <v>934590000</v>
      </c>
      <c r="V1395" s="42" t="s">
        <v>609</v>
      </c>
      <c r="W1395" s="37">
        <v>934590000</v>
      </c>
      <c r="X1395" s="47">
        <v>1000</v>
      </c>
      <c r="Y1395" s="48" t="s">
        <v>610</v>
      </c>
      <c r="Z1395" s="49">
        <v>934590000</v>
      </c>
      <c r="AA1395" s="46">
        <v>9.1500000000000001E-3</v>
      </c>
      <c r="AB1395" s="46"/>
    </row>
    <row r="1396" spans="1:28" ht="48.2" customHeight="1" x14ac:dyDescent="0.25">
      <c r="A1396" s="17" t="e">
        <f>VLOOKUP(C1396,[1]Werke!$A$1:$C$168,3,0)</f>
        <v>#N/A</v>
      </c>
      <c r="B1396" s="17" t="e">
        <f>VLOOKUP(C1396,[1]Werke!$A$1:$C$168,2,0)</f>
        <v>#N/A</v>
      </c>
      <c r="C1396" s="18"/>
      <c r="D1396" s="17" t="e">
        <f>VLOOKUP(C1396,[1]Maliteslimalan!$A$1:$B$210,2,0)</f>
        <v>#N/A</v>
      </c>
      <c r="E1396" s="19" t="e">
        <f>VLOOKUP(C1396,[1]Bestellnr.!$A$1:$B$174,2,0)</f>
        <v>#N/A</v>
      </c>
      <c r="F1396" s="20" t="e">
        <f t="shared" si="599"/>
        <v>#N/A</v>
      </c>
      <c r="G1396" s="17"/>
      <c r="H1396" s="17" t="e">
        <f t="shared" si="600"/>
        <v>#N/A</v>
      </c>
      <c r="I1396" s="20"/>
      <c r="J1396" s="17" t="e">
        <f t="shared" si="601"/>
        <v>#N/A</v>
      </c>
      <c r="K1396" s="17" t="e">
        <f t="shared" si="602"/>
        <v>#N/A</v>
      </c>
      <c r="L1396" s="22"/>
      <c r="M1396" s="22"/>
      <c r="N1396" s="22"/>
      <c r="O1396" s="22" t="e">
        <f t="shared" si="603"/>
        <v>#N/A</v>
      </c>
      <c r="P1396" s="22">
        <f t="shared" si="604"/>
        <v>0</v>
      </c>
      <c r="Q1396" s="22"/>
      <c r="R1396" s="23"/>
      <c r="S1396" s="22">
        <f t="shared" si="605"/>
        <v>0</v>
      </c>
      <c r="T1396" s="24" t="e">
        <f t="shared" si="606"/>
        <v>#N/A</v>
      </c>
      <c r="U1396" s="37">
        <v>936010001</v>
      </c>
      <c r="V1396" s="42" t="s">
        <v>611</v>
      </c>
      <c r="W1396" s="37">
        <v>936010001</v>
      </c>
      <c r="X1396" s="47">
        <v>90</v>
      </c>
      <c r="Y1396" s="48" t="s">
        <v>612</v>
      </c>
      <c r="Z1396" s="49">
        <v>936010001</v>
      </c>
      <c r="AA1396" s="46">
        <v>0.13452</v>
      </c>
      <c r="AB1396" s="46"/>
    </row>
    <row r="1397" spans="1:28" ht="48.2" customHeight="1" x14ac:dyDescent="0.25">
      <c r="A1397" s="17" t="e">
        <f>VLOOKUP(C1397,[1]Werke!$A$1:$C$168,3,0)</f>
        <v>#N/A</v>
      </c>
      <c r="B1397" s="17" t="e">
        <f>VLOOKUP(C1397,[1]Werke!$A$1:$C$168,2,0)</f>
        <v>#N/A</v>
      </c>
      <c r="C1397" s="18"/>
      <c r="D1397" s="17" t="e">
        <f>VLOOKUP(C1397,[1]Maliteslimalan!$A$1:$B$210,2,0)</f>
        <v>#N/A</v>
      </c>
      <c r="E1397" s="19" t="e">
        <f>VLOOKUP(C1397,[1]Bestellnr.!$A$1:$B$174,2,0)</f>
        <v>#N/A</v>
      </c>
      <c r="F1397" s="20" t="e">
        <f t="shared" si="599"/>
        <v>#N/A</v>
      </c>
      <c r="G1397" s="17"/>
      <c r="H1397" s="17" t="e">
        <f t="shared" si="600"/>
        <v>#N/A</v>
      </c>
      <c r="I1397" s="20"/>
      <c r="J1397" s="17" t="e">
        <f t="shared" si="601"/>
        <v>#N/A</v>
      </c>
      <c r="K1397" s="17" t="e">
        <f t="shared" si="602"/>
        <v>#N/A</v>
      </c>
      <c r="L1397" s="22"/>
      <c r="M1397" s="22"/>
      <c r="N1397" s="22"/>
      <c r="O1397" s="22" t="e">
        <f t="shared" si="603"/>
        <v>#N/A</v>
      </c>
      <c r="P1397" s="22">
        <f t="shared" si="604"/>
        <v>0</v>
      </c>
      <c r="Q1397" s="22"/>
      <c r="R1397" s="23"/>
      <c r="S1397" s="22">
        <f t="shared" si="605"/>
        <v>0</v>
      </c>
      <c r="T1397" s="24" t="e">
        <f t="shared" si="606"/>
        <v>#N/A</v>
      </c>
      <c r="U1397" s="37">
        <v>936428000</v>
      </c>
      <c r="V1397" s="42" t="s">
        <v>613</v>
      </c>
      <c r="W1397" s="37">
        <v>936428000</v>
      </c>
      <c r="X1397" s="47" t="s">
        <v>614</v>
      </c>
      <c r="Y1397" s="48" t="s">
        <v>615</v>
      </c>
      <c r="Z1397" s="49">
        <v>936428000</v>
      </c>
      <c r="AA1397" s="46">
        <v>3.601E-2</v>
      </c>
      <c r="AB1397" s="46"/>
    </row>
    <row r="1398" spans="1:28" ht="48.2" customHeight="1" x14ac:dyDescent="0.25">
      <c r="A1398" s="17" t="e">
        <f>VLOOKUP(C1398,[1]Werke!$A$1:$C$168,3,0)</f>
        <v>#N/A</v>
      </c>
      <c r="B1398" s="17" t="e">
        <f>VLOOKUP(C1398,[1]Werke!$A$1:$C$168,2,0)</f>
        <v>#N/A</v>
      </c>
      <c r="C1398" s="18"/>
      <c r="D1398" s="17" t="e">
        <f>VLOOKUP(C1398,[1]Maliteslimalan!$A$1:$B$210,2,0)</f>
        <v>#N/A</v>
      </c>
      <c r="E1398" s="19" t="e">
        <f>VLOOKUP(C1398,[1]Bestellnr.!$A$1:$B$174,2,0)</f>
        <v>#N/A</v>
      </c>
      <c r="F1398" s="20" t="e">
        <f t="shared" si="599"/>
        <v>#N/A</v>
      </c>
      <c r="G1398" s="17"/>
      <c r="H1398" s="17" t="e">
        <f t="shared" si="600"/>
        <v>#N/A</v>
      </c>
      <c r="I1398" s="20"/>
      <c r="J1398" s="17" t="e">
        <f t="shared" si="601"/>
        <v>#N/A</v>
      </c>
      <c r="K1398" s="17" t="e">
        <f t="shared" si="602"/>
        <v>#N/A</v>
      </c>
      <c r="L1398" s="22"/>
      <c r="M1398" s="22"/>
      <c r="N1398" s="22"/>
      <c r="O1398" s="22" t="e">
        <f t="shared" si="603"/>
        <v>#N/A</v>
      </c>
      <c r="P1398" s="22">
        <f t="shared" si="604"/>
        <v>0</v>
      </c>
      <c r="Q1398" s="22"/>
      <c r="R1398" s="23"/>
      <c r="S1398" s="22">
        <f t="shared" si="605"/>
        <v>0</v>
      </c>
      <c r="T1398" s="24" t="e">
        <f t="shared" si="606"/>
        <v>#N/A</v>
      </c>
      <c r="U1398" s="37">
        <v>939495000</v>
      </c>
      <c r="V1398" s="42" t="s">
        <v>616</v>
      </c>
      <c r="W1398" s="37">
        <v>939495000</v>
      </c>
      <c r="X1398" s="47" t="s">
        <v>617</v>
      </c>
      <c r="Y1398" s="48" t="s">
        <v>618</v>
      </c>
      <c r="Z1398" s="49">
        <v>939495000</v>
      </c>
      <c r="AA1398" s="46">
        <v>8.0999999999999996E-3</v>
      </c>
      <c r="AB1398" s="46"/>
    </row>
    <row r="1399" spans="1:28" ht="48.2" customHeight="1" x14ac:dyDescent="0.25">
      <c r="A1399" s="17" t="e">
        <f>VLOOKUP(C1399,[1]Werke!$A$1:$C$168,3,0)</f>
        <v>#N/A</v>
      </c>
      <c r="B1399" s="17" t="e">
        <f>VLOOKUP(C1399,[1]Werke!$A$1:$C$168,2,0)</f>
        <v>#N/A</v>
      </c>
      <c r="C1399" s="18"/>
      <c r="D1399" s="17" t="e">
        <f>VLOOKUP(C1399,[1]Maliteslimalan!$A$1:$B$210,2,0)</f>
        <v>#N/A</v>
      </c>
      <c r="E1399" s="19" t="e">
        <f>VLOOKUP(C1399,[1]Bestellnr.!$A$1:$B$174,2,0)</f>
        <v>#N/A</v>
      </c>
      <c r="F1399" s="20" t="e">
        <f t="shared" si="599"/>
        <v>#N/A</v>
      </c>
      <c r="G1399" s="17"/>
      <c r="H1399" s="17" t="e">
        <f t="shared" si="600"/>
        <v>#N/A</v>
      </c>
      <c r="I1399" s="20"/>
      <c r="J1399" s="17" t="e">
        <f t="shared" si="601"/>
        <v>#N/A</v>
      </c>
      <c r="K1399" s="17" t="e">
        <f t="shared" si="602"/>
        <v>#N/A</v>
      </c>
      <c r="L1399" s="22"/>
      <c r="M1399" s="22"/>
      <c r="N1399" s="22"/>
      <c r="O1399" s="22" t="e">
        <f t="shared" si="603"/>
        <v>#N/A</v>
      </c>
      <c r="P1399" s="22">
        <f t="shared" si="604"/>
        <v>0</v>
      </c>
      <c r="Q1399" s="22"/>
      <c r="R1399" s="23"/>
      <c r="S1399" s="22">
        <f t="shared" si="605"/>
        <v>0</v>
      </c>
      <c r="T1399" s="24" t="e">
        <f t="shared" si="606"/>
        <v>#N/A</v>
      </c>
      <c r="U1399" s="37">
        <v>969196000</v>
      </c>
      <c r="V1399" s="42" t="s">
        <v>619</v>
      </c>
      <c r="W1399" s="37">
        <v>969196000</v>
      </c>
      <c r="X1399" s="47">
        <v>2000</v>
      </c>
      <c r="Y1399" s="48" t="s">
        <v>620</v>
      </c>
      <c r="Z1399" s="49">
        <v>969196000</v>
      </c>
      <c r="AA1399" s="46">
        <v>5.7000000000000002E-3</v>
      </c>
      <c r="AB1399" s="46"/>
    </row>
    <row r="1400" spans="1:28" ht="48.2" customHeight="1" x14ac:dyDescent="0.25">
      <c r="A1400" s="17" t="e">
        <f>VLOOKUP(C1400,[1]Werke!$A$1:$C$168,3,0)</f>
        <v>#N/A</v>
      </c>
      <c r="B1400" s="17" t="e">
        <f>VLOOKUP(C1400,[1]Werke!$A$1:$C$168,2,0)</f>
        <v>#N/A</v>
      </c>
      <c r="C1400" s="18"/>
      <c r="D1400" s="17" t="e">
        <f>VLOOKUP(C1400,[1]Maliteslimalan!$A$1:$B$210,2,0)</f>
        <v>#N/A</v>
      </c>
      <c r="E1400" s="19" t="e">
        <f>VLOOKUP(C1400,[1]Bestellnr.!$A$1:$B$174,2,0)</f>
        <v>#N/A</v>
      </c>
      <c r="F1400" s="20" t="e">
        <f t="shared" si="599"/>
        <v>#N/A</v>
      </c>
      <c r="G1400" s="17"/>
      <c r="H1400" s="17" t="e">
        <f t="shared" si="600"/>
        <v>#N/A</v>
      </c>
      <c r="I1400" s="20"/>
      <c r="J1400" s="17" t="e">
        <f t="shared" si="601"/>
        <v>#N/A</v>
      </c>
      <c r="K1400" s="17" t="e">
        <f t="shared" si="602"/>
        <v>#N/A</v>
      </c>
      <c r="L1400" s="22"/>
      <c r="M1400" s="22"/>
      <c r="N1400" s="22"/>
      <c r="O1400" s="22" t="e">
        <f t="shared" si="603"/>
        <v>#N/A</v>
      </c>
      <c r="P1400" s="22">
        <f t="shared" si="604"/>
        <v>0</v>
      </c>
      <c r="Q1400" s="22"/>
      <c r="R1400" s="23"/>
      <c r="S1400" s="22">
        <f t="shared" si="605"/>
        <v>0</v>
      </c>
      <c r="T1400" s="24" t="e">
        <f t="shared" si="606"/>
        <v>#N/A</v>
      </c>
      <c r="U1400" s="37">
        <v>936562000</v>
      </c>
      <c r="V1400" s="42" t="s">
        <v>621</v>
      </c>
      <c r="W1400" s="37">
        <v>936562000</v>
      </c>
      <c r="X1400" s="47" t="s">
        <v>622</v>
      </c>
      <c r="Y1400" s="48" t="s">
        <v>623</v>
      </c>
      <c r="Z1400" s="49">
        <v>936562000</v>
      </c>
      <c r="AA1400" s="46">
        <v>0.29077999999999998</v>
      </c>
      <c r="AB1400" s="46"/>
    </row>
    <row r="1401" spans="1:28" ht="48.2" customHeight="1" x14ac:dyDescent="0.25">
      <c r="A1401" s="17" t="e">
        <f>VLOOKUP(C1401,[1]Werke!$A$1:$C$168,3,0)</f>
        <v>#N/A</v>
      </c>
      <c r="B1401" s="17" t="e">
        <f>VLOOKUP(C1401,[1]Werke!$A$1:$C$168,2,0)</f>
        <v>#N/A</v>
      </c>
      <c r="C1401" s="18"/>
      <c r="D1401" s="17" t="e">
        <f>VLOOKUP(C1401,[1]Maliteslimalan!$A$1:$B$210,2,0)</f>
        <v>#N/A</v>
      </c>
      <c r="E1401" s="19" t="e">
        <f>VLOOKUP(C1401,[1]Bestellnr.!$A$1:$B$174,2,0)</f>
        <v>#N/A</v>
      </c>
      <c r="F1401" s="20" t="e">
        <f t="shared" si="599"/>
        <v>#N/A</v>
      </c>
      <c r="G1401" s="17"/>
      <c r="H1401" s="17" t="e">
        <f t="shared" si="600"/>
        <v>#N/A</v>
      </c>
      <c r="I1401" s="20"/>
      <c r="J1401" s="17" t="e">
        <f t="shared" si="601"/>
        <v>#N/A</v>
      </c>
      <c r="K1401" s="17" t="e">
        <f t="shared" si="602"/>
        <v>#N/A</v>
      </c>
      <c r="L1401" s="22"/>
      <c r="M1401" s="22"/>
      <c r="N1401" s="22"/>
      <c r="O1401" s="22" t="e">
        <f t="shared" si="603"/>
        <v>#N/A</v>
      </c>
      <c r="P1401" s="22">
        <f t="shared" si="604"/>
        <v>0</v>
      </c>
      <c r="Q1401" s="22"/>
      <c r="R1401" s="23"/>
      <c r="S1401" s="22">
        <f t="shared" si="605"/>
        <v>0</v>
      </c>
      <c r="T1401" s="24" t="e">
        <f t="shared" si="606"/>
        <v>#N/A</v>
      </c>
      <c r="U1401" s="37">
        <v>936809000</v>
      </c>
      <c r="V1401" s="42" t="s">
        <v>624</v>
      </c>
      <c r="W1401" s="37">
        <v>936809000</v>
      </c>
      <c r="X1401" s="47">
        <v>700</v>
      </c>
      <c r="Y1401" s="48" t="s">
        <v>625</v>
      </c>
      <c r="Z1401" s="49">
        <v>936809000</v>
      </c>
      <c r="AA1401" s="46">
        <v>1.865E-2</v>
      </c>
      <c r="AB1401" s="46"/>
    </row>
    <row r="1402" spans="1:28" ht="48.2" customHeight="1" x14ac:dyDescent="0.25">
      <c r="A1402" s="17" t="e">
        <f>VLOOKUP(C1402,[1]Werke!$A$1:$C$168,3,0)</f>
        <v>#N/A</v>
      </c>
      <c r="B1402" s="17" t="e">
        <f>VLOOKUP(C1402,[1]Werke!$A$1:$C$168,2,0)</f>
        <v>#N/A</v>
      </c>
      <c r="C1402" s="18"/>
      <c r="D1402" s="17" t="e">
        <f>VLOOKUP(C1402,[1]Maliteslimalan!$A$1:$B$210,2,0)</f>
        <v>#N/A</v>
      </c>
      <c r="E1402" s="19" t="e">
        <f>VLOOKUP(C1402,[1]Bestellnr.!$A$1:$B$174,2,0)</f>
        <v>#N/A</v>
      </c>
      <c r="F1402" s="20" t="e">
        <f t="shared" si="599"/>
        <v>#N/A</v>
      </c>
      <c r="G1402" s="17"/>
      <c r="H1402" s="17" t="e">
        <f t="shared" si="600"/>
        <v>#N/A</v>
      </c>
      <c r="I1402" s="20"/>
      <c r="J1402" s="17" t="e">
        <f t="shared" si="601"/>
        <v>#N/A</v>
      </c>
      <c r="K1402" s="17" t="e">
        <f t="shared" si="602"/>
        <v>#N/A</v>
      </c>
      <c r="L1402" s="22"/>
      <c r="M1402" s="22"/>
      <c r="N1402" s="22"/>
      <c r="O1402" s="22" t="e">
        <f t="shared" si="603"/>
        <v>#N/A</v>
      </c>
      <c r="P1402" s="22">
        <f t="shared" si="604"/>
        <v>0</v>
      </c>
      <c r="Q1402" s="22"/>
      <c r="R1402" s="23"/>
      <c r="S1402" s="22">
        <f t="shared" si="605"/>
        <v>0</v>
      </c>
      <c r="T1402" s="24" t="e">
        <f t="shared" si="606"/>
        <v>#N/A</v>
      </c>
      <c r="U1402" s="37">
        <v>936982000</v>
      </c>
      <c r="V1402" s="42" t="s">
        <v>626</v>
      </c>
      <c r="W1402" s="37">
        <v>936982000</v>
      </c>
      <c r="X1402" s="47">
        <v>165</v>
      </c>
      <c r="Y1402" s="48" t="s">
        <v>627</v>
      </c>
      <c r="Z1402" s="49">
        <v>936982000</v>
      </c>
      <c r="AA1402" s="46">
        <v>4.0379999999999999E-2</v>
      </c>
      <c r="AB1402" s="46"/>
    </row>
    <row r="1403" spans="1:28" ht="48.2" customHeight="1" x14ac:dyDescent="0.25">
      <c r="A1403" s="17" t="e">
        <f>VLOOKUP(C1403,[1]Werke!$A$1:$C$168,3,0)</f>
        <v>#N/A</v>
      </c>
      <c r="B1403" s="17" t="e">
        <f>VLOOKUP(C1403,[1]Werke!$A$1:$C$168,2,0)</f>
        <v>#N/A</v>
      </c>
      <c r="C1403" s="18"/>
      <c r="D1403" s="17" t="e">
        <f>VLOOKUP(C1403,[1]Maliteslimalan!$A$1:$B$210,2,0)</f>
        <v>#N/A</v>
      </c>
      <c r="E1403" s="19" t="e">
        <f>VLOOKUP(C1403,[1]Bestellnr.!$A$1:$B$174,2,0)</f>
        <v>#N/A</v>
      </c>
      <c r="F1403" s="20" t="e">
        <f t="shared" si="599"/>
        <v>#N/A</v>
      </c>
      <c r="G1403" s="17"/>
      <c r="H1403" s="17" t="e">
        <f t="shared" si="600"/>
        <v>#N/A</v>
      </c>
      <c r="I1403" s="20"/>
      <c r="J1403" s="17" t="e">
        <f t="shared" si="601"/>
        <v>#N/A</v>
      </c>
      <c r="K1403" s="17" t="e">
        <f t="shared" si="602"/>
        <v>#N/A</v>
      </c>
      <c r="L1403" s="22"/>
      <c r="M1403" s="22"/>
      <c r="N1403" s="22"/>
      <c r="O1403" s="22" t="e">
        <f t="shared" si="603"/>
        <v>#N/A</v>
      </c>
      <c r="P1403" s="22">
        <f t="shared" si="604"/>
        <v>0</v>
      </c>
      <c r="Q1403" s="22"/>
      <c r="R1403" s="23"/>
      <c r="S1403" s="22">
        <f t="shared" si="605"/>
        <v>0</v>
      </c>
      <c r="T1403" s="24" t="e">
        <f t="shared" si="606"/>
        <v>#N/A</v>
      </c>
      <c r="U1403" s="38">
        <v>937371000</v>
      </c>
      <c r="V1403" s="42" t="s">
        <v>628</v>
      </c>
      <c r="W1403" s="38">
        <v>937371000</v>
      </c>
      <c r="X1403" s="47" t="s">
        <v>440</v>
      </c>
      <c r="Y1403" s="48" t="s">
        <v>629</v>
      </c>
      <c r="Z1403" s="49">
        <v>937371000</v>
      </c>
      <c r="AA1403" s="46">
        <v>2.7199999999999998E-2</v>
      </c>
      <c r="AB1403" s="46"/>
    </row>
    <row r="1404" spans="1:28" ht="48.2" customHeight="1" x14ac:dyDescent="0.25">
      <c r="A1404" s="17" t="e">
        <f>VLOOKUP(C1404,[1]Werke!$A$1:$C$168,3,0)</f>
        <v>#N/A</v>
      </c>
      <c r="B1404" s="17" t="e">
        <f>VLOOKUP(C1404,[1]Werke!$A$1:$C$168,2,0)</f>
        <v>#N/A</v>
      </c>
      <c r="C1404" s="18"/>
      <c r="D1404" s="17" t="e">
        <f>VLOOKUP(C1404,[1]Maliteslimalan!$A$1:$B$210,2,0)</f>
        <v>#N/A</v>
      </c>
      <c r="E1404" s="19" t="e">
        <f>VLOOKUP(C1404,[1]Bestellnr.!$A$1:$B$174,2,0)</f>
        <v>#N/A</v>
      </c>
      <c r="F1404" s="20" t="e">
        <f t="shared" si="599"/>
        <v>#N/A</v>
      </c>
      <c r="G1404" s="17"/>
      <c r="H1404" s="17" t="e">
        <f t="shared" si="600"/>
        <v>#N/A</v>
      </c>
      <c r="I1404" s="20"/>
      <c r="J1404" s="17" t="e">
        <f t="shared" si="601"/>
        <v>#N/A</v>
      </c>
      <c r="K1404" s="17" t="e">
        <f t="shared" si="602"/>
        <v>#N/A</v>
      </c>
      <c r="L1404" s="22"/>
      <c r="M1404" s="22"/>
      <c r="N1404" s="22"/>
      <c r="O1404" s="22" t="e">
        <f t="shared" si="603"/>
        <v>#N/A</v>
      </c>
      <c r="P1404" s="22">
        <f t="shared" si="604"/>
        <v>0</v>
      </c>
      <c r="Q1404" s="22"/>
      <c r="R1404" s="23"/>
      <c r="S1404" s="22">
        <f t="shared" si="605"/>
        <v>0</v>
      </c>
      <c r="T1404" s="24" t="e">
        <f t="shared" si="606"/>
        <v>#N/A</v>
      </c>
      <c r="U1404" s="37">
        <v>930387000</v>
      </c>
      <c r="V1404" s="42" t="s">
        <v>630</v>
      </c>
      <c r="W1404" s="37">
        <v>930387000</v>
      </c>
      <c r="X1404" s="47">
        <v>100</v>
      </c>
      <c r="Y1404" s="48" t="s">
        <v>631</v>
      </c>
      <c r="Z1404" s="49">
        <v>930387000</v>
      </c>
      <c r="AA1404" s="46">
        <v>0.1208</v>
      </c>
      <c r="AB1404" s="46"/>
    </row>
    <row r="1405" spans="1:28" ht="48.2" customHeight="1" x14ac:dyDescent="0.25">
      <c r="A1405" s="17" t="e">
        <f>VLOOKUP(C1405,[1]Werke!$A$1:$C$168,3,0)</f>
        <v>#N/A</v>
      </c>
      <c r="B1405" s="17" t="e">
        <f>VLOOKUP(C1405,[1]Werke!$A$1:$C$168,2,0)</f>
        <v>#N/A</v>
      </c>
      <c r="C1405" s="18"/>
      <c r="D1405" s="17" t="e">
        <f>VLOOKUP(C1405,[1]Maliteslimalan!$A$1:$B$210,2,0)</f>
        <v>#N/A</v>
      </c>
      <c r="E1405" s="19" t="e">
        <f>VLOOKUP(C1405,[1]Bestellnr.!$A$1:$B$174,2,0)</f>
        <v>#N/A</v>
      </c>
      <c r="F1405" s="20" t="e">
        <f t="shared" si="599"/>
        <v>#N/A</v>
      </c>
      <c r="G1405" s="17"/>
      <c r="H1405" s="17" t="e">
        <f t="shared" si="600"/>
        <v>#N/A</v>
      </c>
      <c r="I1405" s="20"/>
      <c r="J1405" s="17" t="e">
        <f t="shared" si="601"/>
        <v>#N/A</v>
      </c>
      <c r="K1405" s="17" t="e">
        <f t="shared" si="602"/>
        <v>#N/A</v>
      </c>
      <c r="L1405" s="22"/>
      <c r="M1405" s="22"/>
      <c r="N1405" s="22"/>
      <c r="O1405" s="22" t="e">
        <f t="shared" si="603"/>
        <v>#N/A</v>
      </c>
      <c r="P1405" s="22">
        <f t="shared" si="604"/>
        <v>0</v>
      </c>
      <c r="Q1405" s="22"/>
      <c r="R1405" s="23"/>
      <c r="S1405" s="22">
        <f t="shared" si="605"/>
        <v>0</v>
      </c>
      <c r="T1405" s="24" t="e">
        <f t="shared" si="606"/>
        <v>#N/A</v>
      </c>
      <c r="U1405" s="37">
        <v>933881000</v>
      </c>
      <c r="V1405" s="42" t="s">
        <v>632</v>
      </c>
      <c r="W1405" s="37">
        <v>933881000</v>
      </c>
      <c r="X1405" s="47">
        <v>900</v>
      </c>
      <c r="Y1405" s="48" t="s">
        <v>633</v>
      </c>
      <c r="Z1405" s="49">
        <v>933881000</v>
      </c>
      <c r="AA1405" s="46">
        <v>1.1610000000000001E-2</v>
      </c>
      <c r="AB1405" s="46"/>
    </row>
    <row r="1406" spans="1:28" ht="48.2" customHeight="1" x14ac:dyDescent="0.25">
      <c r="A1406" s="17" t="e">
        <f>VLOOKUP(C1406,[1]Werke!$A$1:$C$168,3,0)</f>
        <v>#N/A</v>
      </c>
      <c r="B1406" s="17" t="e">
        <f>VLOOKUP(C1406,[1]Werke!$A$1:$C$168,2,0)</f>
        <v>#N/A</v>
      </c>
      <c r="C1406" s="18"/>
      <c r="D1406" s="17" t="e">
        <f>VLOOKUP(C1406,[1]Maliteslimalan!$A$1:$B$210,2,0)</f>
        <v>#N/A</v>
      </c>
      <c r="E1406" s="19" t="e">
        <f>VLOOKUP(C1406,[1]Bestellnr.!$A$1:$B$174,2,0)</f>
        <v>#N/A</v>
      </c>
      <c r="F1406" s="20" t="e">
        <f t="shared" si="599"/>
        <v>#N/A</v>
      </c>
      <c r="G1406" s="17"/>
      <c r="H1406" s="17" t="e">
        <f t="shared" si="600"/>
        <v>#N/A</v>
      </c>
      <c r="I1406" s="20"/>
      <c r="J1406" s="17" t="e">
        <f t="shared" si="601"/>
        <v>#N/A</v>
      </c>
      <c r="K1406" s="17" t="e">
        <f t="shared" si="602"/>
        <v>#N/A</v>
      </c>
      <c r="L1406" s="22"/>
      <c r="M1406" s="22"/>
      <c r="N1406" s="22"/>
      <c r="O1406" s="22" t="e">
        <f t="shared" si="603"/>
        <v>#N/A</v>
      </c>
      <c r="P1406" s="22">
        <f t="shared" si="604"/>
        <v>0</v>
      </c>
      <c r="Q1406" s="22"/>
      <c r="R1406" s="23"/>
      <c r="S1406" s="22">
        <f t="shared" si="605"/>
        <v>0</v>
      </c>
      <c r="T1406" s="24" t="e">
        <f t="shared" si="606"/>
        <v>#N/A</v>
      </c>
      <c r="U1406" s="37">
        <v>932016000</v>
      </c>
      <c r="V1406" s="42" t="s">
        <v>634</v>
      </c>
      <c r="W1406" s="37">
        <v>932016000</v>
      </c>
      <c r="X1406" s="47">
        <v>250</v>
      </c>
      <c r="Y1406" s="48" t="s">
        <v>635</v>
      </c>
      <c r="Z1406" s="49">
        <v>932016000</v>
      </c>
      <c r="AA1406" s="46">
        <v>3.3000000000000002E-2</v>
      </c>
      <c r="AB1406" s="46"/>
    </row>
    <row r="1407" spans="1:28" ht="48.2" customHeight="1" x14ac:dyDescent="0.25">
      <c r="A1407" s="17" t="e">
        <f>VLOOKUP(C1407,[1]Werke!$A$1:$C$168,3,0)</f>
        <v>#N/A</v>
      </c>
      <c r="B1407" s="17" t="e">
        <f>VLOOKUP(C1407,[1]Werke!$A$1:$C$168,2,0)</f>
        <v>#N/A</v>
      </c>
      <c r="C1407" s="18"/>
      <c r="D1407" s="17" t="e">
        <f>VLOOKUP(C1407,[1]Maliteslimalan!$A$1:$B$210,2,0)</f>
        <v>#N/A</v>
      </c>
      <c r="E1407" s="19" t="e">
        <f>VLOOKUP(C1407,[1]Bestellnr.!$A$1:$B$174,2,0)</f>
        <v>#N/A</v>
      </c>
      <c r="F1407" s="20" t="e">
        <f t="shared" si="599"/>
        <v>#N/A</v>
      </c>
      <c r="G1407" s="17"/>
      <c r="H1407" s="17" t="e">
        <f t="shared" si="600"/>
        <v>#N/A</v>
      </c>
      <c r="I1407" s="20"/>
      <c r="J1407" s="17" t="e">
        <f t="shared" si="601"/>
        <v>#N/A</v>
      </c>
      <c r="K1407" s="17" t="e">
        <f t="shared" si="602"/>
        <v>#N/A</v>
      </c>
      <c r="L1407" s="22"/>
      <c r="M1407" s="22"/>
      <c r="N1407" s="22"/>
      <c r="O1407" s="22" t="e">
        <f t="shared" si="603"/>
        <v>#N/A</v>
      </c>
      <c r="P1407" s="22">
        <f t="shared" si="604"/>
        <v>0</v>
      </c>
      <c r="Q1407" s="22"/>
      <c r="R1407" s="23"/>
      <c r="S1407" s="22">
        <f t="shared" si="605"/>
        <v>0</v>
      </c>
      <c r="T1407" s="24" t="e">
        <f t="shared" si="606"/>
        <v>#N/A</v>
      </c>
      <c r="U1407" s="37">
        <v>932822000</v>
      </c>
      <c r="V1407" s="42" t="s">
        <v>636</v>
      </c>
      <c r="W1407" s="37">
        <v>932822000</v>
      </c>
      <c r="X1407" s="47">
        <v>280</v>
      </c>
      <c r="Y1407" s="48" t="s">
        <v>637</v>
      </c>
      <c r="Z1407" s="49">
        <v>932822000</v>
      </c>
      <c r="AA1407" s="46">
        <v>1.968E-2</v>
      </c>
      <c r="AB1407" s="46"/>
    </row>
    <row r="1408" spans="1:28" ht="48.2" customHeight="1" x14ac:dyDescent="0.25">
      <c r="A1408" s="17" t="e">
        <f>VLOOKUP(C1408,[1]Werke!$A$1:$C$168,3,0)</f>
        <v>#N/A</v>
      </c>
      <c r="B1408" s="17" t="e">
        <f>VLOOKUP(C1408,[1]Werke!$A$1:$C$168,2,0)</f>
        <v>#N/A</v>
      </c>
      <c r="C1408" s="18"/>
      <c r="D1408" s="17" t="e">
        <f>VLOOKUP(C1408,[1]Maliteslimalan!$A$1:$B$210,2,0)</f>
        <v>#N/A</v>
      </c>
      <c r="E1408" s="19" t="e">
        <f>VLOOKUP(C1408,[1]Bestellnr.!$A$1:$B$174,2,0)</f>
        <v>#N/A</v>
      </c>
      <c r="F1408" s="20" t="e">
        <f t="shared" si="599"/>
        <v>#N/A</v>
      </c>
      <c r="G1408" s="17"/>
      <c r="H1408" s="17" t="e">
        <f t="shared" si="600"/>
        <v>#N/A</v>
      </c>
      <c r="I1408" s="20"/>
      <c r="J1408" s="17" t="e">
        <f t="shared" si="601"/>
        <v>#N/A</v>
      </c>
      <c r="K1408" s="17" t="e">
        <f t="shared" si="602"/>
        <v>#N/A</v>
      </c>
      <c r="L1408" s="22"/>
      <c r="M1408" s="22"/>
      <c r="N1408" s="22"/>
      <c r="O1408" s="22" t="e">
        <f t="shared" si="603"/>
        <v>#N/A</v>
      </c>
      <c r="P1408" s="22">
        <f t="shared" si="604"/>
        <v>0</v>
      </c>
      <c r="Q1408" s="22"/>
      <c r="R1408" s="23"/>
      <c r="S1408" s="22">
        <f t="shared" si="605"/>
        <v>0</v>
      </c>
      <c r="T1408" s="24" t="e">
        <f t="shared" si="606"/>
        <v>#N/A</v>
      </c>
      <c r="U1408" s="37">
        <v>934310000</v>
      </c>
      <c r="V1408" s="42" t="s">
        <v>638</v>
      </c>
      <c r="W1408" s="37">
        <v>934310000</v>
      </c>
      <c r="X1408" s="47">
        <v>140</v>
      </c>
      <c r="Y1408" s="48" t="s">
        <v>639</v>
      </c>
      <c r="Z1408" s="49">
        <v>934310000</v>
      </c>
      <c r="AA1408" s="46">
        <v>8.2650000000000001E-2</v>
      </c>
      <c r="AB1408" s="46"/>
    </row>
    <row r="1409" spans="1:28" ht="48.2" customHeight="1" x14ac:dyDescent="0.25">
      <c r="A1409" s="17" t="e">
        <f>VLOOKUP(C1409,[1]Werke!$A$1:$C$168,3,0)</f>
        <v>#N/A</v>
      </c>
      <c r="B1409" s="17" t="e">
        <f>VLOOKUP(C1409,[1]Werke!$A$1:$C$168,2,0)</f>
        <v>#N/A</v>
      </c>
      <c r="C1409" s="18"/>
      <c r="D1409" s="17" t="e">
        <f>VLOOKUP(C1409,[1]Maliteslimalan!$A$1:$B$210,2,0)</f>
        <v>#N/A</v>
      </c>
      <c r="E1409" s="19" t="e">
        <f>VLOOKUP(C1409,[1]Bestellnr.!$A$1:$B$174,2,0)</f>
        <v>#N/A</v>
      </c>
      <c r="F1409" s="20" t="e">
        <f t="shared" si="599"/>
        <v>#N/A</v>
      </c>
      <c r="G1409" s="17"/>
      <c r="H1409" s="17" t="e">
        <f t="shared" si="600"/>
        <v>#N/A</v>
      </c>
      <c r="I1409" s="20"/>
      <c r="J1409" s="17" t="e">
        <f t="shared" si="601"/>
        <v>#N/A</v>
      </c>
      <c r="K1409" s="17" t="e">
        <f t="shared" si="602"/>
        <v>#N/A</v>
      </c>
      <c r="L1409" s="22"/>
      <c r="M1409" s="22"/>
      <c r="N1409" s="22"/>
      <c r="O1409" s="22" t="e">
        <f t="shared" si="603"/>
        <v>#N/A</v>
      </c>
      <c r="P1409" s="22">
        <f t="shared" si="604"/>
        <v>0</v>
      </c>
      <c r="Q1409" s="22"/>
      <c r="R1409" s="23"/>
      <c r="S1409" s="22">
        <f t="shared" si="605"/>
        <v>0</v>
      </c>
      <c r="T1409" s="24" t="e">
        <f t="shared" si="606"/>
        <v>#N/A</v>
      </c>
      <c r="U1409" s="37">
        <v>934309000</v>
      </c>
      <c r="V1409" s="42" t="s">
        <v>640</v>
      </c>
      <c r="W1409" s="37">
        <v>934309000</v>
      </c>
      <c r="X1409" s="47">
        <v>170</v>
      </c>
      <c r="Y1409" s="48" t="s">
        <v>641</v>
      </c>
      <c r="Z1409" s="49">
        <v>934309000</v>
      </c>
      <c r="AA1409" s="46">
        <v>6.8010000000000001E-2</v>
      </c>
      <c r="AB1409" s="46"/>
    </row>
    <row r="1410" spans="1:28" ht="48.2" customHeight="1" x14ac:dyDescent="0.25">
      <c r="A1410" s="17" t="e">
        <f>VLOOKUP(C1410,[1]Werke!$A$1:$C$168,3,0)</f>
        <v>#N/A</v>
      </c>
      <c r="B1410" s="17" t="e">
        <f>VLOOKUP(C1410,[1]Werke!$A$1:$C$168,2,0)</f>
        <v>#N/A</v>
      </c>
      <c r="C1410" s="18"/>
      <c r="D1410" s="17" t="e">
        <f>VLOOKUP(C1410,[1]Maliteslimalan!$A$1:$B$210,2,0)</f>
        <v>#N/A</v>
      </c>
      <c r="E1410" s="19" t="e">
        <f>VLOOKUP(C1410,[1]Bestellnr.!$A$1:$B$174,2,0)</f>
        <v>#N/A</v>
      </c>
      <c r="F1410" s="20" t="e">
        <f t="shared" si="599"/>
        <v>#N/A</v>
      </c>
      <c r="G1410" s="17"/>
      <c r="H1410" s="17" t="e">
        <f t="shared" si="600"/>
        <v>#N/A</v>
      </c>
      <c r="I1410" s="20"/>
      <c r="J1410" s="17" t="e">
        <f t="shared" si="601"/>
        <v>#N/A</v>
      </c>
      <c r="K1410" s="17" t="e">
        <f t="shared" si="602"/>
        <v>#N/A</v>
      </c>
      <c r="L1410" s="22"/>
      <c r="M1410" s="22"/>
      <c r="N1410" s="22"/>
      <c r="O1410" s="22" t="e">
        <f t="shared" si="603"/>
        <v>#N/A</v>
      </c>
      <c r="P1410" s="22">
        <f t="shared" si="604"/>
        <v>0</v>
      </c>
      <c r="Q1410" s="22"/>
      <c r="R1410" s="23"/>
      <c r="S1410" s="22">
        <f t="shared" si="605"/>
        <v>0</v>
      </c>
      <c r="T1410" s="24" t="e">
        <f t="shared" si="606"/>
        <v>#N/A</v>
      </c>
      <c r="U1410" s="37">
        <v>100131700</v>
      </c>
      <c r="V1410" s="42" t="s">
        <v>642</v>
      </c>
      <c r="W1410" s="37">
        <v>100131700</v>
      </c>
      <c r="X1410" s="47">
        <v>700</v>
      </c>
      <c r="Y1410" s="48" t="s">
        <v>643</v>
      </c>
      <c r="Z1410" s="49">
        <v>100131700</v>
      </c>
      <c r="AA1410" s="46">
        <v>1.5959999999999998E-2</v>
      </c>
      <c r="AB1410" s="46"/>
    </row>
    <row r="1411" spans="1:28" ht="48.2" customHeight="1" x14ac:dyDescent="0.25">
      <c r="A1411" s="17" t="e">
        <f>VLOOKUP(C1411,[1]Werke!$A$1:$C$168,3,0)</f>
        <v>#N/A</v>
      </c>
      <c r="B1411" s="17" t="e">
        <f>VLOOKUP(C1411,[1]Werke!$A$1:$C$168,2,0)</f>
        <v>#N/A</v>
      </c>
      <c r="C1411" s="18"/>
      <c r="D1411" s="17" t="e">
        <f>VLOOKUP(C1411,[1]Maliteslimalan!$A$1:$B$210,2,0)</f>
        <v>#N/A</v>
      </c>
      <c r="E1411" s="19" t="e">
        <f>VLOOKUP(C1411,[1]Bestellnr.!$A$1:$B$174,2,0)</f>
        <v>#N/A</v>
      </c>
      <c r="F1411" s="20" t="e">
        <f t="shared" si="599"/>
        <v>#N/A</v>
      </c>
      <c r="G1411" s="17"/>
      <c r="H1411" s="17" t="e">
        <f t="shared" si="600"/>
        <v>#N/A</v>
      </c>
      <c r="I1411" s="20"/>
      <c r="J1411" s="17" t="e">
        <f t="shared" si="601"/>
        <v>#N/A</v>
      </c>
      <c r="K1411" s="17" t="e">
        <f t="shared" si="602"/>
        <v>#N/A</v>
      </c>
      <c r="L1411" s="22"/>
      <c r="M1411" s="22"/>
      <c r="N1411" s="22"/>
      <c r="O1411" s="22" t="e">
        <f t="shared" si="603"/>
        <v>#N/A</v>
      </c>
      <c r="P1411" s="22">
        <f t="shared" si="604"/>
        <v>0</v>
      </c>
      <c r="Q1411" s="22"/>
      <c r="R1411" s="23"/>
      <c r="S1411" s="22">
        <f t="shared" si="605"/>
        <v>0</v>
      </c>
      <c r="T1411" s="24" t="e">
        <f t="shared" si="606"/>
        <v>#N/A</v>
      </c>
      <c r="U1411" s="37">
        <v>941463000</v>
      </c>
      <c r="V1411" s="42" t="s">
        <v>644</v>
      </c>
      <c r="W1411" s="37">
        <v>941463000</v>
      </c>
      <c r="X1411" s="47">
        <v>1000</v>
      </c>
      <c r="Y1411" s="48" t="s">
        <v>645</v>
      </c>
      <c r="Z1411" s="49">
        <v>941463000</v>
      </c>
      <c r="AA1411" s="46">
        <v>1.2930000000000001E-2</v>
      </c>
      <c r="AB1411" s="46"/>
    </row>
    <row r="1412" spans="1:28" ht="48.2" customHeight="1" x14ac:dyDescent="0.25">
      <c r="A1412" s="17" t="e">
        <f>VLOOKUP(C1412,[1]Werke!$A$1:$C$168,3,0)</f>
        <v>#N/A</v>
      </c>
      <c r="B1412" s="17" t="e">
        <f>VLOOKUP(C1412,[1]Werke!$A$1:$C$168,2,0)</f>
        <v>#N/A</v>
      </c>
      <c r="C1412" s="18"/>
      <c r="D1412" s="17" t="e">
        <f>VLOOKUP(C1412,[1]Maliteslimalan!$A$1:$B$210,2,0)</f>
        <v>#N/A</v>
      </c>
      <c r="E1412" s="19" t="e">
        <f>VLOOKUP(C1412,[1]Bestellnr.!$A$1:$B$174,2,0)</f>
        <v>#N/A</v>
      </c>
      <c r="F1412" s="20" t="e">
        <f t="shared" si="599"/>
        <v>#N/A</v>
      </c>
      <c r="G1412" s="17"/>
      <c r="H1412" s="17" t="e">
        <f t="shared" si="600"/>
        <v>#N/A</v>
      </c>
      <c r="I1412" s="20"/>
      <c r="J1412" s="17" t="e">
        <f t="shared" si="601"/>
        <v>#N/A</v>
      </c>
      <c r="K1412" s="17" t="e">
        <f t="shared" si="602"/>
        <v>#N/A</v>
      </c>
      <c r="L1412" s="22"/>
      <c r="M1412" s="22"/>
      <c r="N1412" s="22"/>
      <c r="O1412" s="22" t="e">
        <f t="shared" si="603"/>
        <v>#N/A</v>
      </c>
      <c r="P1412" s="22">
        <f t="shared" si="604"/>
        <v>0</v>
      </c>
      <c r="Q1412" s="22"/>
      <c r="R1412" s="23"/>
      <c r="S1412" s="22">
        <f t="shared" si="605"/>
        <v>0</v>
      </c>
      <c r="T1412" s="24" t="e">
        <f t="shared" si="606"/>
        <v>#N/A</v>
      </c>
      <c r="U1412" s="37">
        <v>934742000</v>
      </c>
      <c r="V1412" s="42" t="s">
        <v>646</v>
      </c>
      <c r="W1412" s="37">
        <v>934742000</v>
      </c>
      <c r="X1412" s="47">
        <v>400</v>
      </c>
      <c r="Y1412" s="48" t="s">
        <v>647</v>
      </c>
      <c r="Z1412" s="49">
        <v>934742000</v>
      </c>
      <c r="AA1412" s="46">
        <v>2.0379999999999999E-2</v>
      </c>
      <c r="AB1412" s="46"/>
    </row>
    <row r="1413" spans="1:28" ht="48.2" customHeight="1" x14ac:dyDescent="0.25">
      <c r="A1413" s="17" t="e">
        <f>VLOOKUP(C1413,[1]Werke!$A$1:$C$168,3,0)</f>
        <v>#N/A</v>
      </c>
      <c r="B1413" s="17" t="e">
        <f>VLOOKUP(C1413,[1]Werke!$A$1:$C$168,2,0)</f>
        <v>#N/A</v>
      </c>
      <c r="C1413" s="18"/>
      <c r="D1413" s="17" t="e">
        <f>VLOOKUP(C1413,[1]Maliteslimalan!$A$1:$B$210,2,0)</f>
        <v>#N/A</v>
      </c>
      <c r="E1413" s="19" t="e">
        <f>VLOOKUP(C1413,[1]Bestellnr.!$A$1:$B$174,2,0)</f>
        <v>#N/A</v>
      </c>
      <c r="F1413" s="20" t="e">
        <f t="shared" si="599"/>
        <v>#N/A</v>
      </c>
      <c r="G1413" s="17"/>
      <c r="H1413" s="17" t="e">
        <f t="shared" si="600"/>
        <v>#N/A</v>
      </c>
      <c r="I1413" s="20"/>
      <c r="J1413" s="17" t="e">
        <f t="shared" si="601"/>
        <v>#N/A</v>
      </c>
      <c r="K1413" s="17" t="e">
        <f t="shared" si="602"/>
        <v>#N/A</v>
      </c>
      <c r="L1413" s="22"/>
      <c r="M1413" s="22"/>
      <c r="N1413" s="22"/>
      <c r="O1413" s="22" t="e">
        <f t="shared" si="603"/>
        <v>#N/A</v>
      </c>
      <c r="P1413" s="22">
        <f t="shared" si="604"/>
        <v>0</v>
      </c>
      <c r="Q1413" s="22"/>
      <c r="R1413" s="23"/>
      <c r="S1413" s="22">
        <f t="shared" si="605"/>
        <v>0</v>
      </c>
      <c r="T1413" s="24" t="e">
        <f t="shared" si="606"/>
        <v>#N/A</v>
      </c>
      <c r="U1413" s="37">
        <v>969209000</v>
      </c>
      <c r="V1413" s="42" t="s">
        <v>648</v>
      </c>
      <c r="W1413" s="37">
        <v>969209000</v>
      </c>
      <c r="X1413" s="47">
        <v>500</v>
      </c>
      <c r="Y1413" s="48" t="s">
        <v>649</v>
      </c>
      <c r="Z1413" s="49">
        <v>969209000</v>
      </c>
      <c r="AA1413" s="46">
        <v>1.9900000000000001E-2</v>
      </c>
      <c r="AB1413" s="46"/>
    </row>
    <row r="1414" spans="1:28" ht="48.2" customHeight="1" x14ac:dyDescent="0.25">
      <c r="A1414" s="17" t="e">
        <f>VLOOKUP(C1414,[1]Werke!$A$1:$C$168,3,0)</f>
        <v>#N/A</v>
      </c>
      <c r="B1414" s="17" t="e">
        <f>VLOOKUP(C1414,[1]Werke!$A$1:$C$168,2,0)</f>
        <v>#N/A</v>
      </c>
      <c r="C1414" s="18"/>
      <c r="D1414" s="17" t="e">
        <f>VLOOKUP(C1414,[1]Maliteslimalan!$A$1:$B$210,2,0)</f>
        <v>#N/A</v>
      </c>
      <c r="E1414" s="19" t="e">
        <f>VLOOKUP(C1414,[1]Bestellnr.!$A$1:$B$174,2,0)</f>
        <v>#N/A</v>
      </c>
      <c r="F1414" s="20" t="e">
        <f t="shared" si="599"/>
        <v>#N/A</v>
      </c>
      <c r="G1414" s="17"/>
      <c r="H1414" s="17" t="e">
        <f t="shared" si="600"/>
        <v>#N/A</v>
      </c>
      <c r="I1414" s="20"/>
      <c r="J1414" s="17" t="e">
        <f t="shared" si="601"/>
        <v>#N/A</v>
      </c>
      <c r="K1414" s="17" t="e">
        <f t="shared" si="602"/>
        <v>#N/A</v>
      </c>
      <c r="L1414" s="22"/>
      <c r="M1414" s="22"/>
      <c r="N1414" s="22"/>
      <c r="O1414" s="22" t="e">
        <f t="shared" si="603"/>
        <v>#N/A</v>
      </c>
      <c r="P1414" s="22">
        <f t="shared" si="604"/>
        <v>0</v>
      </c>
      <c r="Q1414" s="22"/>
      <c r="R1414" s="23"/>
      <c r="S1414" s="22">
        <f t="shared" si="605"/>
        <v>0</v>
      </c>
      <c r="T1414" s="24" t="e">
        <f t="shared" si="606"/>
        <v>#N/A</v>
      </c>
      <c r="U1414" s="37">
        <v>937557000</v>
      </c>
      <c r="V1414" s="42" t="s">
        <v>650</v>
      </c>
      <c r="W1414" s="37">
        <v>937557000</v>
      </c>
      <c r="X1414" s="47">
        <v>150</v>
      </c>
      <c r="Y1414" s="48" t="s">
        <v>651</v>
      </c>
      <c r="Z1414" s="49">
        <v>937557000</v>
      </c>
      <c r="AA1414" s="46">
        <v>7.0400000000000004E-2</v>
      </c>
      <c r="AB1414" s="46"/>
    </row>
    <row r="1415" spans="1:28" ht="48.2" customHeight="1" x14ac:dyDescent="0.25">
      <c r="A1415" s="17" t="e">
        <f>VLOOKUP(C1415,[1]Werke!$A$1:$C$168,3,0)</f>
        <v>#N/A</v>
      </c>
      <c r="B1415" s="17" t="e">
        <f>VLOOKUP(C1415,[1]Werke!$A$1:$C$168,2,0)</f>
        <v>#N/A</v>
      </c>
      <c r="C1415" s="18"/>
      <c r="D1415" s="17" t="e">
        <f>VLOOKUP(C1415,[1]Maliteslimalan!$A$1:$B$210,2,0)</f>
        <v>#N/A</v>
      </c>
      <c r="E1415" s="19" t="e">
        <f>VLOOKUP(C1415,[1]Bestellnr.!$A$1:$B$174,2,0)</f>
        <v>#N/A</v>
      </c>
      <c r="F1415" s="20" t="e">
        <f t="shared" si="599"/>
        <v>#N/A</v>
      </c>
      <c r="G1415" s="17"/>
      <c r="H1415" s="17" t="e">
        <f t="shared" si="600"/>
        <v>#N/A</v>
      </c>
      <c r="I1415" s="20"/>
      <c r="J1415" s="17" t="e">
        <f t="shared" si="601"/>
        <v>#N/A</v>
      </c>
      <c r="K1415" s="17" t="e">
        <f t="shared" si="602"/>
        <v>#N/A</v>
      </c>
      <c r="L1415" s="22"/>
      <c r="M1415" s="22"/>
      <c r="N1415" s="22"/>
      <c r="O1415" s="22" t="e">
        <f t="shared" si="603"/>
        <v>#N/A</v>
      </c>
      <c r="P1415" s="22">
        <f t="shared" si="604"/>
        <v>0</v>
      </c>
      <c r="Q1415" s="22"/>
      <c r="R1415" s="23"/>
      <c r="S1415" s="22">
        <f t="shared" si="605"/>
        <v>0</v>
      </c>
      <c r="T1415" s="24" t="e">
        <f t="shared" si="606"/>
        <v>#N/A</v>
      </c>
      <c r="U1415" s="27">
        <v>935809000</v>
      </c>
      <c r="V1415" s="42" t="s">
        <v>652</v>
      </c>
      <c r="W1415" s="27">
        <v>935809000</v>
      </c>
      <c r="X1415" s="47">
        <v>250</v>
      </c>
      <c r="Y1415" s="48" t="s">
        <v>653</v>
      </c>
      <c r="Z1415" s="46">
        <v>935809000</v>
      </c>
      <c r="AA1415" s="46">
        <v>3.1919999999999997E-2</v>
      </c>
      <c r="AB1415" s="46"/>
    </row>
    <row r="1416" spans="1:28" ht="48.2" customHeight="1" x14ac:dyDescent="0.25">
      <c r="A1416" s="17" t="e">
        <f>VLOOKUP(C1416,[1]Werke!$A$1:$C$168,3,0)</f>
        <v>#N/A</v>
      </c>
      <c r="B1416" s="17" t="e">
        <f>VLOOKUP(C1416,[1]Werke!$A$1:$C$168,2,0)</f>
        <v>#N/A</v>
      </c>
      <c r="C1416" s="18"/>
      <c r="D1416" s="17" t="e">
        <f>VLOOKUP(C1416,[1]Maliteslimalan!$A$1:$B$210,2,0)</f>
        <v>#N/A</v>
      </c>
      <c r="E1416" s="19" t="e">
        <f>VLOOKUP(C1416,[1]Bestellnr.!$A$1:$B$174,2,0)</f>
        <v>#N/A</v>
      </c>
      <c r="F1416" s="20" t="e">
        <f t="shared" si="599"/>
        <v>#N/A</v>
      </c>
      <c r="G1416" s="17"/>
      <c r="H1416" s="17" t="e">
        <f t="shared" si="600"/>
        <v>#N/A</v>
      </c>
      <c r="I1416" s="20"/>
      <c r="J1416" s="17" t="e">
        <f t="shared" si="601"/>
        <v>#N/A</v>
      </c>
      <c r="K1416" s="17" t="e">
        <f t="shared" si="602"/>
        <v>#N/A</v>
      </c>
      <c r="L1416" s="22"/>
      <c r="M1416" s="22"/>
      <c r="N1416" s="22"/>
      <c r="O1416" s="22" t="e">
        <f t="shared" si="603"/>
        <v>#N/A</v>
      </c>
      <c r="P1416" s="22">
        <f t="shared" si="604"/>
        <v>0</v>
      </c>
      <c r="Q1416" s="22"/>
      <c r="R1416" s="23"/>
      <c r="S1416" s="22">
        <f t="shared" si="605"/>
        <v>0</v>
      </c>
      <c r="T1416" s="24" t="e">
        <f t="shared" si="606"/>
        <v>#N/A</v>
      </c>
      <c r="U1416" s="27">
        <v>925195000</v>
      </c>
      <c r="V1416" s="42" t="s">
        <v>654</v>
      </c>
      <c r="W1416" s="27">
        <v>925195000</v>
      </c>
      <c r="X1416" s="47">
        <v>1000</v>
      </c>
      <c r="Y1416" s="48" t="s">
        <v>655</v>
      </c>
      <c r="Z1416" s="46">
        <v>925195000</v>
      </c>
      <c r="AA1416" s="46">
        <v>1.1039999999999999E-2</v>
      </c>
      <c r="AB1416" s="46"/>
    </row>
    <row r="1417" spans="1:28" ht="48.2" customHeight="1" x14ac:dyDescent="0.25">
      <c r="A1417" s="17" t="e">
        <f>VLOOKUP(C1417,[1]Werke!$A$1:$C$168,3,0)</f>
        <v>#N/A</v>
      </c>
      <c r="B1417" s="17" t="e">
        <f>VLOOKUP(C1417,[1]Werke!$A$1:$C$168,2,0)</f>
        <v>#N/A</v>
      </c>
      <c r="C1417" s="18"/>
      <c r="D1417" s="17" t="e">
        <f>VLOOKUP(C1417,[1]Maliteslimalan!$A$1:$B$210,2,0)</f>
        <v>#N/A</v>
      </c>
      <c r="E1417" s="19" t="e">
        <f>VLOOKUP(C1417,[1]Bestellnr.!$A$1:$B$174,2,0)</f>
        <v>#N/A</v>
      </c>
      <c r="F1417" s="20" t="e">
        <f t="shared" si="599"/>
        <v>#N/A</v>
      </c>
      <c r="G1417" s="17"/>
      <c r="H1417" s="17" t="e">
        <f t="shared" si="600"/>
        <v>#N/A</v>
      </c>
      <c r="I1417" s="20"/>
      <c r="J1417" s="17" t="e">
        <f t="shared" si="601"/>
        <v>#N/A</v>
      </c>
      <c r="K1417" s="17" t="e">
        <f t="shared" si="602"/>
        <v>#N/A</v>
      </c>
      <c r="L1417" s="22"/>
      <c r="M1417" s="22"/>
      <c r="N1417" s="22"/>
      <c r="O1417" s="22" t="e">
        <f t="shared" si="603"/>
        <v>#N/A</v>
      </c>
      <c r="P1417" s="22">
        <f t="shared" si="604"/>
        <v>0</v>
      </c>
      <c r="Q1417" s="22"/>
      <c r="R1417" s="23"/>
      <c r="S1417" s="22">
        <f t="shared" si="605"/>
        <v>0</v>
      </c>
      <c r="T1417" s="24" t="e">
        <f t="shared" si="606"/>
        <v>#N/A</v>
      </c>
      <c r="U1417" s="40">
        <v>934702000</v>
      </c>
      <c r="V1417" s="42" t="s">
        <v>656</v>
      </c>
      <c r="W1417" s="40">
        <v>934702000</v>
      </c>
      <c r="X1417" s="47">
        <v>230</v>
      </c>
      <c r="Y1417" s="48" t="s">
        <v>657</v>
      </c>
      <c r="Z1417" s="60">
        <v>934702000</v>
      </c>
      <c r="AA1417" s="46">
        <v>0.03</v>
      </c>
      <c r="AB1417" s="46"/>
    </row>
    <row r="1418" spans="1:28" ht="48.2" customHeight="1" x14ac:dyDescent="0.25">
      <c r="A1418" s="17" t="e">
        <f>VLOOKUP(C1418,[1]Werke!$A$1:$C$168,3,0)</f>
        <v>#N/A</v>
      </c>
      <c r="B1418" s="17" t="e">
        <f>VLOOKUP(C1418,[1]Werke!$A$1:$C$168,2,0)</f>
        <v>#N/A</v>
      </c>
      <c r="C1418" s="18"/>
      <c r="D1418" s="17" t="e">
        <f>VLOOKUP(C1418,[1]Maliteslimalan!$A$1:$B$210,2,0)</f>
        <v>#N/A</v>
      </c>
      <c r="E1418" s="19" t="e">
        <f>VLOOKUP(C1418,[1]Bestellnr.!$A$1:$B$174,2,0)</f>
        <v>#N/A</v>
      </c>
      <c r="F1418" s="20" t="e">
        <f t="shared" si="599"/>
        <v>#N/A</v>
      </c>
      <c r="G1418" s="17"/>
      <c r="H1418" s="17" t="e">
        <f t="shared" si="600"/>
        <v>#N/A</v>
      </c>
      <c r="I1418" s="20"/>
      <c r="J1418" s="17" t="e">
        <f t="shared" si="601"/>
        <v>#N/A</v>
      </c>
      <c r="K1418" s="17" t="e">
        <f t="shared" si="602"/>
        <v>#N/A</v>
      </c>
      <c r="L1418" s="22"/>
      <c r="M1418" s="22"/>
      <c r="N1418" s="22"/>
      <c r="O1418" s="22" t="e">
        <f t="shared" si="603"/>
        <v>#N/A</v>
      </c>
      <c r="P1418" s="22">
        <f t="shared" si="604"/>
        <v>0</v>
      </c>
      <c r="Q1418" s="22"/>
      <c r="R1418" s="23"/>
      <c r="S1418" s="22">
        <f t="shared" si="605"/>
        <v>0</v>
      </c>
      <c r="T1418" s="24" t="e">
        <f t="shared" si="606"/>
        <v>#N/A</v>
      </c>
      <c r="U1418" s="40">
        <v>933877000</v>
      </c>
      <c r="V1418" s="42" t="s">
        <v>658</v>
      </c>
      <c r="W1418" s="40">
        <v>933877000</v>
      </c>
      <c r="X1418" s="47">
        <v>400</v>
      </c>
      <c r="Y1418" s="48" t="s">
        <v>659</v>
      </c>
      <c r="Z1418" s="60">
        <v>933877000</v>
      </c>
      <c r="AA1418" s="46">
        <v>2.9250000000000002E-2</v>
      </c>
      <c r="AB1418" s="46"/>
    </row>
    <row r="1419" spans="1:28" ht="48.2" customHeight="1" x14ac:dyDescent="0.25">
      <c r="A1419" s="17" t="e">
        <f>VLOOKUP(C1419,[1]Werke!$A$1:$C$168,3,0)</f>
        <v>#N/A</v>
      </c>
      <c r="B1419" s="17" t="e">
        <f>VLOOKUP(C1419,[1]Werke!$A$1:$C$168,2,0)</f>
        <v>#N/A</v>
      </c>
      <c r="C1419" s="18"/>
      <c r="D1419" s="17" t="e">
        <f>VLOOKUP(C1419,[1]Maliteslimalan!$A$1:$B$210,2,0)</f>
        <v>#N/A</v>
      </c>
      <c r="E1419" s="19" t="e">
        <f>VLOOKUP(C1419,[1]Bestellnr.!$A$1:$B$174,2,0)</f>
        <v>#N/A</v>
      </c>
      <c r="F1419" s="20" t="e">
        <f t="shared" si="599"/>
        <v>#N/A</v>
      </c>
      <c r="G1419" s="17"/>
      <c r="H1419" s="17" t="e">
        <f t="shared" si="600"/>
        <v>#N/A</v>
      </c>
      <c r="I1419" s="20"/>
      <c r="J1419" s="17" t="e">
        <f t="shared" si="601"/>
        <v>#N/A</v>
      </c>
      <c r="K1419" s="17" t="e">
        <f t="shared" si="602"/>
        <v>#N/A</v>
      </c>
      <c r="L1419" s="22"/>
      <c r="M1419" s="22"/>
      <c r="N1419" s="22"/>
      <c r="O1419" s="22" t="e">
        <f t="shared" si="603"/>
        <v>#N/A</v>
      </c>
      <c r="P1419" s="22">
        <f t="shared" si="604"/>
        <v>0</v>
      </c>
      <c r="Q1419" s="22"/>
      <c r="R1419" s="23"/>
      <c r="S1419" s="22">
        <f t="shared" si="605"/>
        <v>0</v>
      </c>
      <c r="T1419" s="24" t="e">
        <f t="shared" si="606"/>
        <v>#N/A</v>
      </c>
      <c r="U1419" s="40">
        <v>933878000</v>
      </c>
      <c r="V1419" s="42" t="s">
        <v>660</v>
      </c>
      <c r="W1419" s="40">
        <v>933878000</v>
      </c>
      <c r="X1419" s="47">
        <v>230</v>
      </c>
      <c r="Y1419" s="48" t="s">
        <v>661</v>
      </c>
      <c r="Z1419" s="60">
        <v>933878000</v>
      </c>
      <c r="AA1419" s="46">
        <v>6.234E-2</v>
      </c>
      <c r="AB1419" s="46"/>
    </row>
    <row r="1420" spans="1:28" ht="48.2" customHeight="1" x14ac:dyDescent="0.25">
      <c r="A1420" s="17" t="e">
        <f>VLOOKUP(C1420,[1]Werke!$A$1:$C$168,3,0)</f>
        <v>#N/A</v>
      </c>
      <c r="B1420" s="17" t="e">
        <f>VLOOKUP(C1420,[1]Werke!$A$1:$C$168,2,0)</f>
        <v>#N/A</v>
      </c>
      <c r="C1420" s="18"/>
      <c r="D1420" s="17" t="e">
        <f>VLOOKUP(C1420,[1]Maliteslimalan!$A$1:$B$210,2,0)</f>
        <v>#N/A</v>
      </c>
      <c r="E1420" s="19" t="e">
        <f>VLOOKUP(C1420,[1]Bestellnr.!$A$1:$B$174,2,0)</f>
        <v>#N/A</v>
      </c>
      <c r="F1420" s="20" t="e">
        <f t="shared" si="599"/>
        <v>#N/A</v>
      </c>
      <c r="G1420" s="17"/>
      <c r="H1420" s="17" t="e">
        <f t="shared" si="600"/>
        <v>#N/A</v>
      </c>
      <c r="I1420" s="20"/>
      <c r="J1420" s="17" t="e">
        <f t="shared" si="601"/>
        <v>#N/A</v>
      </c>
      <c r="K1420" s="17" t="e">
        <f t="shared" si="602"/>
        <v>#N/A</v>
      </c>
      <c r="L1420" s="22"/>
      <c r="M1420" s="22"/>
      <c r="N1420" s="22"/>
      <c r="O1420" s="22" t="e">
        <f t="shared" si="603"/>
        <v>#N/A</v>
      </c>
      <c r="P1420" s="22">
        <f t="shared" si="604"/>
        <v>0</v>
      </c>
      <c r="Q1420" s="22"/>
      <c r="R1420" s="23"/>
      <c r="S1420" s="22">
        <f t="shared" si="605"/>
        <v>0</v>
      </c>
      <c r="T1420" s="24" t="e">
        <f t="shared" si="606"/>
        <v>#N/A</v>
      </c>
      <c r="U1420" s="27">
        <v>934379000</v>
      </c>
      <c r="V1420" s="42" t="s">
        <v>662</v>
      </c>
      <c r="W1420" s="27">
        <v>934379000</v>
      </c>
      <c r="X1420" s="47">
        <v>3500</v>
      </c>
      <c r="Y1420" s="48" t="s">
        <v>663</v>
      </c>
      <c r="Z1420" s="46">
        <v>934379000</v>
      </c>
      <c r="AA1420" s="46">
        <v>4.15E-3</v>
      </c>
      <c r="AB1420" s="46"/>
    </row>
    <row r="1421" spans="1:28" ht="48.2" customHeight="1" x14ac:dyDescent="0.25">
      <c r="A1421" s="17" t="e">
        <f>VLOOKUP(C1421,[1]Werke!$A$1:$C$168,3,0)</f>
        <v>#N/A</v>
      </c>
      <c r="B1421" s="17" t="e">
        <f>VLOOKUP(C1421,[1]Werke!$A$1:$C$168,2,0)</f>
        <v>#N/A</v>
      </c>
      <c r="C1421" s="18"/>
      <c r="D1421" s="17" t="e">
        <f>VLOOKUP(C1421,[1]Maliteslimalan!$A$1:$B$210,2,0)</f>
        <v>#N/A</v>
      </c>
      <c r="E1421" s="19" t="e">
        <f>VLOOKUP(C1421,[1]Bestellnr.!$A$1:$B$174,2,0)</f>
        <v>#N/A</v>
      </c>
      <c r="F1421" s="20" t="e">
        <f t="shared" si="599"/>
        <v>#N/A</v>
      </c>
      <c r="G1421" s="17"/>
      <c r="H1421" s="17" t="e">
        <f t="shared" si="600"/>
        <v>#N/A</v>
      </c>
      <c r="I1421" s="20"/>
      <c r="J1421" s="17" t="e">
        <f t="shared" si="601"/>
        <v>#N/A</v>
      </c>
      <c r="K1421" s="17" t="e">
        <f t="shared" si="602"/>
        <v>#N/A</v>
      </c>
      <c r="L1421" s="22"/>
      <c r="M1421" s="22"/>
      <c r="N1421" s="22"/>
      <c r="O1421" s="22" t="e">
        <f t="shared" si="603"/>
        <v>#N/A</v>
      </c>
      <c r="P1421" s="22">
        <f t="shared" si="604"/>
        <v>0</v>
      </c>
      <c r="Q1421" s="22"/>
      <c r="R1421" s="23"/>
      <c r="S1421" s="22">
        <f t="shared" si="605"/>
        <v>0</v>
      </c>
      <c r="T1421" s="24" t="e">
        <f t="shared" si="606"/>
        <v>#N/A</v>
      </c>
      <c r="U1421" s="27">
        <v>936369000</v>
      </c>
      <c r="V1421" s="42" t="s">
        <v>664</v>
      </c>
      <c r="W1421" s="27">
        <v>936369000</v>
      </c>
      <c r="X1421" s="47">
        <v>400</v>
      </c>
      <c r="Y1421" s="48" t="s">
        <v>665</v>
      </c>
      <c r="Z1421" s="46">
        <v>936369000</v>
      </c>
      <c r="AA1421" s="46">
        <v>2.5000000000000001E-2</v>
      </c>
      <c r="AB1421" s="46"/>
    </row>
    <row r="1422" spans="1:28" ht="48.2" customHeight="1" x14ac:dyDescent="0.25">
      <c r="A1422" s="17" t="e">
        <f>VLOOKUP(C1422,[1]Werke!$A$1:$C$168,3,0)</f>
        <v>#N/A</v>
      </c>
      <c r="B1422" s="17" t="e">
        <f>VLOOKUP(C1422,[1]Werke!$A$1:$C$168,2,0)</f>
        <v>#N/A</v>
      </c>
      <c r="C1422" s="18"/>
      <c r="D1422" s="17" t="e">
        <f>VLOOKUP(C1422,[1]Maliteslimalan!$A$1:$B$210,2,0)</f>
        <v>#N/A</v>
      </c>
      <c r="E1422" s="19" t="e">
        <f>VLOOKUP(C1422,[1]Bestellnr.!$A$1:$B$174,2,0)</f>
        <v>#N/A</v>
      </c>
      <c r="F1422" s="20" t="e">
        <f t="shared" si="599"/>
        <v>#N/A</v>
      </c>
      <c r="G1422" s="17"/>
      <c r="H1422" s="17" t="e">
        <f t="shared" si="600"/>
        <v>#N/A</v>
      </c>
      <c r="I1422" s="20"/>
      <c r="J1422" s="17" t="e">
        <f t="shared" si="601"/>
        <v>#N/A</v>
      </c>
      <c r="K1422" s="17" t="e">
        <f t="shared" si="602"/>
        <v>#N/A</v>
      </c>
      <c r="L1422" s="22"/>
      <c r="M1422" s="22"/>
      <c r="N1422" s="22"/>
      <c r="O1422" s="22" t="e">
        <f t="shared" si="603"/>
        <v>#N/A</v>
      </c>
      <c r="P1422" s="22">
        <f t="shared" si="604"/>
        <v>0</v>
      </c>
      <c r="Q1422" s="22"/>
      <c r="R1422" s="23"/>
      <c r="S1422" s="22">
        <f t="shared" si="605"/>
        <v>0</v>
      </c>
      <c r="T1422" s="24" t="e">
        <f t="shared" si="606"/>
        <v>#N/A</v>
      </c>
      <c r="U1422" s="27">
        <v>936754000</v>
      </c>
      <c r="V1422" s="42" t="s">
        <v>666</v>
      </c>
      <c r="W1422" s="27">
        <v>936754000</v>
      </c>
      <c r="X1422" s="47">
        <v>400</v>
      </c>
      <c r="Y1422" s="48" t="s">
        <v>667</v>
      </c>
      <c r="Z1422" s="46">
        <v>936754000</v>
      </c>
      <c r="AA1422" s="46">
        <v>2.9190000000000001E-2</v>
      </c>
      <c r="AB1422" s="46"/>
    </row>
    <row r="1423" spans="1:28" ht="48.2" customHeight="1" x14ac:dyDescent="0.25">
      <c r="A1423" s="17" t="e">
        <f>VLOOKUP(C1423,[1]Werke!$A$1:$C$168,3,0)</f>
        <v>#N/A</v>
      </c>
      <c r="B1423" s="17" t="e">
        <f>VLOOKUP(C1423,[1]Werke!$A$1:$C$168,2,0)</f>
        <v>#N/A</v>
      </c>
      <c r="C1423" s="18"/>
      <c r="D1423" s="17" t="e">
        <f>VLOOKUP(C1423,[1]Maliteslimalan!$A$1:$B$210,2,0)</f>
        <v>#N/A</v>
      </c>
      <c r="E1423" s="19" t="e">
        <f>VLOOKUP(C1423,[1]Bestellnr.!$A$1:$B$174,2,0)</f>
        <v>#N/A</v>
      </c>
      <c r="F1423" s="20" t="e">
        <f t="shared" si="599"/>
        <v>#N/A</v>
      </c>
      <c r="G1423" s="17"/>
      <c r="H1423" s="17" t="e">
        <f t="shared" si="600"/>
        <v>#N/A</v>
      </c>
      <c r="I1423" s="20"/>
      <c r="J1423" s="17" t="e">
        <f t="shared" si="601"/>
        <v>#N/A</v>
      </c>
      <c r="K1423" s="17" t="e">
        <f t="shared" si="602"/>
        <v>#N/A</v>
      </c>
      <c r="L1423" s="22"/>
      <c r="M1423" s="22"/>
      <c r="N1423" s="22"/>
      <c r="O1423" s="22" t="e">
        <f t="shared" si="603"/>
        <v>#N/A</v>
      </c>
      <c r="P1423" s="22">
        <f t="shared" si="604"/>
        <v>0</v>
      </c>
      <c r="Q1423" s="22"/>
      <c r="R1423" s="23"/>
      <c r="S1423" s="22">
        <f t="shared" si="605"/>
        <v>0</v>
      </c>
      <c r="T1423" s="24" t="e">
        <f t="shared" si="606"/>
        <v>#N/A</v>
      </c>
      <c r="U1423" s="27">
        <v>933740000</v>
      </c>
      <c r="V1423" s="42" t="s">
        <v>668</v>
      </c>
      <c r="W1423" s="27">
        <v>933740000</v>
      </c>
      <c r="X1423" s="47">
        <v>250</v>
      </c>
      <c r="Y1423" s="48" t="s">
        <v>669</v>
      </c>
      <c r="Z1423" s="46">
        <v>933740000</v>
      </c>
      <c r="AA1423" s="46">
        <v>4.7660000000000001E-2</v>
      </c>
      <c r="AB1423" s="46"/>
    </row>
    <row r="1424" spans="1:28" ht="48.2" customHeight="1" x14ac:dyDescent="0.25">
      <c r="A1424" s="17" t="e">
        <f>VLOOKUP(C1424,[1]Werke!$A$1:$C$168,3,0)</f>
        <v>#N/A</v>
      </c>
      <c r="B1424" s="17" t="e">
        <f>VLOOKUP(C1424,[1]Werke!$A$1:$C$168,2,0)</f>
        <v>#N/A</v>
      </c>
      <c r="C1424" s="18"/>
      <c r="D1424" s="17" t="e">
        <f>VLOOKUP(C1424,[1]Maliteslimalan!$A$1:$B$210,2,0)</f>
        <v>#N/A</v>
      </c>
      <c r="E1424" s="19" t="e">
        <f>VLOOKUP(C1424,[1]Bestellnr.!$A$1:$B$174,2,0)</f>
        <v>#N/A</v>
      </c>
      <c r="F1424" s="20" t="e">
        <f t="shared" si="599"/>
        <v>#N/A</v>
      </c>
      <c r="G1424" s="17"/>
      <c r="H1424" s="17" t="e">
        <f t="shared" si="600"/>
        <v>#N/A</v>
      </c>
      <c r="I1424" s="20"/>
      <c r="J1424" s="17" t="e">
        <f t="shared" si="601"/>
        <v>#N/A</v>
      </c>
      <c r="K1424" s="17" t="e">
        <f t="shared" si="602"/>
        <v>#N/A</v>
      </c>
      <c r="L1424" s="22"/>
      <c r="M1424" s="22"/>
      <c r="N1424" s="22"/>
      <c r="O1424" s="22" t="e">
        <f t="shared" si="603"/>
        <v>#N/A</v>
      </c>
      <c r="P1424" s="22">
        <f t="shared" si="604"/>
        <v>0</v>
      </c>
      <c r="Q1424" s="22"/>
      <c r="R1424" s="23"/>
      <c r="S1424" s="22">
        <f t="shared" si="605"/>
        <v>0</v>
      </c>
      <c r="T1424" s="24" t="e">
        <f t="shared" si="606"/>
        <v>#N/A</v>
      </c>
      <c r="U1424" s="39">
        <v>100665600</v>
      </c>
      <c r="V1424" s="42" t="s">
        <v>670</v>
      </c>
      <c r="W1424" s="39">
        <v>100665600</v>
      </c>
      <c r="X1424" s="47" t="s">
        <v>671</v>
      </c>
      <c r="Y1424" s="48" t="s">
        <v>672</v>
      </c>
      <c r="Z1424" s="60">
        <v>100665600</v>
      </c>
      <c r="AA1424" s="46">
        <v>8.0000000000000002E-3</v>
      </c>
      <c r="AB1424" s="46"/>
    </row>
    <row r="1425" spans="1:28" ht="48.2" customHeight="1" x14ac:dyDescent="0.25">
      <c r="A1425" s="17" t="e">
        <f>VLOOKUP(C1425,[1]Werke!$A$1:$C$168,3,0)</f>
        <v>#N/A</v>
      </c>
      <c r="B1425" s="17" t="e">
        <f>VLOOKUP(C1425,[1]Werke!$A$1:$C$168,2,0)</f>
        <v>#N/A</v>
      </c>
      <c r="C1425" s="18"/>
      <c r="D1425" s="17" t="e">
        <f>VLOOKUP(C1425,[1]Maliteslimalan!$A$1:$B$210,2,0)</f>
        <v>#N/A</v>
      </c>
      <c r="E1425" s="19" t="e">
        <f>VLOOKUP(C1425,[1]Bestellnr.!$A$1:$B$174,2,0)</f>
        <v>#N/A</v>
      </c>
      <c r="F1425" s="20" t="e">
        <f t="shared" si="599"/>
        <v>#N/A</v>
      </c>
      <c r="G1425" s="17"/>
      <c r="H1425" s="17" t="e">
        <f t="shared" si="600"/>
        <v>#N/A</v>
      </c>
      <c r="I1425" s="20"/>
      <c r="J1425" s="17" t="e">
        <f t="shared" si="601"/>
        <v>#N/A</v>
      </c>
      <c r="K1425" s="17" t="e">
        <f t="shared" si="602"/>
        <v>#N/A</v>
      </c>
      <c r="L1425" s="22"/>
      <c r="M1425" s="22"/>
      <c r="N1425" s="22"/>
      <c r="O1425" s="22" t="e">
        <f t="shared" si="603"/>
        <v>#N/A</v>
      </c>
      <c r="P1425" s="22">
        <f t="shared" si="604"/>
        <v>0</v>
      </c>
      <c r="Q1425" s="22"/>
      <c r="R1425" s="23"/>
      <c r="S1425" s="22">
        <f t="shared" si="605"/>
        <v>0</v>
      </c>
      <c r="T1425" s="24" t="e">
        <f t="shared" si="606"/>
        <v>#N/A</v>
      </c>
      <c r="U1425" s="40">
        <v>100665600</v>
      </c>
      <c r="V1425" s="42" t="s">
        <v>673</v>
      </c>
      <c r="W1425" s="40">
        <v>100665600</v>
      </c>
      <c r="X1425" s="47" t="s">
        <v>671</v>
      </c>
      <c r="Y1425" s="48" t="s">
        <v>672</v>
      </c>
      <c r="Z1425" s="60">
        <v>100665600</v>
      </c>
      <c r="AA1425" s="46">
        <v>8.0000000000000002E-3</v>
      </c>
      <c r="AB1425" s="46"/>
    </row>
    <row r="1426" spans="1:28" ht="48.2" customHeight="1" x14ac:dyDescent="0.25">
      <c r="A1426" s="17" t="e">
        <f>VLOOKUP(C1426,[1]Werke!$A$1:$C$168,3,0)</f>
        <v>#N/A</v>
      </c>
      <c r="B1426" s="17" t="e">
        <f>VLOOKUP(C1426,[1]Werke!$A$1:$C$168,2,0)</f>
        <v>#N/A</v>
      </c>
      <c r="C1426" s="18"/>
      <c r="D1426" s="17" t="e">
        <f>VLOOKUP(C1426,[1]Maliteslimalan!$A$1:$B$210,2,0)</f>
        <v>#N/A</v>
      </c>
      <c r="E1426" s="19" t="e">
        <f>VLOOKUP(C1426,[1]Bestellnr.!$A$1:$B$174,2,0)</f>
        <v>#N/A</v>
      </c>
      <c r="F1426" s="20" t="e">
        <f t="shared" ref="F1426:F1489" si="607">VLOOKUP(G1426,$U$1:$V$1730,2,0)</f>
        <v>#N/A</v>
      </c>
      <c r="G1426" s="17"/>
      <c r="H1426" s="17" t="e">
        <f t="shared" ref="H1426:H1489" si="608">VLOOKUP(G1426,Z$2:AA$1905,2,FALSE)</f>
        <v>#N/A</v>
      </c>
      <c r="I1426" s="20"/>
      <c r="J1426" s="17" t="e">
        <f t="shared" ref="J1426:J1489" si="609">VLOOKUP(G1426,W$2:X$1905,2,FALSE)</f>
        <v>#N/A</v>
      </c>
      <c r="K1426" s="17" t="e">
        <f t="shared" ref="K1426:K1489" si="610">I1426/J1426</f>
        <v>#N/A</v>
      </c>
      <c r="L1426" s="22"/>
      <c r="M1426" s="22"/>
      <c r="N1426" s="22"/>
      <c r="O1426" s="22" t="e">
        <f t="shared" ref="O1426:O1489" si="611">VLOOKUP(N1426,$AL$1285:$AM$1310,2,FALSE)</f>
        <v>#N/A</v>
      </c>
      <c r="P1426" s="22">
        <f t="shared" ref="P1426:P1489" si="612">VLOOKUP(N1426,AC$2:AD$1905,2,FALSE)</f>
        <v>0</v>
      </c>
      <c r="Q1426" s="22"/>
      <c r="R1426" s="23"/>
      <c r="S1426" s="22">
        <f t="shared" ref="S1426:S1489" si="613">VLOOKUP(R1426,AC$2:AD$1905,2,FALSE)</f>
        <v>0</v>
      </c>
      <c r="T1426" s="24" t="e">
        <f t="shared" ref="T1426:T1489" si="614">(H1426*I1426)+P1426*Q1426+S1426*K1426</f>
        <v>#N/A</v>
      </c>
      <c r="U1426" s="40">
        <v>100449600</v>
      </c>
      <c r="V1426" s="17" t="s">
        <v>674</v>
      </c>
      <c r="W1426" s="40">
        <v>100449600</v>
      </c>
      <c r="X1426" s="47" t="s">
        <v>443</v>
      </c>
      <c r="Y1426" s="48" t="s">
        <v>444</v>
      </c>
      <c r="Z1426" s="60">
        <v>100449600</v>
      </c>
      <c r="AA1426" s="46">
        <v>3.7499999999999999E-2</v>
      </c>
      <c r="AB1426" s="46"/>
    </row>
    <row r="1427" spans="1:28" ht="48.2" customHeight="1" x14ac:dyDescent="0.25">
      <c r="A1427" s="17" t="e">
        <f>VLOOKUP(C1427,[1]Werke!$A$1:$C$168,3,0)</f>
        <v>#N/A</v>
      </c>
      <c r="B1427" s="17" t="e">
        <f>VLOOKUP(C1427,[1]Werke!$A$1:$C$168,2,0)</f>
        <v>#N/A</v>
      </c>
      <c r="C1427" s="18"/>
      <c r="D1427" s="17" t="e">
        <f>VLOOKUP(C1427,[1]Maliteslimalan!$A$1:$B$210,2,0)</f>
        <v>#N/A</v>
      </c>
      <c r="E1427" s="19" t="e">
        <f>VLOOKUP(C1427,[1]Bestellnr.!$A$1:$B$174,2,0)</f>
        <v>#N/A</v>
      </c>
      <c r="F1427" s="20" t="e">
        <f t="shared" si="607"/>
        <v>#N/A</v>
      </c>
      <c r="G1427" s="17"/>
      <c r="H1427" s="17" t="e">
        <f t="shared" si="608"/>
        <v>#N/A</v>
      </c>
      <c r="I1427" s="20"/>
      <c r="J1427" s="17" t="e">
        <f t="shared" si="609"/>
        <v>#N/A</v>
      </c>
      <c r="K1427" s="17" t="e">
        <f t="shared" si="610"/>
        <v>#N/A</v>
      </c>
      <c r="L1427" s="22"/>
      <c r="M1427" s="22"/>
      <c r="N1427" s="22"/>
      <c r="O1427" s="22" t="e">
        <f t="shared" si="611"/>
        <v>#N/A</v>
      </c>
      <c r="P1427" s="22">
        <f t="shared" si="612"/>
        <v>0</v>
      </c>
      <c r="Q1427" s="22"/>
      <c r="R1427" s="23"/>
      <c r="S1427" s="22">
        <f t="shared" si="613"/>
        <v>0</v>
      </c>
      <c r="T1427" s="24" t="e">
        <f t="shared" si="614"/>
        <v>#N/A</v>
      </c>
      <c r="U1427" s="40">
        <v>970677000</v>
      </c>
      <c r="V1427" s="42">
        <v>2302211</v>
      </c>
      <c r="W1427" s="40">
        <v>970677000</v>
      </c>
      <c r="X1427" s="47" t="s">
        <v>675</v>
      </c>
      <c r="Y1427" s="48" t="s">
        <v>676</v>
      </c>
      <c r="Z1427" s="60">
        <v>970677000</v>
      </c>
      <c r="AA1427" s="46">
        <v>3.3E-3</v>
      </c>
      <c r="AB1427" s="46"/>
    </row>
    <row r="1428" spans="1:28" ht="48.2" customHeight="1" x14ac:dyDescent="0.25">
      <c r="A1428" s="17" t="e">
        <f>VLOOKUP(C1428,[1]Werke!$A$1:$C$168,3,0)</f>
        <v>#N/A</v>
      </c>
      <c r="B1428" s="17" t="e">
        <f>VLOOKUP(C1428,[1]Werke!$A$1:$C$168,2,0)</f>
        <v>#N/A</v>
      </c>
      <c r="C1428" s="18"/>
      <c r="D1428" s="17" t="e">
        <f>VLOOKUP(C1428,[1]Maliteslimalan!$A$1:$B$210,2,0)</f>
        <v>#N/A</v>
      </c>
      <c r="E1428" s="19" t="e">
        <f>VLOOKUP(C1428,[1]Bestellnr.!$A$1:$B$174,2,0)</f>
        <v>#N/A</v>
      </c>
      <c r="F1428" s="20" t="e">
        <f t="shared" si="607"/>
        <v>#N/A</v>
      </c>
      <c r="G1428" s="17"/>
      <c r="H1428" s="17" t="e">
        <f t="shared" si="608"/>
        <v>#N/A</v>
      </c>
      <c r="I1428" s="20"/>
      <c r="J1428" s="17" t="e">
        <f t="shared" si="609"/>
        <v>#N/A</v>
      </c>
      <c r="K1428" s="17" t="e">
        <f t="shared" si="610"/>
        <v>#N/A</v>
      </c>
      <c r="L1428" s="22"/>
      <c r="M1428" s="22"/>
      <c r="N1428" s="22"/>
      <c r="O1428" s="22" t="e">
        <f t="shared" si="611"/>
        <v>#N/A</v>
      </c>
      <c r="P1428" s="22">
        <f t="shared" si="612"/>
        <v>0</v>
      </c>
      <c r="Q1428" s="22"/>
      <c r="R1428" s="23"/>
      <c r="S1428" s="22">
        <f t="shared" si="613"/>
        <v>0</v>
      </c>
      <c r="T1428" s="24" t="e">
        <f t="shared" si="614"/>
        <v>#N/A</v>
      </c>
      <c r="U1428" s="27">
        <v>940724000</v>
      </c>
      <c r="V1428" s="42" t="s">
        <v>677</v>
      </c>
      <c r="W1428" s="27">
        <v>940724000</v>
      </c>
      <c r="X1428" s="61">
        <v>250</v>
      </c>
      <c r="Y1428" s="48" t="s">
        <v>678</v>
      </c>
      <c r="Z1428" s="60">
        <v>940724000</v>
      </c>
      <c r="AA1428" s="46">
        <v>4.3400000000000001E-2</v>
      </c>
      <c r="AB1428" s="46"/>
    </row>
    <row r="1429" spans="1:28" ht="48.2" customHeight="1" x14ac:dyDescent="0.25">
      <c r="A1429" s="17" t="e">
        <f>VLOOKUP(C1429,[1]Werke!$A$1:$C$168,3,0)</f>
        <v>#N/A</v>
      </c>
      <c r="B1429" s="17" t="e">
        <f>VLOOKUP(C1429,[1]Werke!$A$1:$C$168,2,0)</f>
        <v>#N/A</v>
      </c>
      <c r="C1429" s="18"/>
      <c r="D1429" s="17" t="e">
        <f>VLOOKUP(C1429,[1]Maliteslimalan!$A$1:$B$210,2,0)</f>
        <v>#N/A</v>
      </c>
      <c r="E1429" s="19" t="e">
        <f>VLOOKUP(C1429,[1]Bestellnr.!$A$1:$B$174,2,0)</f>
        <v>#N/A</v>
      </c>
      <c r="F1429" s="20" t="e">
        <f t="shared" si="607"/>
        <v>#N/A</v>
      </c>
      <c r="G1429" s="17"/>
      <c r="H1429" s="17" t="e">
        <f t="shared" si="608"/>
        <v>#N/A</v>
      </c>
      <c r="I1429" s="20"/>
      <c r="J1429" s="17" t="e">
        <f t="shared" si="609"/>
        <v>#N/A</v>
      </c>
      <c r="K1429" s="17" t="e">
        <f t="shared" si="610"/>
        <v>#N/A</v>
      </c>
      <c r="L1429" s="22"/>
      <c r="M1429" s="22"/>
      <c r="N1429" s="22"/>
      <c r="O1429" s="22" t="e">
        <f t="shared" si="611"/>
        <v>#N/A</v>
      </c>
      <c r="P1429" s="22">
        <f t="shared" si="612"/>
        <v>0</v>
      </c>
      <c r="Q1429" s="22"/>
      <c r="R1429" s="23"/>
      <c r="S1429" s="22">
        <f t="shared" si="613"/>
        <v>0</v>
      </c>
      <c r="T1429" s="24" t="e">
        <f t="shared" si="614"/>
        <v>#N/A</v>
      </c>
      <c r="U1429" s="27">
        <v>940993000</v>
      </c>
      <c r="V1429" s="42" t="s">
        <v>679</v>
      </c>
      <c r="W1429" s="27">
        <v>940993000</v>
      </c>
      <c r="X1429" s="61">
        <v>50</v>
      </c>
      <c r="Y1429" s="48" t="s">
        <v>680</v>
      </c>
      <c r="Z1429" s="60">
        <v>940993000</v>
      </c>
      <c r="AA1429" s="46">
        <v>0.18709999999999999</v>
      </c>
      <c r="AB1429" s="46"/>
    </row>
    <row r="1430" spans="1:28" ht="48.2" customHeight="1" x14ac:dyDescent="0.25">
      <c r="A1430" s="17" t="e">
        <f>VLOOKUP(C1430,[1]Werke!$A$1:$C$168,3,0)</f>
        <v>#N/A</v>
      </c>
      <c r="B1430" s="17" t="e">
        <f>VLOOKUP(C1430,[1]Werke!$A$1:$C$168,2,0)</f>
        <v>#N/A</v>
      </c>
      <c r="C1430" s="18"/>
      <c r="D1430" s="17" t="e">
        <f>VLOOKUP(C1430,[1]Maliteslimalan!$A$1:$B$210,2,0)</f>
        <v>#N/A</v>
      </c>
      <c r="E1430" s="19" t="e">
        <f>VLOOKUP(C1430,[1]Bestellnr.!$A$1:$B$174,2,0)</f>
        <v>#N/A</v>
      </c>
      <c r="F1430" s="20" t="e">
        <f t="shared" si="607"/>
        <v>#N/A</v>
      </c>
      <c r="G1430" s="17"/>
      <c r="H1430" s="17" t="e">
        <f t="shared" si="608"/>
        <v>#N/A</v>
      </c>
      <c r="I1430" s="20"/>
      <c r="J1430" s="17" t="e">
        <f t="shared" si="609"/>
        <v>#N/A</v>
      </c>
      <c r="K1430" s="17" t="e">
        <f t="shared" si="610"/>
        <v>#N/A</v>
      </c>
      <c r="L1430" s="22"/>
      <c r="M1430" s="22"/>
      <c r="N1430" s="22"/>
      <c r="O1430" s="22" t="e">
        <f t="shared" si="611"/>
        <v>#N/A</v>
      </c>
      <c r="P1430" s="22">
        <f t="shared" si="612"/>
        <v>0</v>
      </c>
      <c r="Q1430" s="22"/>
      <c r="R1430" s="23"/>
      <c r="S1430" s="22">
        <f t="shared" si="613"/>
        <v>0</v>
      </c>
      <c r="T1430" s="24" t="e">
        <f t="shared" si="614"/>
        <v>#N/A</v>
      </c>
      <c r="U1430" s="27">
        <v>970512000</v>
      </c>
      <c r="V1430" s="42" t="s">
        <v>681</v>
      </c>
      <c r="W1430" s="27">
        <v>970512000</v>
      </c>
      <c r="X1430" s="61">
        <v>400</v>
      </c>
      <c r="Y1430" s="48" t="s">
        <v>682</v>
      </c>
      <c r="Z1430" s="60">
        <v>970512000</v>
      </c>
      <c r="AA1430" s="46">
        <v>2.947E-2</v>
      </c>
      <c r="AB1430" s="46"/>
    </row>
    <row r="1431" spans="1:28" ht="48.2" customHeight="1" x14ac:dyDescent="0.25">
      <c r="A1431" s="17" t="e">
        <f>VLOOKUP(C1431,[1]Werke!$A$1:$C$168,3,0)</f>
        <v>#N/A</v>
      </c>
      <c r="B1431" s="17" t="e">
        <f>VLOOKUP(C1431,[1]Werke!$A$1:$C$168,2,0)</f>
        <v>#N/A</v>
      </c>
      <c r="C1431" s="18"/>
      <c r="D1431" s="17" t="e">
        <f>VLOOKUP(C1431,[1]Maliteslimalan!$A$1:$B$210,2,0)</f>
        <v>#N/A</v>
      </c>
      <c r="E1431" s="19" t="e">
        <f>VLOOKUP(C1431,[1]Bestellnr.!$A$1:$B$174,2,0)</f>
        <v>#N/A</v>
      </c>
      <c r="F1431" s="20" t="e">
        <f t="shared" si="607"/>
        <v>#N/A</v>
      </c>
      <c r="G1431" s="17"/>
      <c r="H1431" s="17" t="e">
        <f t="shared" si="608"/>
        <v>#N/A</v>
      </c>
      <c r="I1431" s="20"/>
      <c r="J1431" s="17" t="e">
        <f t="shared" si="609"/>
        <v>#N/A</v>
      </c>
      <c r="K1431" s="17" t="e">
        <f t="shared" si="610"/>
        <v>#N/A</v>
      </c>
      <c r="L1431" s="22"/>
      <c r="M1431" s="22"/>
      <c r="N1431" s="22"/>
      <c r="O1431" s="22" t="e">
        <f t="shared" si="611"/>
        <v>#N/A</v>
      </c>
      <c r="P1431" s="22">
        <f t="shared" si="612"/>
        <v>0</v>
      </c>
      <c r="Q1431" s="22"/>
      <c r="R1431" s="23"/>
      <c r="S1431" s="22">
        <f t="shared" si="613"/>
        <v>0</v>
      </c>
      <c r="T1431" s="24" t="e">
        <f t="shared" si="614"/>
        <v>#N/A</v>
      </c>
      <c r="U1431" s="27">
        <v>970692000</v>
      </c>
      <c r="V1431" s="42" t="s">
        <v>683</v>
      </c>
      <c r="W1431" s="27">
        <v>970692000</v>
      </c>
      <c r="X1431" s="61">
        <v>950</v>
      </c>
      <c r="Y1431" s="48" t="s">
        <v>684</v>
      </c>
      <c r="Z1431" s="60">
        <v>970692000</v>
      </c>
      <c r="AA1431" s="46">
        <v>1.4800000000000001E-2</v>
      </c>
      <c r="AB1431" s="46"/>
    </row>
    <row r="1432" spans="1:28" ht="48.2" customHeight="1" x14ac:dyDescent="0.25">
      <c r="A1432" s="17" t="e">
        <f>VLOOKUP(C1432,[1]Werke!$A$1:$C$168,3,0)</f>
        <v>#N/A</v>
      </c>
      <c r="B1432" s="17" t="e">
        <f>VLOOKUP(C1432,[1]Werke!$A$1:$C$168,2,0)</f>
        <v>#N/A</v>
      </c>
      <c r="C1432" s="18"/>
      <c r="D1432" s="17" t="e">
        <f>VLOOKUP(C1432,[1]Maliteslimalan!$A$1:$B$210,2,0)</f>
        <v>#N/A</v>
      </c>
      <c r="E1432" s="19" t="e">
        <f>VLOOKUP(C1432,[1]Bestellnr.!$A$1:$B$174,2,0)</f>
        <v>#N/A</v>
      </c>
      <c r="F1432" s="20" t="e">
        <f t="shared" si="607"/>
        <v>#N/A</v>
      </c>
      <c r="G1432" s="17"/>
      <c r="H1432" s="17" t="e">
        <f t="shared" si="608"/>
        <v>#N/A</v>
      </c>
      <c r="I1432" s="20"/>
      <c r="J1432" s="17" t="e">
        <f t="shared" si="609"/>
        <v>#N/A</v>
      </c>
      <c r="K1432" s="17" t="e">
        <f t="shared" si="610"/>
        <v>#N/A</v>
      </c>
      <c r="L1432" s="22"/>
      <c r="M1432" s="22"/>
      <c r="N1432" s="22"/>
      <c r="O1432" s="22" t="e">
        <f t="shared" si="611"/>
        <v>#N/A</v>
      </c>
      <c r="P1432" s="22">
        <f t="shared" si="612"/>
        <v>0</v>
      </c>
      <c r="Q1432" s="22"/>
      <c r="R1432" s="23"/>
      <c r="S1432" s="22">
        <f t="shared" si="613"/>
        <v>0</v>
      </c>
      <c r="T1432" s="24" t="e">
        <f t="shared" si="614"/>
        <v>#N/A</v>
      </c>
      <c r="U1432" s="27">
        <v>970691000</v>
      </c>
      <c r="V1432" s="42" t="s">
        <v>685</v>
      </c>
      <c r="W1432" s="27">
        <v>970691000</v>
      </c>
      <c r="X1432" s="61">
        <v>700</v>
      </c>
      <c r="Y1432" s="48" t="s">
        <v>686</v>
      </c>
      <c r="Z1432" s="60">
        <v>970691000</v>
      </c>
      <c r="AA1432" s="46">
        <v>1.4970000000000001E-2</v>
      </c>
      <c r="AB1432" s="46"/>
    </row>
    <row r="1433" spans="1:28" ht="48.2" customHeight="1" x14ac:dyDescent="0.25">
      <c r="A1433" s="17" t="e">
        <f>VLOOKUP(C1433,[1]Werke!$A$1:$C$168,3,0)</f>
        <v>#N/A</v>
      </c>
      <c r="B1433" s="17" t="e">
        <f>VLOOKUP(C1433,[1]Werke!$A$1:$C$168,2,0)</f>
        <v>#N/A</v>
      </c>
      <c r="C1433" s="18"/>
      <c r="D1433" s="17" t="e">
        <f>VLOOKUP(C1433,[1]Maliteslimalan!$A$1:$B$210,2,0)</f>
        <v>#N/A</v>
      </c>
      <c r="E1433" s="19" t="e">
        <f>VLOOKUP(C1433,[1]Bestellnr.!$A$1:$B$174,2,0)</f>
        <v>#N/A</v>
      </c>
      <c r="F1433" s="20" t="e">
        <f t="shared" si="607"/>
        <v>#N/A</v>
      </c>
      <c r="G1433" s="17"/>
      <c r="H1433" s="17" t="e">
        <f t="shared" si="608"/>
        <v>#N/A</v>
      </c>
      <c r="I1433" s="20"/>
      <c r="J1433" s="17" t="e">
        <f t="shared" si="609"/>
        <v>#N/A</v>
      </c>
      <c r="K1433" s="17" t="e">
        <f t="shared" si="610"/>
        <v>#N/A</v>
      </c>
      <c r="L1433" s="22"/>
      <c r="M1433" s="22"/>
      <c r="N1433" s="22"/>
      <c r="O1433" s="22" t="e">
        <f t="shared" si="611"/>
        <v>#N/A</v>
      </c>
      <c r="P1433" s="22">
        <f t="shared" si="612"/>
        <v>0</v>
      </c>
      <c r="Q1433" s="22"/>
      <c r="R1433" s="23"/>
      <c r="S1433" s="22">
        <f t="shared" si="613"/>
        <v>0</v>
      </c>
      <c r="T1433" s="24" t="e">
        <f t="shared" si="614"/>
        <v>#N/A</v>
      </c>
      <c r="U1433" s="27">
        <v>970694000</v>
      </c>
      <c r="V1433" s="42" t="s">
        <v>687</v>
      </c>
      <c r="W1433" s="27">
        <v>970694000</v>
      </c>
      <c r="X1433" s="61">
        <v>1000</v>
      </c>
      <c r="Y1433" s="48" t="s">
        <v>688</v>
      </c>
      <c r="Z1433" s="60">
        <v>970694000</v>
      </c>
      <c r="AA1433" s="46">
        <v>1.17E-2</v>
      </c>
      <c r="AB1433" s="46"/>
    </row>
    <row r="1434" spans="1:28" ht="48.2" customHeight="1" x14ac:dyDescent="0.25">
      <c r="A1434" s="17" t="e">
        <f>VLOOKUP(C1434,[1]Werke!$A$1:$C$168,3,0)</f>
        <v>#N/A</v>
      </c>
      <c r="B1434" s="17" t="e">
        <f>VLOOKUP(C1434,[1]Werke!$A$1:$C$168,2,0)</f>
        <v>#N/A</v>
      </c>
      <c r="C1434" s="18"/>
      <c r="D1434" s="17" t="e">
        <f>VLOOKUP(C1434,[1]Maliteslimalan!$A$1:$B$210,2,0)</f>
        <v>#N/A</v>
      </c>
      <c r="E1434" s="19" t="e">
        <f>VLOOKUP(C1434,[1]Bestellnr.!$A$1:$B$174,2,0)</f>
        <v>#N/A</v>
      </c>
      <c r="F1434" s="20" t="e">
        <f t="shared" si="607"/>
        <v>#N/A</v>
      </c>
      <c r="G1434" s="17"/>
      <c r="H1434" s="17" t="e">
        <f t="shared" si="608"/>
        <v>#N/A</v>
      </c>
      <c r="I1434" s="20"/>
      <c r="J1434" s="17" t="e">
        <f t="shared" si="609"/>
        <v>#N/A</v>
      </c>
      <c r="K1434" s="17" t="e">
        <f t="shared" si="610"/>
        <v>#N/A</v>
      </c>
      <c r="L1434" s="22"/>
      <c r="M1434" s="22"/>
      <c r="N1434" s="22"/>
      <c r="O1434" s="22" t="e">
        <f t="shared" si="611"/>
        <v>#N/A</v>
      </c>
      <c r="P1434" s="22">
        <f t="shared" si="612"/>
        <v>0</v>
      </c>
      <c r="Q1434" s="22"/>
      <c r="R1434" s="23"/>
      <c r="S1434" s="22">
        <f t="shared" si="613"/>
        <v>0</v>
      </c>
      <c r="T1434" s="24" t="e">
        <f t="shared" si="614"/>
        <v>#N/A</v>
      </c>
      <c r="U1434" s="27">
        <v>970693000</v>
      </c>
      <c r="V1434" s="42" t="s">
        <v>689</v>
      </c>
      <c r="W1434" s="27">
        <v>970693000</v>
      </c>
      <c r="X1434" s="61">
        <v>2100</v>
      </c>
      <c r="Y1434" s="48" t="s">
        <v>690</v>
      </c>
      <c r="Z1434" s="60">
        <v>970693000</v>
      </c>
      <c r="AA1434" s="46">
        <v>6.9199999999999999E-3</v>
      </c>
      <c r="AB1434" s="46"/>
    </row>
    <row r="1435" spans="1:28" ht="48.2" customHeight="1" x14ac:dyDescent="0.25">
      <c r="A1435" s="17" t="e">
        <f>VLOOKUP(C1435,[1]Werke!$A$1:$C$168,3,0)</f>
        <v>#N/A</v>
      </c>
      <c r="B1435" s="17" t="e">
        <f>VLOOKUP(C1435,[1]Werke!$A$1:$C$168,2,0)</f>
        <v>#N/A</v>
      </c>
      <c r="C1435" s="18"/>
      <c r="D1435" s="17" t="e">
        <f>VLOOKUP(C1435,[1]Maliteslimalan!$A$1:$B$210,2,0)</f>
        <v>#N/A</v>
      </c>
      <c r="E1435" s="19" t="e">
        <f>VLOOKUP(C1435,[1]Bestellnr.!$A$1:$B$174,2,0)</f>
        <v>#N/A</v>
      </c>
      <c r="F1435" s="20" t="e">
        <f t="shared" si="607"/>
        <v>#N/A</v>
      </c>
      <c r="G1435" s="17"/>
      <c r="H1435" s="17" t="e">
        <f t="shared" si="608"/>
        <v>#N/A</v>
      </c>
      <c r="I1435" s="20"/>
      <c r="J1435" s="17" t="e">
        <f t="shared" si="609"/>
        <v>#N/A</v>
      </c>
      <c r="K1435" s="17" t="e">
        <f t="shared" si="610"/>
        <v>#N/A</v>
      </c>
      <c r="L1435" s="22"/>
      <c r="M1435" s="22"/>
      <c r="N1435" s="22"/>
      <c r="O1435" s="22" t="e">
        <f t="shared" si="611"/>
        <v>#N/A</v>
      </c>
      <c r="P1435" s="22">
        <f t="shared" si="612"/>
        <v>0</v>
      </c>
      <c r="Q1435" s="22"/>
      <c r="R1435" s="23"/>
      <c r="S1435" s="22">
        <f t="shared" si="613"/>
        <v>0</v>
      </c>
      <c r="T1435" s="24" t="e">
        <f t="shared" si="614"/>
        <v>#N/A</v>
      </c>
      <c r="U1435" s="27">
        <v>970652000</v>
      </c>
      <c r="V1435" s="42" t="s">
        <v>691</v>
      </c>
      <c r="W1435" s="27">
        <v>970652000</v>
      </c>
      <c r="X1435" s="61">
        <v>460</v>
      </c>
      <c r="Y1435" s="48" t="s">
        <v>692</v>
      </c>
      <c r="Z1435" s="60">
        <v>970652000</v>
      </c>
      <c r="AA1435" s="46">
        <v>2.8289999999999999E-2</v>
      </c>
      <c r="AB1435" s="46"/>
    </row>
    <row r="1436" spans="1:28" ht="48.2" customHeight="1" x14ac:dyDescent="0.25">
      <c r="A1436" s="17" t="e">
        <f>VLOOKUP(C1436,[1]Werke!$A$1:$C$168,3,0)</f>
        <v>#N/A</v>
      </c>
      <c r="B1436" s="17" t="e">
        <f>VLOOKUP(C1436,[1]Werke!$A$1:$C$168,2,0)</f>
        <v>#N/A</v>
      </c>
      <c r="C1436" s="18"/>
      <c r="D1436" s="17" t="e">
        <f>VLOOKUP(C1436,[1]Maliteslimalan!$A$1:$B$210,2,0)</f>
        <v>#N/A</v>
      </c>
      <c r="E1436" s="19" t="e">
        <f>VLOOKUP(C1436,[1]Bestellnr.!$A$1:$B$174,2,0)</f>
        <v>#N/A</v>
      </c>
      <c r="F1436" s="20" t="e">
        <f t="shared" si="607"/>
        <v>#N/A</v>
      </c>
      <c r="G1436" s="17"/>
      <c r="H1436" s="17" t="e">
        <f t="shared" si="608"/>
        <v>#N/A</v>
      </c>
      <c r="I1436" s="20"/>
      <c r="J1436" s="17" t="e">
        <f t="shared" si="609"/>
        <v>#N/A</v>
      </c>
      <c r="K1436" s="17" t="e">
        <f t="shared" si="610"/>
        <v>#N/A</v>
      </c>
      <c r="L1436" s="22"/>
      <c r="M1436" s="22"/>
      <c r="N1436" s="22"/>
      <c r="O1436" s="22" t="e">
        <f t="shared" si="611"/>
        <v>#N/A</v>
      </c>
      <c r="P1436" s="22">
        <f t="shared" si="612"/>
        <v>0</v>
      </c>
      <c r="Q1436" s="22"/>
      <c r="R1436" s="23"/>
      <c r="S1436" s="22">
        <f t="shared" si="613"/>
        <v>0</v>
      </c>
      <c r="T1436" s="24" t="e">
        <f t="shared" si="614"/>
        <v>#N/A</v>
      </c>
      <c r="U1436" s="27">
        <v>970698000</v>
      </c>
      <c r="V1436" s="42" t="s">
        <v>693</v>
      </c>
      <c r="W1436" s="27">
        <v>970698000</v>
      </c>
      <c r="X1436" s="61">
        <v>1000</v>
      </c>
      <c r="Y1436" s="48" t="s">
        <v>694</v>
      </c>
      <c r="Z1436" s="60">
        <v>970698000</v>
      </c>
      <c r="AA1436" s="46">
        <v>1.345E-2</v>
      </c>
      <c r="AB1436" s="46"/>
    </row>
    <row r="1437" spans="1:28" ht="48.2" customHeight="1" x14ac:dyDescent="0.25">
      <c r="A1437" s="17" t="e">
        <f>VLOOKUP(C1437,[1]Werke!$A$1:$C$168,3,0)</f>
        <v>#N/A</v>
      </c>
      <c r="B1437" s="17" t="e">
        <f>VLOOKUP(C1437,[1]Werke!$A$1:$C$168,2,0)</f>
        <v>#N/A</v>
      </c>
      <c r="C1437" s="18"/>
      <c r="D1437" s="17" t="e">
        <f>VLOOKUP(C1437,[1]Maliteslimalan!$A$1:$B$210,2,0)</f>
        <v>#N/A</v>
      </c>
      <c r="E1437" s="19" t="e">
        <f>VLOOKUP(C1437,[1]Bestellnr.!$A$1:$B$174,2,0)</f>
        <v>#N/A</v>
      </c>
      <c r="F1437" s="20" t="e">
        <f t="shared" si="607"/>
        <v>#N/A</v>
      </c>
      <c r="G1437" s="17"/>
      <c r="H1437" s="17" t="e">
        <f t="shared" si="608"/>
        <v>#N/A</v>
      </c>
      <c r="I1437" s="20"/>
      <c r="J1437" s="17" t="e">
        <f t="shared" si="609"/>
        <v>#N/A</v>
      </c>
      <c r="K1437" s="17" t="e">
        <f t="shared" si="610"/>
        <v>#N/A</v>
      </c>
      <c r="L1437" s="22"/>
      <c r="M1437" s="22"/>
      <c r="N1437" s="22"/>
      <c r="O1437" s="22" t="e">
        <f t="shared" si="611"/>
        <v>#N/A</v>
      </c>
      <c r="P1437" s="22">
        <f t="shared" si="612"/>
        <v>0</v>
      </c>
      <c r="Q1437" s="22"/>
      <c r="R1437" s="23"/>
      <c r="S1437" s="22">
        <f t="shared" si="613"/>
        <v>0</v>
      </c>
      <c r="T1437" s="24" t="e">
        <f t="shared" si="614"/>
        <v>#N/A</v>
      </c>
      <c r="U1437" s="27">
        <v>970695000</v>
      </c>
      <c r="V1437" s="42" t="s">
        <v>695</v>
      </c>
      <c r="W1437" s="27">
        <v>970695000</v>
      </c>
      <c r="X1437" s="61">
        <v>800</v>
      </c>
      <c r="Y1437" s="48" t="s">
        <v>696</v>
      </c>
      <c r="Z1437" s="60">
        <v>970695000</v>
      </c>
      <c r="AA1437" s="46">
        <v>1.7250000000000001E-2</v>
      </c>
      <c r="AB1437" s="46"/>
    </row>
    <row r="1438" spans="1:28" ht="48.2" customHeight="1" x14ac:dyDescent="0.25">
      <c r="A1438" s="17" t="e">
        <f>VLOOKUP(C1438,[1]Werke!$A$1:$C$168,3,0)</f>
        <v>#N/A</v>
      </c>
      <c r="B1438" s="17" t="e">
        <f>VLOOKUP(C1438,[1]Werke!$A$1:$C$168,2,0)</f>
        <v>#N/A</v>
      </c>
      <c r="C1438" s="18"/>
      <c r="D1438" s="17" t="e">
        <f>VLOOKUP(C1438,[1]Maliteslimalan!$A$1:$B$210,2,0)</f>
        <v>#N/A</v>
      </c>
      <c r="E1438" s="19" t="e">
        <f>VLOOKUP(C1438,[1]Bestellnr.!$A$1:$B$174,2,0)</f>
        <v>#N/A</v>
      </c>
      <c r="F1438" s="20" t="e">
        <f t="shared" si="607"/>
        <v>#N/A</v>
      </c>
      <c r="G1438" s="22"/>
      <c r="H1438" s="17" t="e">
        <f t="shared" si="608"/>
        <v>#N/A</v>
      </c>
      <c r="I1438" s="20"/>
      <c r="J1438" s="17" t="e">
        <f t="shared" si="609"/>
        <v>#N/A</v>
      </c>
      <c r="K1438" s="17" t="e">
        <f t="shared" si="610"/>
        <v>#N/A</v>
      </c>
      <c r="L1438" s="22"/>
      <c r="M1438" s="22"/>
      <c r="N1438" s="22"/>
      <c r="O1438" s="22" t="e">
        <f t="shared" si="611"/>
        <v>#N/A</v>
      </c>
      <c r="P1438" s="22">
        <f t="shared" si="612"/>
        <v>0</v>
      </c>
      <c r="Q1438" s="22"/>
      <c r="R1438" s="23"/>
      <c r="S1438" s="22">
        <f t="shared" si="613"/>
        <v>0</v>
      </c>
      <c r="T1438" s="24" t="e">
        <f t="shared" si="614"/>
        <v>#N/A</v>
      </c>
      <c r="U1438" s="27">
        <v>970723000</v>
      </c>
      <c r="V1438" s="42" t="s">
        <v>519</v>
      </c>
      <c r="W1438" s="27">
        <v>970723000</v>
      </c>
      <c r="X1438" s="61">
        <v>4300</v>
      </c>
      <c r="Y1438" s="48" t="s">
        <v>697</v>
      </c>
      <c r="Z1438" s="60">
        <v>970723000</v>
      </c>
      <c r="AA1438" s="46">
        <v>3.3800000000000002E-3</v>
      </c>
      <c r="AB1438" s="46"/>
    </row>
    <row r="1439" spans="1:28" ht="48.2" customHeight="1" x14ac:dyDescent="0.25">
      <c r="A1439" s="17" t="e">
        <f>VLOOKUP(C1439,[1]Werke!$A$1:$C$168,3,0)</f>
        <v>#N/A</v>
      </c>
      <c r="B1439" s="17" t="e">
        <f>VLOOKUP(C1439,[1]Werke!$A$1:$C$168,2,0)</f>
        <v>#N/A</v>
      </c>
      <c r="C1439" s="18"/>
      <c r="D1439" s="17" t="e">
        <f>VLOOKUP(C1439,[1]Maliteslimalan!$A$1:$B$210,2,0)</f>
        <v>#N/A</v>
      </c>
      <c r="E1439" s="19" t="e">
        <f>VLOOKUP(C1439,[1]Bestellnr.!$A$1:$B$174,2,0)</f>
        <v>#N/A</v>
      </c>
      <c r="F1439" s="20" t="e">
        <f t="shared" si="607"/>
        <v>#N/A</v>
      </c>
      <c r="G1439" s="22"/>
      <c r="H1439" s="17" t="e">
        <f t="shared" si="608"/>
        <v>#N/A</v>
      </c>
      <c r="I1439" s="20"/>
      <c r="J1439" s="17" t="e">
        <f t="shared" si="609"/>
        <v>#N/A</v>
      </c>
      <c r="K1439" s="17" t="e">
        <f t="shared" si="610"/>
        <v>#N/A</v>
      </c>
      <c r="L1439" s="22"/>
      <c r="M1439" s="22"/>
      <c r="N1439" s="22"/>
      <c r="O1439" s="22" t="e">
        <f t="shared" si="611"/>
        <v>#N/A</v>
      </c>
      <c r="P1439" s="22">
        <f t="shared" si="612"/>
        <v>0</v>
      </c>
      <c r="Q1439" s="22"/>
      <c r="R1439" s="23"/>
      <c r="S1439" s="22">
        <f t="shared" si="613"/>
        <v>0</v>
      </c>
      <c r="T1439" s="24" t="e">
        <f t="shared" si="614"/>
        <v>#N/A</v>
      </c>
      <c r="U1439" s="27">
        <v>940893000</v>
      </c>
      <c r="V1439" s="42" t="s">
        <v>698</v>
      </c>
      <c r="W1439" s="27">
        <v>940893000</v>
      </c>
      <c r="X1439" s="61">
        <v>400</v>
      </c>
      <c r="Y1439" s="48" t="s">
        <v>699</v>
      </c>
      <c r="Z1439" s="60">
        <v>940893000</v>
      </c>
      <c r="AA1439" s="46">
        <v>3.4320000000000003E-2</v>
      </c>
      <c r="AB1439" s="46"/>
    </row>
    <row r="1440" spans="1:28" ht="48.2" customHeight="1" x14ac:dyDescent="0.25">
      <c r="A1440" s="17" t="e">
        <f>VLOOKUP(C1440,[1]Werke!$A$1:$C$168,3,0)</f>
        <v>#N/A</v>
      </c>
      <c r="B1440" s="17" t="e">
        <f>VLOOKUP(C1440,[1]Werke!$A$1:$C$168,2,0)</f>
        <v>#N/A</v>
      </c>
      <c r="C1440" s="18"/>
      <c r="D1440" s="17" t="e">
        <f>VLOOKUP(C1440,[1]Maliteslimalan!$A$1:$B$210,2,0)</f>
        <v>#N/A</v>
      </c>
      <c r="E1440" s="19" t="e">
        <f>VLOOKUP(C1440,[1]Bestellnr.!$A$1:$B$174,2,0)</f>
        <v>#N/A</v>
      </c>
      <c r="F1440" s="20" t="e">
        <f t="shared" si="607"/>
        <v>#N/A</v>
      </c>
      <c r="G1440" s="17"/>
      <c r="H1440" s="17" t="e">
        <f t="shared" si="608"/>
        <v>#N/A</v>
      </c>
      <c r="I1440" s="20"/>
      <c r="J1440" s="17" t="e">
        <f t="shared" si="609"/>
        <v>#N/A</v>
      </c>
      <c r="K1440" s="17" t="e">
        <f t="shared" si="610"/>
        <v>#N/A</v>
      </c>
      <c r="L1440" s="22"/>
      <c r="M1440" s="22"/>
      <c r="N1440" s="22"/>
      <c r="O1440" s="22" t="e">
        <f t="shared" si="611"/>
        <v>#N/A</v>
      </c>
      <c r="P1440" s="22">
        <f t="shared" si="612"/>
        <v>0</v>
      </c>
      <c r="Q1440" s="22"/>
      <c r="R1440" s="23"/>
      <c r="S1440" s="22">
        <f t="shared" si="613"/>
        <v>0</v>
      </c>
      <c r="T1440" s="24" t="e">
        <f t="shared" si="614"/>
        <v>#N/A</v>
      </c>
      <c r="U1440" s="27">
        <v>110000102</v>
      </c>
      <c r="V1440" s="42" t="s">
        <v>700</v>
      </c>
      <c r="W1440" s="27">
        <v>110000102</v>
      </c>
      <c r="X1440" s="61">
        <v>500</v>
      </c>
      <c r="Y1440" s="48" t="s">
        <v>701</v>
      </c>
      <c r="Z1440" s="60">
        <v>110000102</v>
      </c>
      <c r="AA1440" s="46">
        <v>2.4479999999999998E-2</v>
      </c>
      <c r="AB1440" s="46"/>
    </row>
    <row r="1441" spans="1:28" ht="48.2" customHeight="1" x14ac:dyDescent="0.25">
      <c r="A1441" s="17" t="e">
        <f>VLOOKUP(C1441,[1]Werke!$A$1:$C$168,3,0)</f>
        <v>#N/A</v>
      </c>
      <c r="B1441" s="17" t="e">
        <f>VLOOKUP(C1441,[1]Werke!$A$1:$C$168,2,0)</f>
        <v>#N/A</v>
      </c>
      <c r="C1441" s="18"/>
      <c r="D1441" s="17" t="e">
        <f>VLOOKUP(C1441,[1]Maliteslimalan!$A$1:$B$210,2,0)</f>
        <v>#N/A</v>
      </c>
      <c r="E1441" s="19" t="e">
        <f>VLOOKUP(C1441,[1]Bestellnr.!$A$1:$B$174,2,0)</f>
        <v>#N/A</v>
      </c>
      <c r="F1441" s="20" t="e">
        <f t="shared" si="607"/>
        <v>#N/A</v>
      </c>
      <c r="G1441" s="17"/>
      <c r="H1441" s="17" t="e">
        <f t="shared" si="608"/>
        <v>#N/A</v>
      </c>
      <c r="I1441" s="20"/>
      <c r="J1441" s="17" t="e">
        <f t="shared" si="609"/>
        <v>#N/A</v>
      </c>
      <c r="K1441" s="17" t="e">
        <f t="shared" si="610"/>
        <v>#N/A</v>
      </c>
      <c r="L1441" s="22"/>
      <c r="M1441" s="22"/>
      <c r="N1441" s="22"/>
      <c r="O1441" s="22" t="e">
        <f t="shared" si="611"/>
        <v>#N/A</v>
      </c>
      <c r="P1441" s="22">
        <f t="shared" si="612"/>
        <v>0</v>
      </c>
      <c r="Q1441" s="22"/>
      <c r="R1441" s="23"/>
      <c r="S1441" s="22">
        <f t="shared" si="613"/>
        <v>0</v>
      </c>
      <c r="T1441" s="24" t="e">
        <f t="shared" si="614"/>
        <v>#N/A</v>
      </c>
      <c r="U1441" s="27">
        <v>970697000</v>
      </c>
      <c r="V1441" s="42" t="s">
        <v>702</v>
      </c>
      <c r="W1441" s="27">
        <v>970697000</v>
      </c>
      <c r="X1441" s="61">
        <v>1550</v>
      </c>
      <c r="Y1441" s="48" t="s">
        <v>703</v>
      </c>
      <c r="Z1441" s="60">
        <v>970697000</v>
      </c>
      <c r="AA1441" s="46">
        <v>9.2599999999999991E-3</v>
      </c>
      <c r="AB1441" s="46"/>
    </row>
    <row r="1442" spans="1:28" ht="48.2" customHeight="1" x14ac:dyDescent="0.25">
      <c r="A1442" s="17" t="e">
        <f>VLOOKUP(C1442,[1]Werke!$A$1:$C$168,3,0)</f>
        <v>#N/A</v>
      </c>
      <c r="B1442" s="17" t="e">
        <f>VLOOKUP(C1442,[1]Werke!$A$1:$C$168,2,0)</f>
        <v>#N/A</v>
      </c>
      <c r="C1442" s="18"/>
      <c r="D1442" s="17" t="e">
        <f>VLOOKUP(C1442,[1]Maliteslimalan!$A$1:$B$210,2,0)</f>
        <v>#N/A</v>
      </c>
      <c r="E1442" s="19" t="e">
        <f>VLOOKUP(C1442,[1]Bestellnr.!$A$1:$B$174,2,0)</f>
        <v>#N/A</v>
      </c>
      <c r="F1442" s="20" t="e">
        <f t="shared" si="607"/>
        <v>#N/A</v>
      </c>
      <c r="G1442" s="17"/>
      <c r="H1442" s="17" t="e">
        <f t="shared" si="608"/>
        <v>#N/A</v>
      </c>
      <c r="I1442" s="20"/>
      <c r="J1442" s="17" t="e">
        <f t="shared" si="609"/>
        <v>#N/A</v>
      </c>
      <c r="K1442" s="17" t="e">
        <f t="shared" si="610"/>
        <v>#N/A</v>
      </c>
      <c r="L1442" s="22"/>
      <c r="M1442" s="22"/>
      <c r="N1442" s="22"/>
      <c r="O1442" s="22" t="e">
        <f t="shared" si="611"/>
        <v>#N/A</v>
      </c>
      <c r="P1442" s="22">
        <f t="shared" si="612"/>
        <v>0</v>
      </c>
      <c r="Q1442" s="22"/>
      <c r="R1442" s="23"/>
      <c r="S1442" s="22">
        <f t="shared" si="613"/>
        <v>0</v>
      </c>
      <c r="T1442" s="24" t="e">
        <f t="shared" si="614"/>
        <v>#N/A</v>
      </c>
      <c r="U1442" s="27">
        <v>970696000</v>
      </c>
      <c r="V1442" s="42" t="s">
        <v>704</v>
      </c>
      <c r="W1442" s="27">
        <v>970696000</v>
      </c>
      <c r="X1442" s="61">
        <v>700</v>
      </c>
      <c r="Y1442" s="48" t="s">
        <v>705</v>
      </c>
      <c r="Z1442" s="60">
        <v>970696000</v>
      </c>
      <c r="AA1442" s="46">
        <v>2.053E-2</v>
      </c>
      <c r="AB1442" s="46"/>
    </row>
    <row r="1443" spans="1:28" ht="48.2" customHeight="1" x14ac:dyDescent="0.25">
      <c r="A1443" s="17" t="e">
        <f>VLOOKUP(C1443,[1]Werke!$A$1:$C$168,3,0)</f>
        <v>#N/A</v>
      </c>
      <c r="B1443" s="17" t="e">
        <f>VLOOKUP(C1443,[1]Werke!$A$1:$C$168,2,0)</f>
        <v>#N/A</v>
      </c>
      <c r="C1443" s="18"/>
      <c r="D1443" s="17" t="e">
        <f>VLOOKUP(C1443,[1]Maliteslimalan!$A$1:$B$210,2,0)</f>
        <v>#N/A</v>
      </c>
      <c r="E1443" s="19" t="e">
        <f>VLOOKUP(C1443,[1]Bestellnr.!$A$1:$B$174,2,0)</f>
        <v>#N/A</v>
      </c>
      <c r="F1443" s="20" t="e">
        <f t="shared" si="607"/>
        <v>#N/A</v>
      </c>
      <c r="G1443" s="17"/>
      <c r="H1443" s="17" t="e">
        <f t="shared" si="608"/>
        <v>#N/A</v>
      </c>
      <c r="I1443" s="20"/>
      <c r="J1443" s="17" t="e">
        <f t="shared" si="609"/>
        <v>#N/A</v>
      </c>
      <c r="K1443" s="17" t="e">
        <f t="shared" si="610"/>
        <v>#N/A</v>
      </c>
      <c r="L1443" s="22"/>
      <c r="M1443" s="22"/>
      <c r="N1443" s="22"/>
      <c r="O1443" s="22" t="e">
        <f t="shared" si="611"/>
        <v>#N/A</v>
      </c>
      <c r="P1443" s="22">
        <f t="shared" si="612"/>
        <v>0</v>
      </c>
      <c r="Q1443" s="22"/>
      <c r="R1443" s="23"/>
      <c r="S1443" s="22">
        <f t="shared" si="613"/>
        <v>0</v>
      </c>
      <c r="T1443" s="24" t="e">
        <f t="shared" si="614"/>
        <v>#N/A</v>
      </c>
      <c r="U1443" s="27">
        <v>110021500</v>
      </c>
      <c r="V1443" s="42" t="s">
        <v>706</v>
      </c>
      <c r="W1443" s="27">
        <v>110021500</v>
      </c>
      <c r="X1443" s="61">
        <v>1750</v>
      </c>
      <c r="Y1443" s="48" t="s">
        <v>707</v>
      </c>
      <c r="Z1443" s="60">
        <v>110021500</v>
      </c>
      <c r="AA1443" s="46">
        <v>6.13E-3</v>
      </c>
      <c r="AB1443" s="46"/>
    </row>
    <row r="1444" spans="1:28" ht="48.2" customHeight="1" x14ac:dyDescent="0.25">
      <c r="A1444" s="17" t="e">
        <f>VLOOKUP(C1444,[1]Werke!$A$1:$C$168,3,0)</f>
        <v>#N/A</v>
      </c>
      <c r="B1444" s="17" t="e">
        <f>VLOOKUP(C1444,[1]Werke!$A$1:$C$168,2,0)</f>
        <v>#N/A</v>
      </c>
      <c r="C1444" s="18"/>
      <c r="D1444" s="17" t="e">
        <f>VLOOKUP(C1444,[1]Maliteslimalan!$A$1:$B$210,2,0)</f>
        <v>#N/A</v>
      </c>
      <c r="E1444" s="19" t="e">
        <f>VLOOKUP(C1444,[1]Bestellnr.!$A$1:$B$174,2,0)</f>
        <v>#N/A</v>
      </c>
      <c r="F1444" s="20" t="e">
        <f t="shared" si="607"/>
        <v>#N/A</v>
      </c>
      <c r="G1444" s="17"/>
      <c r="H1444" s="17" t="e">
        <f t="shared" si="608"/>
        <v>#N/A</v>
      </c>
      <c r="I1444" s="20"/>
      <c r="J1444" s="17" t="e">
        <f t="shared" si="609"/>
        <v>#N/A</v>
      </c>
      <c r="K1444" s="17" t="e">
        <f t="shared" si="610"/>
        <v>#N/A</v>
      </c>
      <c r="L1444" s="22"/>
      <c r="M1444" s="22"/>
      <c r="N1444" s="22"/>
      <c r="O1444" s="22" t="e">
        <f t="shared" si="611"/>
        <v>#N/A</v>
      </c>
      <c r="P1444" s="22">
        <f t="shared" si="612"/>
        <v>0</v>
      </c>
      <c r="Q1444" s="22"/>
      <c r="R1444" s="23"/>
      <c r="S1444" s="22">
        <f t="shared" si="613"/>
        <v>0</v>
      </c>
      <c r="T1444" s="24" t="e">
        <f t="shared" si="614"/>
        <v>#N/A</v>
      </c>
      <c r="U1444" s="27">
        <v>970829000</v>
      </c>
      <c r="V1444" s="42" t="s">
        <v>523</v>
      </c>
      <c r="W1444" s="27">
        <v>970829000</v>
      </c>
      <c r="X1444" s="61">
        <v>1800</v>
      </c>
      <c r="Y1444" s="48" t="s">
        <v>708</v>
      </c>
      <c r="Z1444" s="60">
        <v>970829000</v>
      </c>
      <c r="AA1444" s="46">
        <v>7.7499999999999999E-3</v>
      </c>
      <c r="AB1444" s="46"/>
    </row>
    <row r="1445" spans="1:28" ht="48.2" customHeight="1" x14ac:dyDescent="0.25">
      <c r="A1445" s="17" t="e">
        <f>VLOOKUP(C1445,[1]Werke!$A$1:$C$168,3,0)</f>
        <v>#N/A</v>
      </c>
      <c r="B1445" s="17" t="e">
        <f>VLOOKUP(C1445,[1]Werke!$A$1:$C$168,2,0)</f>
        <v>#N/A</v>
      </c>
      <c r="C1445" s="18"/>
      <c r="D1445" s="17" t="e">
        <f>VLOOKUP(C1445,[1]Maliteslimalan!$A$1:$B$210,2,0)</f>
        <v>#N/A</v>
      </c>
      <c r="E1445" s="19" t="e">
        <f>VLOOKUP(C1445,[1]Bestellnr.!$A$1:$B$174,2,0)</f>
        <v>#N/A</v>
      </c>
      <c r="F1445" s="20" t="e">
        <f t="shared" si="607"/>
        <v>#N/A</v>
      </c>
      <c r="G1445" s="17"/>
      <c r="H1445" s="17" t="e">
        <f t="shared" si="608"/>
        <v>#N/A</v>
      </c>
      <c r="I1445" s="20"/>
      <c r="J1445" s="17" t="e">
        <f t="shared" si="609"/>
        <v>#N/A</v>
      </c>
      <c r="K1445" s="17" t="e">
        <f t="shared" si="610"/>
        <v>#N/A</v>
      </c>
      <c r="L1445" s="22"/>
      <c r="M1445" s="22"/>
      <c r="N1445" s="22"/>
      <c r="O1445" s="22" t="e">
        <f t="shared" si="611"/>
        <v>#N/A</v>
      </c>
      <c r="P1445" s="22">
        <f t="shared" si="612"/>
        <v>0</v>
      </c>
      <c r="Q1445" s="22"/>
      <c r="R1445" s="23"/>
      <c r="S1445" s="22">
        <f t="shared" si="613"/>
        <v>0</v>
      </c>
      <c r="T1445" s="24" t="e">
        <f t="shared" si="614"/>
        <v>#N/A</v>
      </c>
      <c r="U1445" s="27">
        <v>110004700</v>
      </c>
      <c r="V1445" s="42" t="s">
        <v>709</v>
      </c>
      <c r="W1445" s="27">
        <v>110004700</v>
      </c>
      <c r="X1445" s="61">
        <v>700</v>
      </c>
      <c r="Y1445" s="48" t="s">
        <v>710</v>
      </c>
      <c r="Z1445" s="60">
        <v>110004700</v>
      </c>
      <c r="AA1445" s="46">
        <v>2.189E-2</v>
      </c>
      <c r="AB1445" s="46"/>
    </row>
    <row r="1446" spans="1:28" ht="48.2" customHeight="1" x14ac:dyDescent="0.25">
      <c r="A1446" s="17" t="e">
        <f>VLOOKUP(C1446,[1]Werke!$A$1:$C$168,3,0)</f>
        <v>#N/A</v>
      </c>
      <c r="B1446" s="17" t="e">
        <f>VLOOKUP(C1446,[1]Werke!$A$1:$C$168,2,0)</f>
        <v>#N/A</v>
      </c>
      <c r="C1446" s="18"/>
      <c r="D1446" s="17" t="e">
        <f>VLOOKUP(C1446,[1]Maliteslimalan!$A$1:$B$210,2,0)</f>
        <v>#N/A</v>
      </c>
      <c r="E1446" s="19" t="e">
        <f>VLOOKUP(C1446,[1]Bestellnr.!$A$1:$B$174,2,0)</f>
        <v>#N/A</v>
      </c>
      <c r="F1446" s="20" t="e">
        <f t="shared" si="607"/>
        <v>#N/A</v>
      </c>
      <c r="G1446" s="17"/>
      <c r="H1446" s="17" t="e">
        <f t="shared" si="608"/>
        <v>#N/A</v>
      </c>
      <c r="I1446" s="20"/>
      <c r="J1446" s="17" t="e">
        <f t="shared" si="609"/>
        <v>#N/A</v>
      </c>
      <c r="K1446" s="17" t="e">
        <f t="shared" si="610"/>
        <v>#N/A</v>
      </c>
      <c r="L1446" s="22"/>
      <c r="M1446" s="22"/>
      <c r="N1446" s="22"/>
      <c r="O1446" s="22" t="e">
        <f t="shared" si="611"/>
        <v>#N/A</v>
      </c>
      <c r="P1446" s="22">
        <f t="shared" si="612"/>
        <v>0</v>
      </c>
      <c r="Q1446" s="22"/>
      <c r="R1446" s="23"/>
      <c r="S1446" s="22">
        <f t="shared" si="613"/>
        <v>0</v>
      </c>
      <c r="T1446" s="24" t="e">
        <f t="shared" si="614"/>
        <v>#N/A</v>
      </c>
      <c r="U1446" s="27">
        <v>100048600</v>
      </c>
      <c r="V1446" s="42" t="s">
        <v>711</v>
      </c>
      <c r="W1446" s="27">
        <v>100048600</v>
      </c>
      <c r="X1446" s="61">
        <v>400</v>
      </c>
      <c r="Y1446" s="48" t="s">
        <v>712</v>
      </c>
      <c r="Z1446" s="60">
        <v>100048600</v>
      </c>
      <c r="AA1446" s="46">
        <v>3.1510000000000003E-2</v>
      </c>
      <c r="AB1446" s="46"/>
    </row>
    <row r="1447" spans="1:28" ht="48.2" customHeight="1" x14ac:dyDescent="0.25">
      <c r="A1447" s="17" t="e">
        <f>VLOOKUP(C1447,[1]Werke!$A$1:$C$168,3,0)</f>
        <v>#N/A</v>
      </c>
      <c r="B1447" s="17" t="e">
        <f>VLOOKUP(C1447,[1]Werke!$A$1:$C$168,2,0)</f>
        <v>#N/A</v>
      </c>
      <c r="C1447" s="18"/>
      <c r="D1447" s="17" t="e">
        <f>VLOOKUP(C1447,[1]Maliteslimalan!$A$1:$B$210,2,0)</f>
        <v>#N/A</v>
      </c>
      <c r="E1447" s="19" t="e">
        <f>VLOOKUP(C1447,[1]Bestellnr.!$A$1:$B$174,2,0)</f>
        <v>#N/A</v>
      </c>
      <c r="F1447" s="20" t="e">
        <f t="shared" si="607"/>
        <v>#N/A</v>
      </c>
      <c r="G1447" s="17"/>
      <c r="H1447" s="17" t="e">
        <f t="shared" si="608"/>
        <v>#N/A</v>
      </c>
      <c r="I1447" s="20"/>
      <c r="J1447" s="17" t="e">
        <f t="shared" si="609"/>
        <v>#N/A</v>
      </c>
      <c r="K1447" s="17" t="e">
        <f t="shared" si="610"/>
        <v>#N/A</v>
      </c>
      <c r="L1447" s="22"/>
      <c r="M1447" s="22"/>
      <c r="N1447" s="22"/>
      <c r="O1447" s="22" t="e">
        <f t="shared" si="611"/>
        <v>#N/A</v>
      </c>
      <c r="P1447" s="22">
        <f t="shared" si="612"/>
        <v>0</v>
      </c>
      <c r="Q1447" s="22"/>
      <c r="R1447" s="23"/>
      <c r="S1447" s="22">
        <f t="shared" si="613"/>
        <v>0</v>
      </c>
      <c r="T1447" s="24" t="e">
        <f t="shared" si="614"/>
        <v>#N/A</v>
      </c>
      <c r="U1447" s="27">
        <v>100122200</v>
      </c>
      <c r="V1447" s="42" t="s">
        <v>713</v>
      </c>
      <c r="W1447" s="27">
        <v>100122200</v>
      </c>
      <c r="X1447" s="61">
        <v>650</v>
      </c>
      <c r="Y1447" s="48" t="s">
        <v>714</v>
      </c>
      <c r="Z1447" s="60">
        <v>100122200</v>
      </c>
      <c r="AA1447" s="46">
        <v>1.8180000000000002E-2</v>
      </c>
      <c r="AB1447" s="46"/>
    </row>
    <row r="1448" spans="1:28" ht="48.2" customHeight="1" x14ac:dyDescent="0.25">
      <c r="A1448" s="17" t="e">
        <f>VLOOKUP(C1448,[1]Werke!$A$1:$C$168,3,0)</f>
        <v>#N/A</v>
      </c>
      <c r="B1448" s="17" t="e">
        <f>VLOOKUP(C1448,[1]Werke!$A$1:$C$168,2,0)</f>
        <v>#N/A</v>
      </c>
      <c r="C1448" s="18"/>
      <c r="D1448" s="17" t="e">
        <f>VLOOKUP(C1448,[1]Maliteslimalan!$A$1:$B$210,2,0)</f>
        <v>#N/A</v>
      </c>
      <c r="E1448" s="19" t="e">
        <f>VLOOKUP(C1448,[1]Bestellnr.!$A$1:$B$174,2,0)</f>
        <v>#N/A</v>
      </c>
      <c r="F1448" s="20" t="e">
        <f t="shared" si="607"/>
        <v>#N/A</v>
      </c>
      <c r="G1448" s="17"/>
      <c r="H1448" s="17" t="e">
        <f t="shared" si="608"/>
        <v>#N/A</v>
      </c>
      <c r="I1448" s="20"/>
      <c r="J1448" s="17" t="e">
        <f t="shared" si="609"/>
        <v>#N/A</v>
      </c>
      <c r="K1448" s="17" t="e">
        <f t="shared" si="610"/>
        <v>#N/A</v>
      </c>
      <c r="L1448" s="22"/>
      <c r="M1448" s="22"/>
      <c r="N1448" s="22"/>
      <c r="O1448" s="22" t="e">
        <f t="shared" si="611"/>
        <v>#N/A</v>
      </c>
      <c r="P1448" s="22">
        <f t="shared" si="612"/>
        <v>0</v>
      </c>
      <c r="Q1448" s="22"/>
      <c r="R1448" s="23"/>
      <c r="S1448" s="22">
        <f t="shared" si="613"/>
        <v>0</v>
      </c>
      <c r="T1448" s="24" t="e">
        <f t="shared" si="614"/>
        <v>#N/A</v>
      </c>
      <c r="U1448" s="27">
        <v>100147700</v>
      </c>
      <c r="V1448" s="42" t="s">
        <v>715</v>
      </c>
      <c r="W1448" s="27">
        <v>100147700</v>
      </c>
      <c r="X1448" s="61">
        <v>50</v>
      </c>
      <c r="Y1448" s="48" t="s">
        <v>569</v>
      </c>
      <c r="Z1448" s="60">
        <v>100147700</v>
      </c>
      <c r="AA1448" s="46">
        <v>0.13436999999999999</v>
      </c>
      <c r="AB1448" s="46"/>
    </row>
    <row r="1449" spans="1:28" ht="48.2" customHeight="1" x14ac:dyDescent="0.25">
      <c r="A1449" s="17" t="e">
        <f>VLOOKUP(C1449,[1]Werke!$A$1:$C$168,3,0)</f>
        <v>#N/A</v>
      </c>
      <c r="B1449" s="17" t="e">
        <f>VLOOKUP(C1449,[1]Werke!$A$1:$C$168,2,0)</f>
        <v>#N/A</v>
      </c>
      <c r="C1449" s="18"/>
      <c r="D1449" s="17" t="e">
        <f>VLOOKUP(C1449,[1]Maliteslimalan!$A$1:$B$210,2,0)</f>
        <v>#N/A</v>
      </c>
      <c r="E1449" s="19" t="e">
        <f>VLOOKUP(C1449,[1]Bestellnr.!$A$1:$B$174,2,0)</f>
        <v>#N/A</v>
      </c>
      <c r="F1449" s="20" t="e">
        <f t="shared" si="607"/>
        <v>#N/A</v>
      </c>
      <c r="G1449" s="17"/>
      <c r="H1449" s="17" t="e">
        <f t="shared" si="608"/>
        <v>#N/A</v>
      </c>
      <c r="I1449" s="20"/>
      <c r="J1449" s="17" t="e">
        <f t="shared" si="609"/>
        <v>#N/A</v>
      </c>
      <c r="K1449" s="17" t="e">
        <f t="shared" si="610"/>
        <v>#N/A</v>
      </c>
      <c r="L1449" s="22"/>
      <c r="M1449" s="22"/>
      <c r="N1449" s="22"/>
      <c r="O1449" s="22" t="e">
        <f t="shared" si="611"/>
        <v>#N/A</v>
      </c>
      <c r="P1449" s="22">
        <f t="shared" si="612"/>
        <v>0</v>
      </c>
      <c r="Q1449" s="22"/>
      <c r="R1449" s="23"/>
      <c r="S1449" s="22">
        <f t="shared" si="613"/>
        <v>0</v>
      </c>
      <c r="T1449" s="24" t="e">
        <f t="shared" si="614"/>
        <v>#N/A</v>
      </c>
      <c r="U1449" s="27">
        <v>100197200</v>
      </c>
      <c r="V1449" s="42" t="s">
        <v>716</v>
      </c>
      <c r="W1449" s="27">
        <v>100197200</v>
      </c>
      <c r="X1449" s="61">
        <v>500</v>
      </c>
      <c r="Y1449" s="48" t="s">
        <v>717</v>
      </c>
      <c r="Z1449" s="60">
        <v>100197200</v>
      </c>
      <c r="AA1449" s="46">
        <v>9.9799999999999993E-3</v>
      </c>
      <c r="AB1449" s="46"/>
    </row>
    <row r="1450" spans="1:28" ht="48.2" customHeight="1" x14ac:dyDescent="0.25">
      <c r="A1450" s="17" t="e">
        <f>VLOOKUP(C1450,[1]Werke!$A$1:$C$168,3,0)</f>
        <v>#N/A</v>
      </c>
      <c r="B1450" s="17" t="e">
        <f>VLOOKUP(C1450,[1]Werke!$A$1:$C$168,2,0)</f>
        <v>#N/A</v>
      </c>
      <c r="C1450" s="18"/>
      <c r="D1450" s="17" t="e">
        <f>VLOOKUP(C1450,[1]Maliteslimalan!$A$1:$B$210,2,0)</f>
        <v>#N/A</v>
      </c>
      <c r="E1450" s="19" t="e">
        <f>VLOOKUP(C1450,[1]Bestellnr.!$A$1:$B$174,2,0)</f>
        <v>#N/A</v>
      </c>
      <c r="F1450" s="20" t="e">
        <f t="shared" si="607"/>
        <v>#N/A</v>
      </c>
      <c r="G1450" s="17"/>
      <c r="H1450" s="17" t="e">
        <f t="shared" si="608"/>
        <v>#N/A</v>
      </c>
      <c r="I1450" s="20"/>
      <c r="J1450" s="17" t="e">
        <f t="shared" si="609"/>
        <v>#N/A</v>
      </c>
      <c r="K1450" s="17" t="e">
        <f t="shared" si="610"/>
        <v>#N/A</v>
      </c>
      <c r="L1450" s="22"/>
      <c r="M1450" s="22"/>
      <c r="N1450" s="22"/>
      <c r="O1450" s="22" t="e">
        <f t="shared" si="611"/>
        <v>#N/A</v>
      </c>
      <c r="P1450" s="22">
        <f t="shared" si="612"/>
        <v>0</v>
      </c>
      <c r="Q1450" s="22"/>
      <c r="R1450" s="23"/>
      <c r="S1450" s="22">
        <f t="shared" si="613"/>
        <v>0</v>
      </c>
      <c r="T1450" s="24" t="e">
        <f t="shared" si="614"/>
        <v>#N/A</v>
      </c>
      <c r="U1450" s="27">
        <v>931828000</v>
      </c>
      <c r="V1450" s="42" t="s">
        <v>718</v>
      </c>
      <c r="W1450" s="27">
        <v>931828000</v>
      </c>
      <c r="X1450" s="61">
        <v>200</v>
      </c>
      <c r="Y1450" s="48" t="s">
        <v>719</v>
      </c>
      <c r="Z1450" s="60">
        <v>931828000</v>
      </c>
      <c r="AA1450" s="46">
        <v>3.9550000000000002E-2</v>
      </c>
      <c r="AB1450" s="46"/>
    </row>
    <row r="1451" spans="1:28" ht="48.2" customHeight="1" x14ac:dyDescent="0.25">
      <c r="A1451" s="17" t="e">
        <f>VLOOKUP(C1451,[1]Werke!$A$1:$C$168,3,0)</f>
        <v>#N/A</v>
      </c>
      <c r="B1451" s="17" t="e">
        <f>VLOOKUP(C1451,[1]Werke!$A$1:$C$168,2,0)</f>
        <v>#N/A</v>
      </c>
      <c r="C1451" s="18"/>
      <c r="D1451" s="17" t="e">
        <f>VLOOKUP(C1451,[1]Maliteslimalan!$A$1:$B$210,2,0)</f>
        <v>#N/A</v>
      </c>
      <c r="E1451" s="19" t="e">
        <f>VLOOKUP(C1451,[1]Bestellnr.!$A$1:$B$174,2,0)</f>
        <v>#N/A</v>
      </c>
      <c r="F1451" s="20" t="e">
        <f t="shared" si="607"/>
        <v>#N/A</v>
      </c>
      <c r="G1451" s="17"/>
      <c r="H1451" s="17" t="e">
        <f t="shared" si="608"/>
        <v>#N/A</v>
      </c>
      <c r="I1451" s="20"/>
      <c r="J1451" s="17" t="e">
        <f t="shared" si="609"/>
        <v>#N/A</v>
      </c>
      <c r="K1451" s="17" t="e">
        <f t="shared" si="610"/>
        <v>#N/A</v>
      </c>
      <c r="L1451" s="22"/>
      <c r="M1451" s="22"/>
      <c r="N1451" s="22"/>
      <c r="O1451" s="22" t="e">
        <f t="shared" si="611"/>
        <v>#N/A</v>
      </c>
      <c r="P1451" s="22">
        <f t="shared" si="612"/>
        <v>0</v>
      </c>
      <c r="Q1451" s="22"/>
      <c r="R1451" s="23"/>
      <c r="S1451" s="22">
        <f t="shared" si="613"/>
        <v>0</v>
      </c>
      <c r="T1451" s="24" t="e">
        <f t="shared" si="614"/>
        <v>#N/A</v>
      </c>
      <c r="U1451" s="27">
        <v>110039600</v>
      </c>
      <c r="V1451" s="42" t="s">
        <v>720</v>
      </c>
      <c r="W1451" s="27">
        <v>110039600</v>
      </c>
      <c r="X1451" s="61">
        <v>500</v>
      </c>
      <c r="Y1451" s="48" t="s">
        <v>721</v>
      </c>
      <c r="Z1451" s="60">
        <v>110039600</v>
      </c>
      <c r="AA1451" s="46">
        <v>2.588E-2</v>
      </c>
      <c r="AB1451" s="46"/>
    </row>
    <row r="1452" spans="1:28" ht="48.2" customHeight="1" x14ac:dyDescent="0.25">
      <c r="A1452" s="17" t="e">
        <f>VLOOKUP(C1452,[1]Werke!$A$1:$C$168,3,0)</f>
        <v>#N/A</v>
      </c>
      <c r="B1452" s="17" t="e">
        <f>VLOOKUP(C1452,[1]Werke!$A$1:$C$168,2,0)</f>
        <v>#N/A</v>
      </c>
      <c r="C1452" s="18"/>
      <c r="D1452" s="17" t="e">
        <f>VLOOKUP(C1452,[1]Maliteslimalan!$A$1:$B$210,2,0)</f>
        <v>#N/A</v>
      </c>
      <c r="E1452" s="19" t="e">
        <f>VLOOKUP(C1452,[1]Bestellnr.!$A$1:$B$174,2,0)</f>
        <v>#N/A</v>
      </c>
      <c r="F1452" s="20" t="e">
        <f t="shared" si="607"/>
        <v>#N/A</v>
      </c>
      <c r="G1452" s="17"/>
      <c r="H1452" s="17" t="e">
        <f t="shared" si="608"/>
        <v>#N/A</v>
      </c>
      <c r="I1452" s="20"/>
      <c r="J1452" s="17" t="e">
        <f t="shared" si="609"/>
        <v>#N/A</v>
      </c>
      <c r="K1452" s="17" t="e">
        <f t="shared" si="610"/>
        <v>#N/A</v>
      </c>
      <c r="L1452" s="22"/>
      <c r="M1452" s="22"/>
      <c r="N1452" s="22"/>
      <c r="O1452" s="22" t="e">
        <f t="shared" si="611"/>
        <v>#N/A</v>
      </c>
      <c r="P1452" s="22">
        <f t="shared" si="612"/>
        <v>0</v>
      </c>
      <c r="Q1452" s="22"/>
      <c r="R1452" s="23"/>
      <c r="S1452" s="22">
        <f t="shared" si="613"/>
        <v>0</v>
      </c>
      <c r="T1452" s="24" t="e">
        <f t="shared" si="614"/>
        <v>#N/A</v>
      </c>
      <c r="U1452" s="27">
        <v>931826000</v>
      </c>
      <c r="V1452" s="42" t="s">
        <v>722</v>
      </c>
      <c r="W1452" s="27">
        <v>931826000</v>
      </c>
      <c r="X1452" s="61">
        <v>250</v>
      </c>
      <c r="Y1452" s="48" t="s">
        <v>723</v>
      </c>
      <c r="Z1452" s="60">
        <v>931826000</v>
      </c>
      <c r="AA1452" s="46">
        <v>3.2849999999999997E-2</v>
      </c>
      <c r="AB1452" s="46"/>
    </row>
    <row r="1453" spans="1:28" ht="48.2" customHeight="1" x14ac:dyDescent="0.25">
      <c r="A1453" s="17" t="e">
        <f>VLOOKUP(C1453,[1]Werke!$A$1:$C$168,3,0)</f>
        <v>#N/A</v>
      </c>
      <c r="B1453" s="17" t="e">
        <f>VLOOKUP(C1453,[1]Werke!$A$1:$C$168,2,0)</f>
        <v>#N/A</v>
      </c>
      <c r="C1453" s="18"/>
      <c r="D1453" s="17" t="e">
        <f>VLOOKUP(C1453,[1]Maliteslimalan!$A$1:$B$210,2,0)</f>
        <v>#N/A</v>
      </c>
      <c r="E1453" s="19" t="e">
        <f>VLOOKUP(C1453,[1]Bestellnr.!$A$1:$B$174,2,0)</f>
        <v>#N/A</v>
      </c>
      <c r="F1453" s="20" t="e">
        <f t="shared" si="607"/>
        <v>#N/A</v>
      </c>
      <c r="G1453" s="17"/>
      <c r="H1453" s="17" t="e">
        <f t="shared" si="608"/>
        <v>#N/A</v>
      </c>
      <c r="I1453" s="20"/>
      <c r="J1453" s="17" t="e">
        <f t="shared" si="609"/>
        <v>#N/A</v>
      </c>
      <c r="K1453" s="17" t="e">
        <f t="shared" si="610"/>
        <v>#N/A</v>
      </c>
      <c r="L1453" s="22"/>
      <c r="M1453" s="22"/>
      <c r="N1453" s="22"/>
      <c r="O1453" s="22" t="e">
        <f t="shared" si="611"/>
        <v>#N/A</v>
      </c>
      <c r="P1453" s="22">
        <f t="shared" si="612"/>
        <v>0</v>
      </c>
      <c r="Q1453" s="22"/>
      <c r="R1453" s="23"/>
      <c r="S1453" s="22">
        <f t="shared" si="613"/>
        <v>0</v>
      </c>
      <c r="T1453" s="24" t="e">
        <f t="shared" si="614"/>
        <v>#N/A</v>
      </c>
      <c r="U1453" s="27">
        <v>918900000</v>
      </c>
      <c r="V1453" s="42">
        <v>8912120074</v>
      </c>
      <c r="W1453" s="27">
        <v>918900000</v>
      </c>
      <c r="X1453" s="61">
        <v>1000</v>
      </c>
      <c r="Y1453" s="48" t="s">
        <v>724</v>
      </c>
      <c r="Z1453" s="60">
        <v>918900000</v>
      </c>
      <c r="AA1453" s="46">
        <v>1.5900000000000001E-2</v>
      </c>
      <c r="AB1453" s="46"/>
    </row>
    <row r="1454" spans="1:28" ht="48.2" customHeight="1" x14ac:dyDescent="0.25">
      <c r="A1454" s="17" t="e">
        <f>VLOOKUP(C1454,[1]Werke!$A$1:$C$168,3,0)</f>
        <v>#N/A</v>
      </c>
      <c r="B1454" s="17" t="e">
        <f>VLOOKUP(C1454,[1]Werke!$A$1:$C$168,2,0)</f>
        <v>#N/A</v>
      </c>
      <c r="C1454" s="18"/>
      <c r="D1454" s="17" t="e">
        <f>VLOOKUP(C1454,[1]Maliteslimalan!$A$1:$B$210,2,0)</f>
        <v>#N/A</v>
      </c>
      <c r="E1454" s="19" t="e">
        <f>VLOOKUP(C1454,[1]Bestellnr.!$A$1:$B$174,2,0)</f>
        <v>#N/A</v>
      </c>
      <c r="F1454" s="20" t="e">
        <f t="shared" si="607"/>
        <v>#N/A</v>
      </c>
      <c r="G1454" s="17"/>
      <c r="H1454" s="17" t="e">
        <f t="shared" si="608"/>
        <v>#N/A</v>
      </c>
      <c r="I1454" s="20"/>
      <c r="J1454" s="17" t="e">
        <f t="shared" si="609"/>
        <v>#N/A</v>
      </c>
      <c r="K1454" s="17" t="e">
        <f t="shared" si="610"/>
        <v>#N/A</v>
      </c>
      <c r="L1454" s="22"/>
      <c r="M1454" s="22"/>
      <c r="N1454" s="22"/>
      <c r="O1454" s="22" t="e">
        <f t="shared" si="611"/>
        <v>#N/A</v>
      </c>
      <c r="P1454" s="22">
        <f t="shared" si="612"/>
        <v>0</v>
      </c>
      <c r="Q1454" s="22"/>
      <c r="R1454" s="23"/>
      <c r="S1454" s="22">
        <f t="shared" si="613"/>
        <v>0</v>
      </c>
      <c r="T1454" s="24" t="e">
        <f t="shared" si="614"/>
        <v>#N/A</v>
      </c>
      <c r="U1454" s="27">
        <v>926931000</v>
      </c>
      <c r="V1454" s="42">
        <v>8912117784</v>
      </c>
      <c r="W1454" s="27">
        <v>926931000</v>
      </c>
      <c r="X1454" s="61">
        <v>800</v>
      </c>
      <c r="Y1454" s="48" t="s">
        <v>725</v>
      </c>
      <c r="Z1454" s="60">
        <v>926931000</v>
      </c>
      <c r="AA1454" s="46">
        <v>1.7270000000000001E-2</v>
      </c>
      <c r="AB1454" s="46"/>
    </row>
    <row r="1455" spans="1:28" ht="48.2" customHeight="1" x14ac:dyDescent="0.25">
      <c r="A1455" s="17" t="e">
        <f>VLOOKUP(C1455,[1]Werke!$A$1:$C$168,3,0)</f>
        <v>#N/A</v>
      </c>
      <c r="B1455" s="17" t="e">
        <f>VLOOKUP(C1455,[1]Werke!$A$1:$C$168,2,0)</f>
        <v>#N/A</v>
      </c>
      <c r="C1455" s="18"/>
      <c r="D1455" s="17" t="e">
        <f>VLOOKUP(C1455,[1]Maliteslimalan!$A$1:$B$210,2,0)</f>
        <v>#N/A</v>
      </c>
      <c r="E1455" s="19" t="e">
        <f>VLOOKUP(C1455,[1]Bestellnr.!$A$1:$B$174,2,0)</f>
        <v>#N/A</v>
      </c>
      <c r="F1455" s="20" t="e">
        <f t="shared" si="607"/>
        <v>#N/A</v>
      </c>
      <c r="G1455" s="17"/>
      <c r="H1455" s="17" t="e">
        <f t="shared" si="608"/>
        <v>#N/A</v>
      </c>
      <c r="I1455" s="20"/>
      <c r="J1455" s="17" t="e">
        <f t="shared" si="609"/>
        <v>#N/A</v>
      </c>
      <c r="K1455" s="17" t="e">
        <f t="shared" si="610"/>
        <v>#N/A</v>
      </c>
      <c r="L1455" s="22"/>
      <c r="M1455" s="22"/>
      <c r="N1455" s="22"/>
      <c r="O1455" s="22" t="e">
        <f t="shared" si="611"/>
        <v>#N/A</v>
      </c>
      <c r="P1455" s="22">
        <f t="shared" si="612"/>
        <v>0</v>
      </c>
      <c r="Q1455" s="22"/>
      <c r="R1455" s="23"/>
      <c r="S1455" s="22">
        <f t="shared" si="613"/>
        <v>0</v>
      </c>
      <c r="T1455" s="24" t="e">
        <f t="shared" si="614"/>
        <v>#N/A</v>
      </c>
      <c r="U1455" s="27">
        <v>927941000</v>
      </c>
      <c r="V1455" s="42">
        <v>8912119994</v>
      </c>
      <c r="W1455" s="27">
        <v>927941000</v>
      </c>
      <c r="X1455" s="61">
        <v>400</v>
      </c>
      <c r="Y1455" s="48" t="s">
        <v>726</v>
      </c>
      <c r="Z1455" s="60">
        <v>927941000</v>
      </c>
      <c r="AA1455" s="46">
        <v>3.5000000000000003E-2</v>
      </c>
      <c r="AB1455" s="46"/>
    </row>
    <row r="1456" spans="1:28" ht="48.2" customHeight="1" x14ac:dyDescent="0.25">
      <c r="A1456" s="17" t="e">
        <f>VLOOKUP(C1456,[1]Werke!$A$1:$C$168,3,0)</f>
        <v>#N/A</v>
      </c>
      <c r="B1456" s="17" t="e">
        <f>VLOOKUP(C1456,[1]Werke!$A$1:$C$168,2,0)</f>
        <v>#N/A</v>
      </c>
      <c r="C1456" s="18"/>
      <c r="D1456" s="17" t="e">
        <f>VLOOKUP(C1456,[1]Maliteslimalan!$A$1:$B$210,2,0)</f>
        <v>#N/A</v>
      </c>
      <c r="E1456" s="19" t="e">
        <f>VLOOKUP(C1456,[1]Bestellnr.!$A$1:$B$174,2,0)</f>
        <v>#N/A</v>
      </c>
      <c r="F1456" s="20" t="e">
        <f t="shared" si="607"/>
        <v>#N/A</v>
      </c>
      <c r="G1456" s="17"/>
      <c r="H1456" s="17" t="e">
        <f t="shared" si="608"/>
        <v>#N/A</v>
      </c>
      <c r="I1456" s="20"/>
      <c r="J1456" s="17" t="e">
        <f t="shared" si="609"/>
        <v>#N/A</v>
      </c>
      <c r="K1456" s="17" t="e">
        <f t="shared" si="610"/>
        <v>#N/A</v>
      </c>
      <c r="L1456" s="22"/>
      <c r="M1456" s="22"/>
      <c r="N1456" s="22"/>
      <c r="O1456" s="22" t="e">
        <f t="shared" si="611"/>
        <v>#N/A</v>
      </c>
      <c r="P1456" s="22">
        <f t="shared" si="612"/>
        <v>0</v>
      </c>
      <c r="Q1456" s="22"/>
      <c r="R1456" s="23"/>
      <c r="S1456" s="22">
        <f t="shared" si="613"/>
        <v>0</v>
      </c>
      <c r="T1456" s="24" t="e">
        <f t="shared" si="614"/>
        <v>#N/A</v>
      </c>
      <c r="U1456" s="27">
        <v>940352000</v>
      </c>
      <c r="V1456" s="42">
        <v>2505686</v>
      </c>
      <c r="W1456" s="27">
        <v>940352000</v>
      </c>
      <c r="X1456" s="61">
        <v>100</v>
      </c>
      <c r="Y1456" s="48" t="s">
        <v>727</v>
      </c>
      <c r="Z1456" s="60">
        <v>940352000</v>
      </c>
      <c r="AA1456" s="46">
        <v>5.0290000000000001E-2</v>
      </c>
      <c r="AB1456" s="46"/>
    </row>
    <row r="1457" spans="1:28" ht="48.2" customHeight="1" x14ac:dyDescent="0.25">
      <c r="A1457" s="17" t="e">
        <f>VLOOKUP(C1457,[1]Werke!$A$1:$C$168,3,0)</f>
        <v>#N/A</v>
      </c>
      <c r="B1457" s="17" t="e">
        <f>VLOOKUP(C1457,[1]Werke!$A$1:$C$168,2,0)</f>
        <v>#N/A</v>
      </c>
      <c r="C1457" s="18"/>
      <c r="D1457" s="17" t="e">
        <f>VLOOKUP(C1457,[1]Maliteslimalan!$A$1:$B$210,2,0)</f>
        <v>#N/A</v>
      </c>
      <c r="E1457" s="19" t="e">
        <f>VLOOKUP(C1457,[1]Bestellnr.!$A$1:$B$174,2,0)</f>
        <v>#N/A</v>
      </c>
      <c r="F1457" s="20" t="e">
        <f t="shared" si="607"/>
        <v>#N/A</v>
      </c>
      <c r="G1457" s="17"/>
      <c r="H1457" s="17" t="e">
        <f t="shared" si="608"/>
        <v>#N/A</v>
      </c>
      <c r="I1457" s="20"/>
      <c r="J1457" s="17" t="e">
        <f t="shared" si="609"/>
        <v>#N/A</v>
      </c>
      <c r="K1457" s="17" t="e">
        <f t="shared" si="610"/>
        <v>#N/A</v>
      </c>
      <c r="L1457" s="22"/>
      <c r="M1457" s="22"/>
      <c r="N1457" s="22"/>
      <c r="O1457" s="22" t="e">
        <f t="shared" si="611"/>
        <v>#N/A</v>
      </c>
      <c r="P1457" s="22">
        <f t="shared" si="612"/>
        <v>0</v>
      </c>
      <c r="Q1457" s="22"/>
      <c r="R1457" s="23"/>
      <c r="S1457" s="22">
        <f t="shared" si="613"/>
        <v>0</v>
      </c>
      <c r="T1457" s="24" t="e">
        <f t="shared" si="614"/>
        <v>#N/A</v>
      </c>
      <c r="U1457" s="27">
        <v>928019000</v>
      </c>
      <c r="V1457" s="42">
        <v>8912017904</v>
      </c>
      <c r="W1457" s="27">
        <v>928019000</v>
      </c>
      <c r="X1457" s="61">
        <v>50</v>
      </c>
      <c r="Y1457" s="48" t="s">
        <v>728</v>
      </c>
      <c r="Z1457" s="60">
        <v>928019000</v>
      </c>
      <c r="AA1457" s="46">
        <v>0.1822</v>
      </c>
      <c r="AB1457" s="46"/>
    </row>
    <row r="1458" spans="1:28" ht="48.2" customHeight="1" x14ac:dyDescent="0.25">
      <c r="A1458" s="17" t="e">
        <f>VLOOKUP(C1458,[1]Werke!$A$1:$C$168,3,0)</f>
        <v>#N/A</v>
      </c>
      <c r="B1458" s="17" t="e">
        <f>VLOOKUP(C1458,[1]Werke!$A$1:$C$168,2,0)</f>
        <v>#N/A</v>
      </c>
      <c r="C1458" s="18"/>
      <c r="D1458" s="17" t="e">
        <f>VLOOKUP(C1458,[1]Maliteslimalan!$A$1:$B$210,2,0)</f>
        <v>#N/A</v>
      </c>
      <c r="E1458" s="19" t="e">
        <f>VLOOKUP(C1458,[1]Bestellnr.!$A$1:$B$174,2,0)</f>
        <v>#N/A</v>
      </c>
      <c r="F1458" s="20" t="e">
        <f t="shared" si="607"/>
        <v>#N/A</v>
      </c>
      <c r="G1458" s="17"/>
      <c r="H1458" s="17" t="e">
        <f t="shared" si="608"/>
        <v>#N/A</v>
      </c>
      <c r="I1458" s="20"/>
      <c r="J1458" s="17" t="e">
        <f t="shared" si="609"/>
        <v>#N/A</v>
      </c>
      <c r="K1458" s="17" t="e">
        <f t="shared" si="610"/>
        <v>#N/A</v>
      </c>
      <c r="L1458" s="22"/>
      <c r="M1458" s="22"/>
      <c r="N1458" s="22"/>
      <c r="O1458" s="22" t="e">
        <f t="shared" si="611"/>
        <v>#N/A</v>
      </c>
      <c r="P1458" s="22">
        <f t="shared" si="612"/>
        <v>0</v>
      </c>
      <c r="Q1458" s="22"/>
      <c r="R1458" s="23"/>
      <c r="S1458" s="22">
        <f t="shared" si="613"/>
        <v>0</v>
      </c>
      <c r="T1458" s="24" t="e">
        <f t="shared" si="614"/>
        <v>#N/A</v>
      </c>
      <c r="U1458" s="27">
        <v>928021000</v>
      </c>
      <c r="V1458" s="42">
        <v>8913202824</v>
      </c>
      <c r="W1458" s="27">
        <v>928021000</v>
      </c>
      <c r="X1458" s="61">
        <v>45</v>
      </c>
      <c r="Y1458" s="48" t="s">
        <v>729</v>
      </c>
      <c r="Z1458" s="60">
        <v>928021000</v>
      </c>
      <c r="AA1458" s="46">
        <v>0.22459999999999999</v>
      </c>
      <c r="AB1458" s="46"/>
    </row>
    <row r="1459" spans="1:28" ht="48.2" customHeight="1" x14ac:dyDescent="0.25">
      <c r="A1459" s="17" t="e">
        <f>VLOOKUP(C1459,[1]Werke!$A$1:$C$168,3,0)</f>
        <v>#N/A</v>
      </c>
      <c r="B1459" s="17" t="e">
        <f>VLOOKUP(C1459,[1]Werke!$A$1:$C$168,2,0)</f>
        <v>#N/A</v>
      </c>
      <c r="C1459" s="18"/>
      <c r="D1459" s="17" t="e">
        <f>VLOOKUP(C1459,[1]Maliteslimalan!$A$1:$B$210,2,0)</f>
        <v>#N/A</v>
      </c>
      <c r="E1459" s="19" t="e">
        <f>VLOOKUP(C1459,[1]Bestellnr.!$A$1:$B$174,2,0)</f>
        <v>#N/A</v>
      </c>
      <c r="F1459" s="20" t="e">
        <f t="shared" si="607"/>
        <v>#N/A</v>
      </c>
      <c r="G1459" s="17"/>
      <c r="H1459" s="17" t="e">
        <f t="shared" si="608"/>
        <v>#N/A</v>
      </c>
      <c r="I1459" s="20"/>
      <c r="J1459" s="17" t="e">
        <f t="shared" si="609"/>
        <v>#N/A</v>
      </c>
      <c r="K1459" s="17" t="e">
        <f t="shared" si="610"/>
        <v>#N/A</v>
      </c>
      <c r="L1459" s="22"/>
      <c r="M1459" s="22"/>
      <c r="N1459" s="22"/>
      <c r="O1459" s="22" t="e">
        <f t="shared" si="611"/>
        <v>#N/A</v>
      </c>
      <c r="P1459" s="22">
        <f t="shared" si="612"/>
        <v>0</v>
      </c>
      <c r="Q1459" s="22"/>
      <c r="R1459" s="23"/>
      <c r="S1459" s="22">
        <f t="shared" si="613"/>
        <v>0</v>
      </c>
      <c r="T1459" s="24" t="e">
        <f t="shared" si="614"/>
        <v>#N/A</v>
      </c>
      <c r="U1459" s="27">
        <v>928025000</v>
      </c>
      <c r="V1459" s="42">
        <v>9253013004</v>
      </c>
      <c r="W1459" s="27">
        <v>928025000</v>
      </c>
      <c r="X1459" s="61">
        <v>45</v>
      </c>
      <c r="Y1459" s="48" t="s">
        <v>730</v>
      </c>
      <c r="Z1459" s="60">
        <v>928025000</v>
      </c>
      <c r="AA1459" s="46">
        <v>0.26700000000000002</v>
      </c>
      <c r="AB1459" s="46"/>
    </row>
    <row r="1460" spans="1:28" ht="48.2" customHeight="1" x14ac:dyDescent="0.25">
      <c r="A1460" s="17" t="e">
        <f>VLOOKUP(C1460,[1]Werke!$A$1:$C$168,3,0)</f>
        <v>#N/A</v>
      </c>
      <c r="B1460" s="17" t="e">
        <f>VLOOKUP(C1460,[1]Werke!$A$1:$C$168,2,0)</f>
        <v>#N/A</v>
      </c>
      <c r="C1460" s="18"/>
      <c r="D1460" s="17" t="e">
        <f>VLOOKUP(C1460,[1]Maliteslimalan!$A$1:$B$210,2,0)</f>
        <v>#N/A</v>
      </c>
      <c r="E1460" s="19" t="e">
        <f>VLOOKUP(C1460,[1]Bestellnr.!$A$1:$B$174,2,0)</f>
        <v>#N/A</v>
      </c>
      <c r="F1460" s="20" t="e">
        <f t="shared" si="607"/>
        <v>#N/A</v>
      </c>
      <c r="G1460" s="17"/>
      <c r="H1460" s="17" t="e">
        <f t="shared" si="608"/>
        <v>#N/A</v>
      </c>
      <c r="I1460" s="20"/>
      <c r="J1460" s="17" t="e">
        <f t="shared" si="609"/>
        <v>#N/A</v>
      </c>
      <c r="K1460" s="17" t="e">
        <f t="shared" si="610"/>
        <v>#N/A</v>
      </c>
      <c r="L1460" s="22"/>
      <c r="M1460" s="22"/>
      <c r="N1460" s="22"/>
      <c r="O1460" s="22" t="e">
        <f t="shared" si="611"/>
        <v>#N/A</v>
      </c>
      <c r="P1460" s="22">
        <f t="shared" si="612"/>
        <v>0</v>
      </c>
      <c r="Q1460" s="22"/>
      <c r="R1460" s="23"/>
      <c r="S1460" s="22">
        <f t="shared" si="613"/>
        <v>0</v>
      </c>
      <c r="T1460" s="24" t="e">
        <f t="shared" si="614"/>
        <v>#N/A</v>
      </c>
      <c r="U1460" s="27">
        <v>928027000</v>
      </c>
      <c r="V1460" s="42">
        <v>8912017974</v>
      </c>
      <c r="W1460" s="27">
        <v>928027000</v>
      </c>
      <c r="X1460" s="61">
        <v>65</v>
      </c>
      <c r="Y1460" s="48" t="s">
        <v>731</v>
      </c>
      <c r="Z1460" s="60">
        <v>928027000</v>
      </c>
      <c r="AA1460" s="46">
        <v>0.22459999999999999</v>
      </c>
      <c r="AB1460" s="46"/>
    </row>
    <row r="1461" spans="1:28" ht="48.2" customHeight="1" x14ac:dyDescent="0.25">
      <c r="A1461" s="17" t="e">
        <f>VLOOKUP(C1461,[1]Werke!$A$1:$C$168,3,0)</f>
        <v>#N/A</v>
      </c>
      <c r="B1461" s="17" t="e">
        <f>VLOOKUP(C1461,[1]Werke!$A$1:$C$168,2,0)</f>
        <v>#N/A</v>
      </c>
      <c r="C1461" s="18"/>
      <c r="D1461" s="17" t="e">
        <f>VLOOKUP(C1461,[1]Maliteslimalan!$A$1:$B$210,2,0)</f>
        <v>#N/A</v>
      </c>
      <c r="E1461" s="19" t="e">
        <f>VLOOKUP(C1461,[1]Bestellnr.!$A$1:$B$174,2,0)</f>
        <v>#N/A</v>
      </c>
      <c r="F1461" s="20" t="e">
        <f t="shared" si="607"/>
        <v>#N/A</v>
      </c>
      <c r="G1461" s="17"/>
      <c r="H1461" s="17" t="e">
        <f t="shared" si="608"/>
        <v>#N/A</v>
      </c>
      <c r="I1461" s="20"/>
      <c r="J1461" s="17" t="e">
        <f t="shared" si="609"/>
        <v>#N/A</v>
      </c>
      <c r="K1461" s="17" t="e">
        <f t="shared" si="610"/>
        <v>#N/A</v>
      </c>
      <c r="L1461" s="22"/>
      <c r="M1461" s="22"/>
      <c r="N1461" s="22"/>
      <c r="O1461" s="22" t="e">
        <f t="shared" si="611"/>
        <v>#N/A</v>
      </c>
      <c r="P1461" s="22">
        <f t="shared" si="612"/>
        <v>0</v>
      </c>
      <c r="Q1461" s="22"/>
      <c r="R1461" s="23"/>
      <c r="S1461" s="22">
        <f t="shared" si="613"/>
        <v>0</v>
      </c>
      <c r="T1461" s="24" t="e">
        <f t="shared" si="614"/>
        <v>#N/A</v>
      </c>
      <c r="U1461" s="27">
        <v>928904000</v>
      </c>
      <c r="V1461" s="42">
        <v>8101610014</v>
      </c>
      <c r="W1461" s="27">
        <v>928904000</v>
      </c>
      <c r="X1461" s="61">
        <v>700</v>
      </c>
      <c r="Y1461" s="48" t="s">
        <v>732</v>
      </c>
      <c r="Z1461" s="60">
        <v>928904000</v>
      </c>
      <c r="AA1461" s="46">
        <v>1.711E-2</v>
      </c>
      <c r="AB1461" s="46"/>
    </row>
    <row r="1462" spans="1:28" ht="48.2" customHeight="1" x14ac:dyDescent="0.25">
      <c r="A1462" s="17" t="e">
        <f>VLOOKUP(C1462,[1]Werke!$A$1:$C$168,3,0)</f>
        <v>#N/A</v>
      </c>
      <c r="B1462" s="17" t="e">
        <f>VLOOKUP(C1462,[1]Werke!$A$1:$C$168,2,0)</f>
        <v>#N/A</v>
      </c>
      <c r="C1462" s="18"/>
      <c r="D1462" s="17" t="e">
        <f>VLOOKUP(C1462,[1]Maliteslimalan!$A$1:$B$210,2,0)</f>
        <v>#N/A</v>
      </c>
      <c r="E1462" s="19" t="e">
        <f>VLOOKUP(C1462,[1]Bestellnr.!$A$1:$B$174,2,0)</f>
        <v>#N/A</v>
      </c>
      <c r="F1462" s="20" t="e">
        <f t="shared" si="607"/>
        <v>#N/A</v>
      </c>
      <c r="G1462" s="17"/>
      <c r="H1462" s="17" t="e">
        <f t="shared" si="608"/>
        <v>#N/A</v>
      </c>
      <c r="I1462" s="20"/>
      <c r="J1462" s="17" t="e">
        <f t="shared" si="609"/>
        <v>#N/A</v>
      </c>
      <c r="K1462" s="17" t="e">
        <f t="shared" si="610"/>
        <v>#N/A</v>
      </c>
      <c r="L1462" s="22"/>
      <c r="M1462" s="22"/>
      <c r="N1462" s="22"/>
      <c r="O1462" s="22" t="e">
        <f t="shared" si="611"/>
        <v>#N/A</v>
      </c>
      <c r="P1462" s="22">
        <f t="shared" si="612"/>
        <v>0</v>
      </c>
      <c r="Q1462" s="22"/>
      <c r="R1462" s="23"/>
      <c r="S1462" s="22">
        <f t="shared" si="613"/>
        <v>0</v>
      </c>
      <c r="T1462" s="24" t="e">
        <f t="shared" si="614"/>
        <v>#N/A</v>
      </c>
      <c r="U1462" s="27">
        <v>929672000</v>
      </c>
      <c r="V1462" s="42">
        <v>9253053004</v>
      </c>
      <c r="W1462" s="27">
        <v>929672000</v>
      </c>
      <c r="X1462" s="61">
        <v>50</v>
      </c>
      <c r="Y1462" s="48" t="s">
        <v>733</v>
      </c>
      <c r="Z1462" s="60">
        <v>929672000</v>
      </c>
      <c r="AA1462" s="46">
        <v>0.23474999999999999</v>
      </c>
      <c r="AB1462" s="46"/>
    </row>
    <row r="1463" spans="1:28" ht="48.2" customHeight="1" x14ac:dyDescent="0.25">
      <c r="A1463" s="17" t="e">
        <f>VLOOKUP(C1463,[1]Werke!$A$1:$C$168,3,0)</f>
        <v>#N/A</v>
      </c>
      <c r="B1463" s="17" t="e">
        <f>VLOOKUP(C1463,[1]Werke!$A$1:$C$168,2,0)</f>
        <v>#N/A</v>
      </c>
      <c r="C1463" s="18"/>
      <c r="D1463" s="17" t="e">
        <f>VLOOKUP(C1463,[1]Maliteslimalan!$A$1:$B$210,2,0)</f>
        <v>#N/A</v>
      </c>
      <c r="E1463" s="19" t="e">
        <f>VLOOKUP(C1463,[1]Bestellnr.!$A$1:$B$174,2,0)</f>
        <v>#N/A</v>
      </c>
      <c r="F1463" s="20" t="e">
        <f t="shared" si="607"/>
        <v>#N/A</v>
      </c>
      <c r="G1463" s="17"/>
      <c r="H1463" s="17" t="e">
        <f t="shared" si="608"/>
        <v>#N/A</v>
      </c>
      <c r="I1463" s="20"/>
      <c r="J1463" s="17" t="e">
        <f t="shared" si="609"/>
        <v>#N/A</v>
      </c>
      <c r="K1463" s="17" t="e">
        <f t="shared" si="610"/>
        <v>#N/A</v>
      </c>
      <c r="L1463" s="22"/>
      <c r="M1463" s="22"/>
      <c r="N1463" s="22"/>
      <c r="O1463" s="22" t="e">
        <f t="shared" si="611"/>
        <v>#N/A</v>
      </c>
      <c r="P1463" s="22">
        <f t="shared" si="612"/>
        <v>0</v>
      </c>
      <c r="Q1463" s="22"/>
      <c r="R1463" s="23"/>
      <c r="S1463" s="22">
        <f t="shared" si="613"/>
        <v>0</v>
      </c>
      <c r="T1463" s="24" t="e">
        <f t="shared" si="614"/>
        <v>#N/A</v>
      </c>
      <c r="U1463" s="27">
        <v>929674000</v>
      </c>
      <c r="V1463" s="42">
        <v>8913202854</v>
      </c>
      <c r="W1463" s="27">
        <v>929674000</v>
      </c>
      <c r="X1463" s="61">
        <v>65</v>
      </c>
      <c r="Y1463" s="48" t="s">
        <v>734</v>
      </c>
      <c r="Z1463" s="60">
        <v>929674000</v>
      </c>
      <c r="AA1463" s="46">
        <v>0.20100000000000001</v>
      </c>
      <c r="AB1463" s="46"/>
    </row>
    <row r="1464" spans="1:28" ht="48.2" customHeight="1" x14ac:dyDescent="0.25">
      <c r="A1464" s="17" t="e">
        <f>VLOOKUP(C1464,[1]Werke!$A$1:$C$168,3,0)</f>
        <v>#N/A</v>
      </c>
      <c r="B1464" s="17" t="e">
        <f>VLOOKUP(C1464,[1]Werke!$A$1:$C$168,2,0)</f>
        <v>#N/A</v>
      </c>
      <c r="C1464" s="18"/>
      <c r="D1464" s="17" t="e">
        <f>VLOOKUP(C1464,[1]Maliteslimalan!$A$1:$B$210,2,0)</f>
        <v>#N/A</v>
      </c>
      <c r="E1464" s="19" t="e">
        <f>VLOOKUP(C1464,[1]Bestellnr.!$A$1:$B$174,2,0)</f>
        <v>#N/A</v>
      </c>
      <c r="F1464" s="20" t="e">
        <f t="shared" si="607"/>
        <v>#N/A</v>
      </c>
      <c r="G1464" s="17"/>
      <c r="H1464" s="17" t="e">
        <f t="shared" si="608"/>
        <v>#N/A</v>
      </c>
      <c r="I1464" s="20"/>
      <c r="J1464" s="17" t="e">
        <f t="shared" si="609"/>
        <v>#N/A</v>
      </c>
      <c r="K1464" s="17" t="e">
        <f t="shared" si="610"/>
        <v>#N/A</v>
      </c>
      <c r="L1464" s="22"/>
      <c r="M1464" s="22"/>
      <c r="N1464" s="22"/>
      <c r="O1464" s="22" t="e">
        <f t="shared" si="611"/>
        <v>#N/A</v>
      </c>
      <c r="P1464" s="22">
        <f t="shared" si="612"/>
        <v>0</v>
      </c>
      <c r="Q1464" s="22"/>
      <c r="R1464" s="23"/>
      <c r="S1464" s="22">
        <f t="shared" si="613"/>
        <v>0</v>
      </c>
      <c r="T1464" s="24" t="e">
        <f t="shared" si="614"/>
        <v>#N/A</v>
      </c>
      <c r="U1464" s="27">
        <v>929675000</v>
      </c>
      <c r="V1464" s="42">
        <v>8913202814</v>
      </c>
      <c r="W1464" s="27">
        <v>929675000</v>
      </c>
      <c r="X1464" s="61">
        <v>65</v>
      </c>
      <c r="Y1464" s="48" t="s">
        <v>735</v>
      </c>
      <c r="Z1464" s="60">
        <v>929675000</v>
      </c>
      <c r="AA1464" s="46">
        <v>0.184</v>
      </c>
      <c r="AB1464" s="46"/>
    </row>
    <row r="1465" spans="1:28" ht="48.2" customHeight="1" x14ac:dyDescent="0.25">
      <c r="A1465" s="17" t="e">
        <f>VLOOKUP(C1465,[1]Werke!$A$1:$C$168,3,0)</f>
        <v>#N/A</v>
      </c>
      <c r="B1465" s="17" t="e">
        <f>VLOOKUP(C1465,[1]Werke!$A$1:$C$168,2,0)</f>
        <v>#N/A</v>
      </c>
      <c r="C1465" s="18"/>
      <c r="D1465" s="17" t="e">
        <f>VLOOKUP(C1465,[1]Maliteslimalan!$A$1:$B$210,2,0)</f>
        <v>#N/A</v>
      </c>
      <c r="E1465" s="19" t="e">
        <f>VLOOKUP(C1465,[1]Bestellnr.!$A$1:$B$174,2,0)</f>
        <v>#N/A</v>
      </c>
      <c r="F1465" s="20" t="e">
        <f t="shared" si="607"/>
        <v>#N/A</v>
      </c>
      <c r="G1465" s="17"/>
      <c r="H1465" s="17" t="e">
        <f t="shared" si="608"/>
        <v>#N/A</v>
      </c>
      <c r="I1465" s="20"/>
      <c r="J1465" s="17" t="e">
        <f t="shared" si="609"/>
        <v>#N/A</v>
      </c>
      <c r="K1465" s="17" t="e">
        <f t="shared" si="610"/>
        <v>#N/A</v>
      </c>
      <c r="L1465" s="22"/>
      <c r="M1465" s="22"/>
      <c r="N1465" s="22"/>
      <c r="O1465" s="22" t="e">
        <f t="shared" si="611"/>
        <v>#N/A</v>
      </c>
      <c r="P1465" s="22">
        <f t="shared" si="612"/>
        <v>0</v>
      </c>
      <c r="Q1465" s="22"/>
      <c r="R1465" s="23"/>
      <c r="S1465" s="22">
        <f t="shared" si="613"/>
        <v>0</v>
      </c>
      <c r="T1465" s="24" t="e">
        <f t="shared" si="614"/>
        <v>#N/A</v>
      </c>
      <c r="U1465" s="27">
        <v>929676000</v>
      </c>
      <c r="V1465" s="42">
        <v>8913202804</v>
      </c>
      <c r="W1465" s="27">
        <v>929676000</v>
      </c>
      <c r="X1465" s="61">
        <v>48</v>
      </c>
      <c r="Y1465" s="48" t="s">
        <v>736</v>
      </c>
      <c r="Z1465" s="60">
        <v>929676000</v>
      </c>
      <c r="AA1465" s="46">
        <v>0.20799999999999999</v>
      </c>
      <c r="AB1465" s="46"/>
    </row>
    <row r="1466" spans="1:28" ht="48.2" customHeight="1" x14ac:dyDescent="0.25">
      <c r="A1466" s="17" t="e">
        <f>VLOOKUP(C1466,[1]Werke!$A$1:$C$168,3,0)</f>
        <v>#N/A</v>
      </c>
      <c r="B1466" s="17" t="e">
        <f>VLOOKUP(C1466,[1]Werke!$A$1:$C$168,2,0)</f>
        <v>#N/A</v>
      </c>
      <c r="C1466" s="18"/>
      <c r="D1466" s="17" t="e">
        <f>VLOOKUP(C1466,[1]Maliteslimalan!$A$1:$B$210,2,0)</f>
        <v>#N/A</v>
      </c>
      <c r="E1466" s="19" t="e">
        <f>VLOOKUP(C1466,[1]Bestellnr.!$A$1:$B$174,2,0)</f>
        <v>#N/A</v>
      </c>
      <c r="F1466" s="20" t="e">
        <f t="shared" si="607"/>
        <v>#N/A</v>
      </c>
      <c r="G1466" s="17"/>
      <c r="H1466" s="17" t="e">
        <f t="shared" si="608"/>
        <v>#N/A</v>
      </c>
      <c r="I1466" s="20"/>
      <c r="J1466" s="17" t="e">
        <f t="shared" si="609"/>
        <v>#N/A</v>
      </c>
      <c r="K1466" s="17" t="e">
        <f t="shared" si="610"/>
        <v>#N/A</v>
      </c>
      <c r="L1466" s="22"/>
      <c r="M1466" s="22"/>
      <c r="N1466" s="22"/>
      <c r="O1466" s="22" t="e">
        <f t="shared" si="611"/>
        <v>#N/A</v>
      </c>
      <c r="P1466" s="22">
        <f t="shared" si="612"/>
        <v>0</v>
      </c>
      <c r="Q1466" s="22"/>
      <c r="R1466" s="23"/>
      <c r="S1466" s="22">
        <f t="shared" si="613"/>
        <v>0</v>
      </c>
      <c r="T1466" s="24" t="e">
        <f t="shared" si="614"/>
        <v>#N/A</v>
      </c>
      <c r="U1466" s="27">
        <v>969542000</v>
      </c>
      <c r="V1466" s="42" t="s">
        <v>737</v>
      </c>
      <c r="W1466" s="27">
        <v>969542000</v>
      </c>
      <c r="X1466" s="61">
        <v>1800</v>
      </c>
      <c r="Y1466" s="48" t="s">
        <v>738</v>
      </c>
      <c r="Z1466" s="60">
        <v>969542000</v>
      </c>
      <c r="AA1466" s="46">
        <v>8.1200000000000005E-3</v>
      </c>
      <c r="AB1466" s="46"/>
    </row>
    <row r="1467" spans="1:28" ht="48.2" customHeight="1" x14ac:dyDescent="0.25">
      <c r="A1467" s="17" t="e">
        <f>VLOOKUP(C1467,[1]Werke!$A$1:$C$168,3,0)</f>
        <v>#N/A</v>
      </c>
      <c r="B1467" s="17" t="e">
        <f>VLOOKUP(C1467,[1]Werke!$A$1:$C$168,2,0)</f>
        <v>#N/A</v>
      </c>
      <c r="C1467" s="18"/>
      <c r="D1467" s="17" t="e">
        <f>VLOOKUP(C1467,[1]Maliteslimalan!$A$1:$B$210,2,0)</f>
        <v>#N/A</v>
      </c>
      <c r="E1467" s="19" t="e">
        <f>VLOOKUP(C1467,[1]Bestellnr.!$A$1:$B$174,2,0)</f>
        <v>#N/A</v>
      </c>
      <c r="F1467" s="20" t="e">
        <f t="shared" si="607"/>
        <v>#N/A</v>
      </c>
      <c r="G1467" s="17"/>
      <c r="H1467" s="17" t="e">
        <f t="shared" si="608"/>
        <v>#N/A</v>
      </c>
      <c r="I1467" s="20"/>
      <c r="J1467" s="17" t="e">
        <f t="shared" si="609"/>
        <v>#N/A</v>
      </c>
      <c r="K1467" s="17" t="e">
        <f t="shared" si="610"/>
        <v>#N/A</v>
      </c>
      <c r="L1467" s="22"/>
      <c r="M1467" s="22"/>
      <c r="N1467" s="22"/>
      <c r="O1467" s="22" t="e">
        <f t="shared" si="611"/>
        <v>#N/A</v>
      </c>
      <c r="P1467" s="22">
        <f t="shared" si="612"/>
        <v>0</v>
      </c>
      <c r="Q1467" s="22"/>
      <c r="R1467" s="23"/>
      <c r="S1467" s="22">
        <f t="shared" si="613"/>
        <v>0</v>
      </c>
      <c r="T1467" s="24" t="e">
        <f t="shared" si="614"/>
        <v>#N/A</v>
      </c>
      <c r="U1467" s="27">
        <v>939708000</v>
      </c>
      <c r="V1467" s="42" t="s">
        <v>739</v>
      </c>
      <c r="W1467" s="27">
        <v>939708000</v>
      </c>
      <c r="X1467" s="61">
        <v>1000</v>
      </c>
      <c r="Y1467" s="48" t="s">
        <v>740</v>
      </c>
      <c r="Z1467" s="60">
        <v>939708000</v>
      </c>
      <c r="AA1467" s="46">
        <v>9.8899999999999995E-3</v>
      </c>
      <c r="AB1467" s="46"/>
    </row>
    <row r="1468" spans="1:28" ht="48.2" customHeight="1" x14ac:dyDescent="0.25">
      <c r="A1468" s="17" t="e">
        <f>VLOOKUP(C1468,[1]Werke!$A$1:$C$168,3,0)</f>
        <v>#N/A</v>
      </c>
      <c r="B1468" s="17" t="e">
        <f>VLOOKUP(C1468,[1]Werke!$A$1:$C$168,2,0)</f>
        <v>#N/A</v>
      </c>
      <c r="C1468" s="18"/>
      <c r="D1468" s="17" t="e">
        <f>VLOOKUP(C1468,[1]Maliteslimalan!$A$1:$B$210,2,0)</f>
        <v>#N/A</v>
      </c>
      <c r="E1468" s="19" t="e">
        <f>VLOOKUP(C1468,[1]Bestellnr.!$A$1:$B$174,2,0)</f>
        <v>#N/A</v>
      </c>
      <c r="F1468" s="20" t="e">
        <f t="shared" si="607"/>
        <v>#N/A</v>
      </c>
      <c r="G1468" s="17"/>
      <c r="H1468" s="17" t="e">
        <f t="shared" si="608"/>
        <v>#N/A</v>
      </c>
      <c r="I1468" s="20"/>
      <c r="J1468" s="17" t="e">
        <f t="shared" si="609"/>
        <v>#N/A</v>
      </c>
      <c r="K1468" s="17" t="e">
        <f t="shared" si="610"/>
        <v>#N/A</v>
      </c>
      <c r="L1468" s="22"/>
      <c r="M1468" s="22"/>
      <c r="N1468" s="22"/>
      <c r="O1468" s="22" t="e">
        <f t="shared" si="611"/>
        <v>#N/A</v>
      </c>
      <c r="P1468" s="22">
        <f t="shared" si="612"/>
        <v>0</v>
      </c>
      <c r="Q1468" s="22"/>
      <c r="R1468" s="23"/>
      <c r="S1468" s="22">
        <f t="shared" si="613"/>
        <v>0</v>
      </c>
      <c r="T1468" s="24" t="e">
        <f t="shared" si="614"/>
        <v>#N/A</v>
      </c>
      <c r="U1468" s="27">
        <v>929677000</v>
      </c>
      <c r="V1468" s="42">
        <v>8912020164</v>
      </c>
      <c r="W1468" s="27">
        <v>929677000</v>
      </c>
      <c r="X1468" s="61">
        <v>54</v>
      </c>
      <c r="Y1468" s="48" t="s">
        <v>741</v>
      </c>
      <c r="Z1468" s="60">
        <v>929677000</v>
      </c>
      <c r="AA1468" s="46">
        <v>0.22639999999999999</v>
      </c>
      <c r="AB1468" s="46"/>
    </row>
    <row r="1469" spans="1:28" ht="48.2" customHeight="1" x14ac:dyDescent="0.25">
      <c r="A1469" s="17" t="e">
        <f>VLOOKUP(C1469,[1]Werke!$A$1:$C$168,3,0)</f>
        <v>#N/A</v>
      </c>
      <c r="B1469" s="17" t="e">
        <f>VLOOKUP(C1469,[1]Werke!$A$1:$C$168,2,0)</f>
        <v>#N/A</v>
      </c>
      <c r="C1469" s="18"/>
      <c r="D1469" s="17" t="e">
        <f>VLOOKUP(C1469,[1]Maliteslimalan!$A$1:$B$210,2,0)</f>
        <v>#N/A</v>
      </c>
      <c r="E1469" s="19" t="e">
        <f>VLOOKUP(C1469,[1]Bestellnr.!$A$1:$B$174,2,0)</f>
        <v>#N/A</v>
      </c>
      <c r="F1469" s="20" t="e">
        <f t="shared" si="607"/>
        <v>#N/A</v>
      </c>
      <c r="G1469" s="17"/>
      <c r="H1469" s="17" t="e">
        <f t="shared" si="608"/>
        <v>#N/A</v>
      </c>
      <c r="I1469" s="20"/>
      <c r="J1469" s="17" t="e">
        <f t="shared" si="609"/>
        <v>#N/A</v>
      </c>
      <c r="K1469" s="17" t="e">
        <f t="shared" si="610"/>
        <v>#N/A</v>
      </c>
      <c r="L1469" s="22"/>
      <c r="M1469" s="22"/>
      <c r="N1469" s="22"/>
      <c r="O1469" s="22" t="e">
        <f t="shared" si="611"/>
        <v>#N/A</v>
      </c>
      <c r="P1469" s="22">
        <f t="shared" si="612"/>
        <v>0</v>
      </c>
      <c r="Q1469" s="22"/>
      <c r="R1469" s="23"/>
      <c r="S1469" s="22">
        <f t="shared" si="613"/>
        <v>0</v>
      </c>
      <c r="T1469" s="24" t="e">
        <f t="shared" si="614"/>
        <v>#N/A</v>
      </c>
      <c r="U1469" s="27">
        <v>929678000</v>
      </c>
      <c r="V1469" s="42">
        <v>8912020154</v>
      </c>
      <c r="W1469" s="27">
        <v>929678000</v>
      </c>
      <c r="X1469" s="61">
        <v>60</v>
      </c>
      <c r="Y1469" s="48" t="s">
        <v>742</v>
      </c>
      <c r="Z1469" s="60">
        <v>929678000</v>
      </c>
      <c r="AA1469" s="46">
        <v>0.20300000000000001</v>
      </c>
      <c r="AB1469" s="46"/>
    </row>
    <row r="1470" spans="1:28" ht="48.2" customHeight="1" x14ac:dyDescent="0.25">
      <c r="A1470" s="17" t="e">
        <f>VLOOKUP(C1470,[1]Werke!$A$1:$C$168,3,0)</f>
        <v>#N/A</v>
      </c>
      <c r="B1470" s="17" t="e">
        <f>VLOOKUP(C1470,[1]Werke!$A$1:$C$168,2,0)</f>
        <v>#N/A</v>
      </c>
      <c r="C1470" s="18"/>
      <c r="D1470" s="17" t="e">
        <f>VLOOKUP(C1470,[1]Maliteslimalan!$A$1:$B$210,2,0)</f>
        <v>#N/A</v>
      </c>
      <c r="E1470" s="19" t="e">
        <f>VLOOKUP(C1470,[1]Bestellnr.!$A$1:$B$174,2,0)</f>
        <v>#N/A</v>
      </c>
      <c r="F1470" s="20" t="e">
        <f t="shared" si="607"/>
        <v>#N/A</v>
      </c>
      <c r="G1470" s="17"/>
      <c r="H1470" s="17" t="e">
        <f t="shared" si="608"/>
        <v>#N/A</v>
      </c>
      <c r="I1470" s="20"/>
      <c r="J1470" s="17" t="e">
        <f t="shared" si="609"/>
        <v>#N/A</v>
      </c>
      <c r="K1470" s="17" t="e">
        <f t="shared" si="610"/>
        <v>#N/A</v>
      </c>
      <c r="L1470" s="22"/>
      <c r="M1470" s="22"/>
      <c r="N1470" s="22"/>
      <c r="O1470" s="22" t="e">
        <f t="shared" si="611"/>
        <v>#N/A</v>
      </c>
      <c r="P1470" s="22">
        <f t="shared" si="612"/>
        <v>0</v>
      </c>
      <c r="Q1470" s="22"/>
      <c r="R1470" s="23"/>
      <c r="S1470" s="22">
        <f t="shared" si="613"/>
        <v>0</v>
      </c>
      <c r="T1470" s="24" t="e">
        <f t="shared" si="614"/>
        <v>#N/A</v>
      </c>
      <c r="U1470" s="27">
        <v>929679000</v>
      </c>
      <c r="V1470" s="42">
        <v>8912019674</v>
      </c>
      <c r="W1470" s="27">
        <v>929679000</v>
      </c>
      <c r="X1470" s="61">
        <v>70</v>
      </c>
      <c r="Y1470" s="48" t="s">
        <v>743</v>
      </c>
      <c r="Z1470" s="60">
        <v>929679000</v>
      </c>
      <c r="AA1470" s="46">
        <v>0.16863</v>
      </c>
      <c r="AB1470" s="46"/>
    </row>
    <row r="1471" spans="1:28" ht="48.2" customHeight="1" x14ac:dyDescent="0.25">
      <c r="A1471" s="17" t="e">
        <f>VLOOKUP(C1471,[1]Werke!$A$1:$C$168,3,0)</f>
        <v>#N/A</v>
      </c>
      <c r="B1471" s="17" t="e">
        <f>VLOOKUP(C1471,[1]Werke!$A$1:$C$168,2,0)</f>
        <v>#N/A</v>
      </c>
      <c r="C1471" s="18"/>
      <c r="D1471" s="17" t="e">
        <f>VLOOKUP(C1471,[1]Maliteslimalan!$A$1:$B$210,2,0)</f>
        <v>#N/A</v>
      </c>
      <c r="E1471" s="19" t="e">
        <f>VLOOKUP(C1471,[1]Bestellnr.!$A$1:$B$174,2,0)</f>
        <v>#N/A</v>
      </c>
      <c r="F1471" s="20" t="e">
        <f t="shared" si="607"/>
        <v>#N/A</v>
      </c>
      <c r="G1471" s="17"/>
      <c r="H1471" s="17" t="e">
        <f t="shared" si="608"/>
        <v>#N/A</v>
      </c>
      <c r="I1471" s="20"/>
      <c r="J1471" s="17" t="e">
        <f t="shared" si="609"/>
        <v>#N/A</v>
      </c>
      <c r="K1471" s="17" t="e">
        <f t="shared" si="610"/>
        <v>#N/A</v>
      </c>
      <c r="L1471" s="22"/>
      <c r="M1471" s="22"/>
      <c r="N1471" s="22"/>
      <c r="O1471" s="22" t="e">
        <f t="shared" si="611"/>
        <v>#N/A</v>
      </c>
      <c r="P1471" s="22">
        <f t="shared" si="612"/>
        <v>0</v>
      </c>
      <c r="Q1471" s="22"/>
      <c r="R1471" s="23"/>
      <c r="S1471" s="22">
        <f t="shared" si="613"/>
        <v>0</v>
      </c>
      <c r="T1471" s="24" t="e">
        <f t="shared" si="614"/>
        <v>#N/A</v>
      </c>
      <c r="U1471" s="27">
        <v>929681000</v>
      </c>
      <c r="V1471" s="42">
        <v>8912019254</v>
      </c>
      <c r="W1471" s="27">
        <v>929681000</v>
      </c>
      <c r="X1471" s="61">
        <v>65</v>
      </c>
      <c r="Y1471" s="48" t="s">
        <v>744</v>
      </c>
      <c r="Z1471" s="60">
        <v>929681000</v>
      </c>
      <c r="AA1471" s="46">
        <v>0.182</v>
      </c>
      <c r="AB1471" s="46"/>
    </row>
    <row r="1472" spans="1:28" ht="48.2" customHeight="1" x14ac:dyDescent="0.25">
      <c r="A1472" s="17" t="e">
        <f>VLOOKUP(C1472,[1]Werke!$A$1:$C$168,3,0)</f>
        <v>#N/A</v>
      </c>
      <c r="B1472" s="17" t="e">
        <f>VLOOKUP(C1472,[1]Werke!$A$1:$C$168,2,0)</f>
        <v>#N/A</v>
      </c>
      <c r="C1472" s="18"/>
      <c r="D1472" s="17" t="e">
        <f>VLOOKUP(C1472,[1]Maliteslimalan!$A$1:$B$210,2,0)</f>
        <v>#N/A</v>
      </c>
      <c r="E1472" s="19" t="e">
        <f>VLOOKUP(C1472,[1]Bestellnr.!$A$1:$B$174,2,0)</f>
        <v>#N/A</v>
      </c>
      <c r="F1472" s="20" t="e">
        <f t="shared" si="607"/>
        <v>#N/A</v>
      </c>
      <c r="G1472" s="17"/>
      <c r="H1472" s="17" t="e">
        <f t="shared" si="608"/>
        <v>#N/A</v>
      </c>
      <c r="I1472" s="20"/>
      <c r="J1472" s="17" t="e">
        <f t="shared" si="609"/>
        <v>#N/A</v>
      </c>
      <c r="K1472" s="17" t="e">
        <f t="shared" si="610"/>
        <v>#N/A</v>
      </c>
      <c r="L1472" s="22"/>
      <c r="M1472" s="22"/>
      <c r="N1472" s="22"/>
      <c r="O1472" s="22" t="e">
        <f t="shared" si="611"/>
        <v>#N/A</v>
      </c>
      <c r="P1472" s="22">
        <f t="shared" si="612"/>
        <v>0</v>
      </c>
      <c r="Q1472" s="22"/>
      <c r="R1472" s="23"/>
      <c r="S1472" s="22">
        <f t="shared" si="613"/>
        <v>0</v>
      </c>
      <c r="T1472" s="24" t="e">
        <f t="shared" si="614"/>
        <v>#N/A</v>
      </c>
      <c r="U1472" s="27">
        <v>929682000</v>
      </c>
      <c r="V1472" s="42">
        <v>8912017964</v>
      </c>
      <c r="W1472" s="27">
        <v>929682000</v>
      </c>
      <c r="X1472" s="61">
        <v>54</v>
      </c>
      <c r="Y1472" s="48" t="s">
        <v>745</v>
      </c>
      <c r="Z1472" s="60">
        <v>929682000</v>
      </c>
      <c r="AA1472" s="46">
        <v>0.22500000000000001</v>
      </c>
      <c r="AB1472" s="46"/>
    </row>
    <row r="1473" spans="1:28" ht="48.2" customHeight="1" x14ac:dyDescent="0.25">
      <c r="A1473" s="17" t="e">
        <f>VLOOKUP(C1473,[1]Werke!$A$1:$C$168,3,0)</f>
        <v>#N/A</v>
      </c>
      <c r="B1473" s="17" t="e">
        <f>VLOOKUP(C1473,[1]Werke!$A$1:$C$168,2,0)</f>
        <v>#N/A</v>
      </c>
      <c r="C1473" s="18"/>
      <c r="D1473" s="17" t="e">
        <f>VLOOKUP(C1473,[1]Maliteslimalan!$A$1:$B$210,2,0)</f>
        <v>#N/A</v>
      </c>
      <c r="E1473" s="19" t="e">
        <f>VLOOKUP(C1473,[1]Bestellnr.!$A$1:$B$174,2,0)</f>
        <v>#N/A</v>
      </c>
      <c r="F1473" s="20" t="e">
        <f t="shared" si="607"/>
        <v>#N/A</v>
      </c>
      <c r="G1473" s="17"/>
      <c r="H1473" s="17" t="e">
        <f t="shared" si="608"/>
        <v>#N/A</v>
      </c>
      <c r="I1473" s="20"/>
      <c r="J1473" s="17" t="e">
        <f t="shared" si="609"/>
        <v>#N/A</v>
      </c>
      <c r="K1473" s="17" t="e">
        <f t="shared" si="610"/>
        <v>#N/A</v>
      </c>
      <c r="L1473" s="22"/>
      <c r="M1473" s="22"/>
      <c r="N1473" s="22"/>
      <c r="O1473" s="22" t="e">
        <f t="shared" si="611"/>
        <v>#N/A</v>
      </c>
      <c r="P1473" s="22">
        <f t="shared" si="612"/>
        <v>0</v>
      </c>
      <c r="Q1473" s="22"/>
      <c r="R1473" s="23"/>
      <c r="S1473" s="22">
        <f t="shared" si="613"/>
        <v>0</v>
      </c>
      <c r="T1473" s="24" t="e">
        <f t="shared" si="614"/>
        <v>#N/A</v>
      </c>
      <c r="U1473" s="27">
        <v>931256000</v>
      </c>
      <c r="V1473" s="42">
        <v>8912019732</v>
      </c>
      <c r="W1473" s="27">
        <v>931256000</v>
      </c>
      <c r="X1473" s="61">
        <v>900</v>
      </c>
      <c r="Y1473" s="48" t="s">
        <v>746</v>
      </c>
      <c r="Z1473" s="60">
        <v>931256000</v>
      </c>
      <c r="AA1473" s="46">
        <v>1.159E-2</v>
      </c>
      <c r="AB1473" s="46"/>
    </row>
    <row r="1474" spans="1:28" ht="48.2" customHeight="1" x14ac:dyDescent="0.25">
      <c r="A1474" s="17" t="e">
        <f>VLOOKUP(C1474,[1]Werke!$A$1:$C$168,3,0)</f>
        <v>#N/A</v>
      </c>
      <c r="B1474" s="17" t="e">
        <f>VLOOKUP(C1474,[1]Werke!$A$1:$C$168,2,0)</f>
        <v>#N/A</v>
      </c>
      <c r="C1474" s="18"/>
      <c r="D1474" s="17" t="e">
        <f>VLOOKUP(C1474,[1]Maliteslimalan!$A$1:$B$210,2,0)</f>
        <v>#N/A</v>
      </c>
      <c r="E1474" s="19" t="e">
        <f>VLOOKUP(C1474,[1]Bestellnr.!$A$1:$B$174,2,0)</f>
        <v>#N/A</v>
      </c>
      <c r="F1474" s="20" t="e">
        <f t="shared" si="607"/>
        <v>#N/A</v>
      </c>
      <c r="G1474" s="17"/>
      <c r="H1474" s="17" t="e">
        <f t="shared" si="608"/>
        <v>#N/A</v>
      </c>
      <c r="I1474" s="20"/>
      <c r="J1474" s="17" t="e">
        <f t="shared" si="609"/>
        <v>#N/A</v>
      </c>
      <c r="K1474" s="17" t="e">
        <f t="shared" si="610"/>
        <v>#N/A</v>
      </c>
      <c r="L1474" s="22"/>
      <c r="M1474" s="22"/>
      <c r="N1474" s="22"/>
      <c r="O1474" s="22" t="e">
        <f t="shared" si="611"/>
        <v>#N/A</v>
      </c>
      <c r="P1474" s="22">
        <f t="shared" si="612"/>
        <v>0</v>
      </c>
      <c r="Q1474" s="22"/>
      <c r="R1474" s="23"/>
      <c r="S1474" s="22">
        <f t="shared" si="613"/>
        <v>0</v>
      </c>
      <c r="T1474" s="24" t="e">
        <f t="shared" si="614"/>
        <v>#N/A</v>
      </c>
      <c r="U1474" s="27">
        <v>932059000</v>
      </c>
      <c r="V1474" s="42">
        <v>8912015704</v>
      </c>
      <c r="W1474" s="27">
        <v>932059000</v>
      </c>
      <c r="X1474" s="61">
        <v>2000</v>
      </c>
      <c r="Y1474" s="48" t="s">
        <v>747</v>
      </c>
      <c r="Z1474" s="60">
        <v>932059000</v>
      </c>
      <c r="AA1474" s="46">
        <v>7.2199999999999999E-3</v>
      </c>
      <c r="AB1474" s="46"/>
    </row>
    <row r="1475" spans="1:28" ht="48.2" customHeight="1" x14ac:dyDescent="0.25">
      <c r="A1475" s="17" t="e">
        <f>VLOOKUP(C1475,[1]Werke!$A$1:$C$168,3,0)</f>
        <v>#N/A</v>
      </c>
      <c r="B1475" s="17" t="e">
        <f>VLOOKUP(C1475,[1]Werke!$A$1:$C$168,2,0)</f>
        <v>#N/A</v>
      </c>
      <c r="C1475" s="18"/>
      <c r="D1475" s="17" t="e">
        <f>VLOOKUP(C1475,[1]Maliteslimalan!$A$1:$B$210,2,0)</f>
        <v>#N/A</v>
      </c>
      <c r="E1475" s="19" t="e">
        <f>VLOOKUP(C1475,[1]Bestellnr.!$A$1:$B$174,2,0)</f>
        <v>#N/A</v>
      </c>
      <c r="F1475" s="20" t="e">
        <f t="shared" si="607"/>
        <v>#N/A</v>
      </c>
      <c r="G1475" s="17"/>
      <c r="H1475" s="17" t="e">
        <f t="shared" si="608"/>
        <v>#N/A</v>
      </c>
      <c r="I1475" s="20"/>
      <c r="J1475" s="17" t="e">
        <f t="shared" si="609"/>
        <v>#N/A</v>
      </c>
      <c r="K1475" s="17" t="e">
        <f t="shared" si="610"/>
        <v>#N/A</v>
      </c>
      <c r="L1475" s="22"/>
      <c r="M1475" s="22"/>
      <c r="N1475" s="22"/>
      <c r="O1475" s="22" t="e">
        <f t="shared" si="611"/>
        <v>#N/A</v>
      </c>
      <c r="P1475" s="22">
        <f t="shared" si="612"/>
        <v>0</v>
      </c>
      <c r="Q1475" s="22"/>
      <c r="R1475" s="23"/>
      <c r="S1475" s="22">
        <f t="shared" si="613"/>
        <v>0</v>
      </c>
      <c r="T1475" s="24" t="e">
        <f t="shared" si="614"/>
        <v>#N/A</v>
      </c>
      <c r="U1475" s="27">
        <v>932060000</v>
      </c>
      <c r="V1475" s="42">
        <v>8101200464</v>
      </c>
      <c r="W1475" s="27">
        <v>932060000</v>
      </c>
      <c r="X1475" s="61">
        <v>3000</v>
      </c>
      <c r="Y1475" s="48" t="s">
        <v>748</v>
      </c>
      <c r="Z1475" s="60">
        <v>932060000</v>
      </c>
      <c r="AA1475" s="46">
        <v>5.8999999999999999E-3</v>
      </c>
      <c r="AB1475" s="46"/>
    </row>
    <row r="1476" spans="1:28" ht="48.2" customHeight="1" x14ac:dyDescent="0.25">
      <c r="A1476" s="17" t="e">
        <f>VLOOKUP(C1476,[1]Werke!$A$1:$C$168,3,0)</f>
        <v>#N/A</v>
      </c>
      <c r="B1476" s="17" t="e">
        <f>VLOOKUP(C1476,[1]Werke!$A$1:$C$168,2,0)</f>
        <v>#N/A</v>
      </c>
      <c r="C1476" s="18"/>
      <c r="D1476" s="17" t="e">
        <f>VLOOKUP(C1476,[1]Maliteslimalan!$A$1:$B$210,2,0)</f>
        <v>#N/A</v>
      </c>
      <c r="E1476" s="19" t="e">
        <f>VLOOKUP(C1476,[1]Bestellnr.!$A$1:$B$174,2,0)</f>
        <v>#N/A</v>
      </c>
      <c r="F1476" s="20" t="e">
        <f t="shared" si="607"/>
        <v>#N/A</v>
      </c>
      <c r="G1476" s="17"/>
      <c r="H1476" s="17" t="e">
        <f t="shared" si="608"/>
        <v>#N/A</v>
      </c>
      <c r="I1476" s="20"/>
      <c r="J1476" s="17" t="e">
        <f t="shared" si="609"/>
        <v>#N/A</v>
      </c>
      <c r="K1476" s="17" t="e">
        <f t="shared" si="610"/>
        <v>#N/A</v>
      </c>
      <c r="L1476" s="22"/>
      <c r="M1476" s="22"/>
      <c r="N1476" s="22"/>
      <c r="O1476" s="22" t="e">
        <f t="shared" si="611"/>
        <v>#N/A</v>
      </c>
      <c r="P1476" s="22">
        <f t="shared" si="612"/>
        <v>0</v>
      </c>
      <c r="Q1476" s="22"/>
      <c r="R1476" s="23"/>
      <c r="S1476" s="22">
        <f t="shared" si="613"/>
        <v>0</v>
      </c>
      <c r="T1476" s="24" t="e">
        <f t="shared" si="614"/>
        <v>#N/A</v>
      </c>
      <c r="U1476" s="27">
        <v>932387000</v>
      </c>
      <c r="V1476" s="42">
        <v>8101263284</v>
      </c>
      <c r="W1476" s="27">
        <v>932387000</v>
      </c>
      <c r="X1476" s="61">
        <v>400</v>
      </c>
      <c r="Y1476" s="48" t="s">
        <v>749</v>
      </c>
      <c r="Z1476" s="60">
        <v>932387000</v>
      </c>
      <c r="AA1476" s="46">
        <v>2.181E-2</v>
      </c>
      <c r="AB1476" s="46"/>
    </row>
    <row r="1477" spans="1:28" ht="48.2" customHeight="1" x14ac:dyDescent="0.25">
      <c r="A1477" s="17" t="e">
        <f>VLOOKUP(C1477,[1]Werke!$A$1:$C$168,3,0)</f>
        <v>#N/A</v>
      </c>
      <c r="B1477" s="17" t="e">
        <f>VLOOKUP(C1477,[1]Werke!$A$1:$C$168,2,0)</f>
        <v>#N/A</v>
      </c>
      <c r="C1477" s="18"/>
      <c r="D1477" s="17" t="e">
        <f>VLOOKUP(C1477,[1]Maliteslimalan!$A$1:$B$210,2,0)</f>
        <v>#N/A</v>
      </c>
      <c r="E1477" s="19" t="e">
        <f>VLOOKUP(C1477,[1]Bestellnr.!$A$1:$B$174,2,0)</f>
        <v>#N/A</v>
      </c>
      <c r="F1477" s="20" t="e">
        <f t="shared" si="607"/>
        <v>#N/A</v>
      </c>
      <c r="G1477" s="17"/>
      <c r="H1477" s="17" t="e">
        <f t="shared" si="608"/>
        <v>#N/A</v>
      </c>
      <c r="I1477" s="20"/>
      <c r="J1477" s="17" t="e">
        <f t="shared" si="609"/>
        <v>#N/A</v>
      </c>
      <c r="K1477" s="17" t="e">
        <f t="shared" si="610"/>
        <v>#N/A</v>
      </c>
      <c r="L1477" s="22"/>
      <c r="M1477" s="22"/>
      <c r="N1477" s="22"/>
      <c r="O1477" s="22" t="e">
        <f t="shared" si="611"/>
        <v>#N/A</v>
      </c>
      <c r="P1477" s="22">
        <f t="shared" si="612"/>
        <v>0</v>
      </c>
      <c r="Q1477" s="22"/>
      <c r="R1477" s="23"/>
      <c r="S1477" s="22">
        <f t="shared" si="613"/>
        <v>0</v>
      </c>
      <c r="T1477" s="24" t="e">
        <f t="shared" si="614"/>
        <v>#N/A</v>
      </c>
      <c r="U1477" s="27">
        <v>932412000</v>
      </c>
      <c r="V1477" s="42">
        <v>8912120214</v>
      </c>
      <c r="W1477" s="27">
        <v>932412000</v>
      </c>
      <c r="X1477" s="61">
        <v>500</v>
      </c>
      <c r="Y1477" s="48" t="s">
        <v>750</v>
      </c>
      <c r="Z1477" s="60">
        <v>932412000</v>
      </c>
      <c r="AA1477" s="46">
        <v>2.2460000000000001E-2</v>
      </c>
      <c r="AB1477" s="46"/>
    </row>
    <row r="1478" spans="1:28" ht="48.2" customHeight="1" x14ac:dyDescent="0.25">
      <c r="A1478" s="17" t="e">
        <f>VLOOKUP(C1478,[1]Werke!$A$1:$C$168,3,0)</f>
        <v>#N/A</v>
      </c>
      <c r="B1478" s="17" t="e">
        <f>VLOOKUP(C1478,[1]Werke!$A$1:$C$168,2,0)</f>
        <v>#N/A</v>
      </c>
      <c r="C1478" s="18"/>
      <c r="D1478" s="17" t="e">
        <f>VLOOKUP(C1478,[1]Maliteslimalan!$A$1:$B$210,2,0)</f>
        <v>#N/A</v>
      </c>
      <c r="E1478" s="19" t="e">
        <f>VLOOKUP(C1478,[1]Bestellnr.!$A$1:$B$174,2,0)</f>
        <v>#N/A</v>
      </c>
      <c r="F1478" s="20" t="e">
        <f t="shared" si="607"/>
        <v>#N/A</v>
      </c>
      <c r="G1478" s="17"/>
      <c r="H1478" s="17" t="e">
        <f t="shared" si="608"/>
        <v>#N/A</v>
      </c>
      <c r="I1478" s="20"/>
      <c r="J1478" s="17" t="e">
        <f t="shared" si="609"/>
        <v>#N/A</v>
      </c>
      <c r="K1478" s="17" t="e">
        <f t="shared" si="610"/>
        <v>#N/A</v>
      </c>
      <c r="L1478" s="22"/>
      <c r="M1478" s="22"/>
      <c r="N1478" s="22"/>
      <c r="O1478" s="22" t="e">
        <f t="shared" si="611"/>
        <v>#N/A</v>
      </c>
      <c r="P1478" s="22">
        <f t="shared" si="612"/>
        <v>0</v>
      </c>
      <c r="Q1478" s="22"/>
      <c r="R1478" s="23"/>
      <c r="S1478" s="22">
        <f t="shared" si="613"/>
        <v>0</v>
      </c>
      <c r="T1478" s="24" t="e">
        <f t="shared" si="614"/>
        <v>#N/A</v>
      </c>
      <c r="U1478" s="27">
        <v>932455000</v>
      </c>
      <c r="V1478" s="42">
        <v>8912017014</v>
      </c>
      <c r="W1478" s="27">
        <v>932455000</v>
      </c>
      <c r="X1478" s="61">
        <v>500</v>
      </c>
      <c r="Y1478" s="48" t="s">
        <v>751</v>
      </c>
      <c r="Z1478" s="60">
        <v>932455000</v>
      </c>
      <c r="AA1478" s="46">
        <v>3.023E-2</v>
      </c>
      <c r="AB1478" s="46"/>
    </row>
    <row r="1479" spans="1:28" ht="48.2" customHeight="1" x14ac:dyDescent="0.25">
      <c r="A1479" s="17" t="e">
        <f>VLOOKUP(C1479,[1]Werke!$A$1:$C$168,3,0)</f>
        <v>#N/A</v>
      </c>
      <c r="B1479" s="17" t="e">
        <f>VLOOKUP(C1479,[1]Werke!$A$1:$C$168,2,0)</f>
        <v>#N/A</v>
      </c>
      <c r="C1479" s="18"/>
      <c r="D1479" s="17" t="e">
        <f>VLOOKUP(C1479,[1]Maliteslimalan!$A$1:$B$210,2,0)</f>
        <v>#N/A</v>
      </c>
      <c r="E1479" s="19" t="e">
        <f>VLOOKUP(C1479,[1]Bestellnr.!$A$1:$B$174,2,0)</f>
        <v>#N/A</v>
      </c>
      <c r="F1479" s="20" t="e">
        <f t="shared" si="607"/>
        <v>#N/A</v>
      </c>
      <c r="G1479" s="17"/>
      <c r="H1479" s="17" t="e">
        <f t="shared" si="608"/>
        <v>#N/A</v>
      </c>
      <c r="I1479" s="20"/>
      <c r="J1479" s="17" t="e">
        <f t="shared" si="609"/>
        <v>#N/A</v>
      </c>
      <c r="K1479" s="17" t="e">
        <f t="shared" si="610"/>
        <v>#N/A</v>
      </c>
      <c r="L1479" s="22"/>
      <c r="M1479" s="22"/>
      <c r="N1479" s="22"/>
      <c r="O1479" s="22" t="e">
        <f t="shared" si="611"/>
        <v>#N/A</v>
      </c>
      <c r="P1479" s="22">
        <f t="shared" si="612"/>
        <v>0</v>
      </c>
      <c r="Q1479" s="22"/>
      <c r="R1479" s="23"/>
      <c r="S1479" s="22">
        <f t="shared" si="613"/>
        <v>0</v>
      </c>
      <c r="T1479" s="24" t="e">
        <f t="shared" si="614"/>
        <v>#N/A</v>
      </c>
      <c r="U1479" s="27">
        <v>932831000</v>
      </c>
      <c r="V1479" s="42">
        <v>8912123014</v>
      </c>
      <c r="W1479" s="27">
        <v>932831000</v>
      </c>
      <c r="X1479" s="61">
        <v>50</v>
      </c>
      <c r="Y1479" s="48" t="s">
        <v>752</v>
      </c>
      <c r="Z1479" s="60">
        <v>932831000</v>
      </c>
      <c r="AA1479" s="46">
        <v>0.21856999999999999</v>
      </c>
      <c r="AB1479" s="46"/>
    </row>
    <row r="1480" spans="1:28" ht="48.2" customHeight="1" x14ac:dyDescent="0.25">
      <c r="A1480" s="17" t="e">
        <f>VLOOKUP(C1480,[1]Werke!$A$1:$C$168,3,0)</f>
        <v>#N/A</v>
      </c>
      <c r="B1480" s="17" t="e">
        <f>VLOOKUP(C1480,[1]Werke!$A$1:$C$168,2,0)</f>
        <v>#N/A</v>
      </c>
      <c r="C1480" s="18"/>
      <c r="D1480" s="17" t="e">
        <f>VLOOKUP(C1480,[1]Maliteslimalan!$A$1:$B$210,2,0)</f>
        <v>#N/A</v>
      </c>
      <c r="E1480" s="19" t="e">
        <f>VLOOKUP(C1480,[1]Bestellnr.!$A$1:$B$174,2,0)</f>
        <v>#N/A</v>
      </c>
      <c r="F1480" s="20" t="e">
        <f t="shared" si="607"/>
        <v>#N/A</v>
      </c>
      <c r="G1480" s="17"/>
      <c r="H1480" s="17" t="e">
        <f t="shared" si="608"/>
        <v>#N/A</v>
      </c>
      <c r="I1480" s="20"/>
      <c r="J1480" s="17" t="e">
        <f t="shared" si="609"/>
        <v>#N/A</v>
      </c>
      <c r="K1480" s="17" t="e">
        <f t="shared" si="610"/>
        <v>#N/A</v>
      </c>
      <c r="L1480" s="22"/>
      <c r="M1480" s="22"/>
      <c r="N1480" s="22"/>
      <c r="O1480" s="22" t="e">
        <f t="shared" si="611"/>
        <v>#N/A</v>
      </c>
      <c r="P1480" s="22">
        <f t="shared" si="612"/>
        <v>0</v>
      </c>
      <c r="Q1480" s="22"/>
      <c r="R1480" s="23"/>
      <c r="S1480" s="22">
        <f t="shared" si="613"/>
        <v>0</v>
      </c>
      <c r="T1480" s="24" t="e">
        <f t="shared" si="614"/>
        <v>#N/A</v>
      </c>
      <c r="U1480" s="27">
        <v>933065999</v>
      </c>
      <c r="V1480" s="42">
        <v>8101260704</v>
      </c>
      <c r="W1480" s="27">
        <v>933065999</v>
      </c>
      <c r="X1480" s="61">
        <v>500</v>
      </c>
      <c r="Y1480" s="48" t="s">
        <v>753</v>
      </c>
      <c r="Z1480" s="60">
        <v>933065999</v>
      </c>
      <c r="AA1480" s="46">
        <v>2.181E-2</v>
      </c>
      <c r="AB1480" s="46"/>
    </row>
    <row r="1481" spans="1:28" ht="48.2" customHeight="1" x14ac:dyDescent="0.25">
      <c r="A1481" s="17" t="e">
        <f>VLOOKUP(C1481,[1]Werke!$A$1:$C$168,3,0)</f>
        <v>#N/A</v>
      </c>
      <c r="B1481" s="17" t="e">
        <f>VLOOKUP(C1481,[1]Werke!$A$1:$C$168,2,0)</f>
        <v>#N/A</v>
      </c>
      <c r="C1481" s="18"/>
      <c r="D1481" s="17" t="e">
        <f>VLOOKUP(C1481,[1]Maliteslimalan!$A$1:$B$210,2,0)</f>
        <v>#N/A</v>
      </c>
      <c r="E1481" s="19" t="e">
        <f>VLOOKUP(C1481,[1]Bestellnr.!$A$1:$B$174,2,0)</f>
        <v>#N/A</v>
      </c>
      <c r="F1481" s="20" t="e">
        <f t="shared" si="607"/>
        <v>#N/A</v>
      </c>
      <c r="G1481" s="17"/>
      <c r="H1481" s="17" t="e">
        <f t="shared" si="608"/>
        <v>#N/A</v>
      </c>
      <c r="I1481" s="20"/>
      <c r="J1481" s="17" t="e">
        <f t="shared" si="609"/>
        <v>#N/A</v>
      </c>
      <c r="K1481" s="17" t="e">
        <f t="shared" si="610"/>
        <v>#N/A</v>
      </c>
      <c r="L1481" s="22"/>
      <c r="M1481" s="22"/>
      <c r="N1481" s="22"/>
      <c r="O1481" s="22" t="e">
        <f t="shared" si="611"/>
        <v>#N/A</v>
      </c>
      <c r="P1481" s="22">
        <f t="shared" si="612"/>
        <v>0</v>
      </c>
      <c r="Q1481" s="22"/>
      <c r="R1481" s="23"/>
      <c r="S1481" s="22">
        <f t="shared" si="613"/>
        <v>0</v>
      </c>
      <c r="T1481" s="24" t="e">
        <f t="shared" si="614"/>
        <v>#N/A</v>
      </c>
      <c r="U1481" s="27">
        <v>933066999</v>
      </c>
      <c r="V1481" s="42">
        <v>8101260714</v>
      </c>
      <c r="W1481" s="27">
        <v>933066999</v>
      </c>
      <c r="X1481" s="61">
        <v>500</v>
      </c>
      <c r="Y1481" s="48" t="s">
        <v>754</v>
      </c>
      <c r="Z1481" s="60">
        <v>933066999</v>
      </c>
      <c r="AA1481" s="46">
        <v>2.3359999999999999E-2</v>
      </c>
      <c r="AB1481" s="46"/>
    </row>
    <row r="1482" spans="1:28" ht="48.2" customHeight="1" x14ac:dyDescent="0.25">
      <c r="A1482" s="17" t="e">
        <f>VLOOKUP(C1482,[1]Werke!$A$1:$C$168,3,0)</f>
        <v>#N/A</v>
      </c>
      <c r="B1482" s="17" t="e">
        <f>VLOOKUP(C1482,[1]Werke!$A$1:$C$168,2,0)</f>
        <v>#N/A</v>
      </c>
      <c r="C1482" s="18"/>
      <c r="D1482" s="17" t="e">
        <f>VLOOKUP(C1482,[1]Maliteslimalan!$A$1:$B$210,2,0)</f>
        <v>#N/A</v>
      </c>
      <c r="E1482" s="19" t="e">
        <f>VLOOKUP(C1482,[1]Bestellnr.!$A$1:$B$174,2,0)</f>
        <v>#N/A</v>
      </c>
      <c r="F1482" s="20" t="e">
        <f t="shared" si="607"/>
        <v>#N/A</v>
      </c>
      <c r="G1482" s="17"/>
      <c r="H1482" s="17" t="e">
        <f t="shared" si="608"/>
        <v>#N/A</v>
      </c>
      <c r="I1482" s="20"/>
      <c r="J1482" s="17" t="e">
        <f t="shared" si="609"/>
        <v>#N/A</v>
      </c>
      <c r="K1482" s="17" t="e">
        <f t="shared" si="610"/>
        <v>#N/A</v>
      </c>
      <c r="L1482" s="22"/>
      <c r="M1482" s="22"/>
      <c r="N1482" s="22"/>
      <c r="O1482" s="22" t="e">
        <f t="shared" si="611"/>
        <v>#N/A</v>
      </c>
      <c r="P1482" s="22">
        <f t="shared" si="612"/>
        <v>0</v>
      </c>
      <c r="Q1482" s="22"/>
      <c r="R1482" s="23"/>
      <c r="S1482" s="22">
        <f t="shared" si="613"/>
        <v>0</v>
      </c>
      <c r="T1482" s="24" t="e">
        <f t="shared" si="614"/>
        <v>#N/A</v>
      </c>
      <c r="U1482" s="27">
        <v>933068999</v>
      </c>
      <c r="V1482" s="42">
        <v>8101260724</v>
      </c>
      <c r="W1482" s="27">
        <v>933068999</v>
      </c>
      <c r="X1482" s="61">
        <v>300</v>
      </c>
      <c r="Y1482" s="48" t="s">
        <v>755</v>
      </c>
      <c r="Z1482" s="60">
        <v>933068999</v>
      </c>
      <c r="AA1482" s="46">
        <v>2.4910000000000002E-2</v>
      </c>
      <c r="AB1482" s="46"/>
    </row>
    <row r="1483" spans="1:28" ht="48.2" customHeight="1" x14ac:dyDescent="0.25">
      <c r="A1483" s="17" t="e">
        <f>VLOOKUP(C1483,[1]Werke!$A$1:$C$168,3,0)</f>
        <v>#N/A</v>
      </c>
      <c r="B1483" s="17" t="e">
        <f>VLOOKUP(C1483,[1]Werke!$A$1:$C$168,2,0)</f>
        <v>#N/A</v>
      </c>
      <c r="C1483" s="18"/>
      <c r="D1483" s="17" t="e">
        <f>VLOOKUP(C1483,[1]Maliteslimalan!$A$1:$B$210,2,0)</f>
        <v>#N/A</v>
      </c>
      <c r="E1483" s="19" t="e">
        <f>VLOOKUP(C1483,[1]Bestellnr.!$A$1:$B$174,2,0)</f>
        <v>#N/A</v>
      </c>
      <c r="F1483" s="20" t="e">
        <f t="shared" si="607"/>
        <v>#N/A</v>
      </c>
      <c r="G1483" s="17"/>
      <c r="H1483" s="17" t="e">
        <f t="shared" si="608"/>
        <v>#N/A</v>
      </c>
      <c r="I1483" s="20"/>
      <c r="J1483" s="17" t="e">
        <f t="shared" si="609"/>
        <v>#N/A</v>
      </c>
      <c r="K1483" s="17" t="e">
        <f t="shared" si="610"/>
        <v>#N/A</v>
      </c>
      <c r="L1483" s="22"/>
      <c r="M1483" s="22"/>
      <c r="N1483" s="22"/>
      <c r="O1483" s="22" t="e">
        <f t="shared" si="611"/>
        <v>#N/A</v>
      </c>
      <c r="P1483" s="22">
        <f t="shared" si="612"/>
        <v>0</v>
      </c>
      <c r="Q1483" s="22"/>
      <c r="R1483" s="23"/>
      <c r="S1483" s="22">
        <f t="shared" si="613"/>
        <v>0</v>
      </c>
      <c r="T1483" s="24" t="e">
        <f t="shared" si="614"/>
        <v>#N/A</v>
      </c>
      <c r="U1483" s="27">
        <v>933069999</v>
      </c>
      <c r="V1483" s="42">
        <v>8101260744</v>
      </c>
      <c r="W1483" s="27">
        <v>933069999</v>
      </c>
      <c r="X1483" s="61">
        <v>300</v>
      </c>
      <c r="Y1483" s="48" t="s">
        <v>756</v>
      </c>
      <c r="Z1483" s="60">
        <v>933069999</v>
      </c>
      <c r="AA1483" s="46">
        <v>2.802E-2</v>
      </c>
      <c r="AB1483" s="46"/>
    </row>
    <row r="1484" spans="1:28" ht="48.2" customHeight="1" x14ac:dyDescent="0.25">
      <c r="A1484" s="17" t="e">
        <f>VLOOKUP(C1484,[1]Werke!$A$1:$C$168,3,0)</f>
        <v>#N/A</v>
      </c>
      <c r="B1484" s="17" t="e">
        <f>VLOOKUP(C1484,[1]Werke!$A$1:$C$168,2,0)</f>
        <v>#N/A</v>
      </c>
      <c r="C1484" s="18"/>
      <c r="D1484" s="17" t="e">
        <f>VLOOKUP(C1484,[1]Maliteslimalan!$A$1:$B$210,2,0)</f>
        <v>#N/A</v>
      </c>
      <c r="E1484" s="19" t="e">
        <f>VLOOKUP(C1484,[1]Bestellnr.!$A$1:$B$174,2,0)</f>
        <v>#N/A</v>
      </c>
      <c r="F1484" s="20" t="e">
        <f t="shared" si="607"/>
        <v>#N/A</v>
      </c>
      <c r="G1484" s="17"/>
      <c r="H1484" s="17" t="e">
        <f t="shared" si="608"/>
        <v>#N/A</v>
      </c>
      <c r="I1484" s="20"/>
      <c r="J1484" s="17" t="e">
        <f t="shared" si="609"/>
        <v>#N/A</v>
      </c>
      <c r="K1484" s="17" t="e">
        <f t="shared" si="610"/>
        <v>#N/A</v>
      </c>
      <c r="L1484" s="22"/>
      <c r="M1484" s="22"/>
      <c r="N1484" s="22"/>
      <c r="O1484" s="22" t="e">
        <f t="shared" si="611"/>
        <v>#N/A</v>
      </c>
      <c r="P1484" s="22">
        <f t="shared" si="612"/>
        <v>0</v>
      </c>
      <c r="Q1484" s="22"/>
      <c r="R1484" s="23"/>
      <c r="S1484" s="22">
        <f t="shared" si="613"/>
        <v>0</v>
      </c>
      <c r="T1484" s="24" t="e">
        <f t="shared" si="614"/>
        <v>#N/A</v>
      </c>
      <c r="U1484" s="27">
        <v>933070999</v>
      </c>
      <c r="V1484" s="42">
        <v>8101263204</v>
      </c>
      <c r="W1484" s="27">
        <v>933070999</v>
      </c>
      <c r="X1484" s="61">
        <v>300</v>
      </c>
      <c r="Y1484" s="48" t="s">
        <v>757</v>
      </c>
      <c r="Z1484" s="60">
        <v>933070999</v>
      </c>
      <c r="AA1484" s="46">
        <v>2.802E-2</v>
      </c>
      <c r="AB1484" s="46"/>
    </row>
    <row r="1485" spans="1:28" ht="48.2" customHeight="1" x14ac:dyDescent="0.25">
      <c r="A1485" s="17" t="e">
        <f>VLOOKUP(C1485,[1]Werke!$A$1:$C$168,3,0)</f>
        <v>#N/A</v>
      </c>
      <c r="B1485" s="17" t="e">
        <f>VLOOKUP(C1485,[1]Werke!$A$1:$C$168,2,0)</f>
        <v>#N/A</v>
      </c>
      <c r="C1485" s="18"/>
      <c r="D1485" s="17" t="e">
        <f>VLOOKUP(C1485,[1]Maliteslimalan!$A$1:$B$210,2,0)</f>
        <v>#N/A</v>
      </c>
      <c r="E1485" s="19" t="e">
        <f>VLOOKUP(C1485,[1]Bestellnr.!$A$1:$B$174,2,0)</f>
        <v>#N/A</v>
      </c>
      <c r="F1485" s="20" t="e">
        <f t="shared" si="607"/>
        <v>#N/A</v>
      </c>
      <c r="G1485" s="17"/>
      <c r="H1485" s="17" t="e">
        <f t="shared" si="608"/>
        <v>#N/A</v>
      </c>
      <c r="I1485" s="20"/>
      <c r="J1485" s="17" t="e">
        <f t="shared" si="609"/>
        <v>#N/A</v>
      </c>
      <c r="K1485" s="17" t="e">
        <f t="shared" si="610"/>
        <v>#N/A</v>
      </c>
      <c r="L1485" s="22"/>
      <c r="M1485" s="22"/>
      <c r="N1485" s="22"/>
      <c r="O1485" s="22" t="e">
        <f t="shared" si="611"/>
        <v>#N/A</v>
      </c>
      <c r="P1485" s="22">
        <f t="shared" si="612"/>
        <v>0</v>
      </c>
      <c r="Q1485" s="22"/>
      <c r="R1485" s="23"/>
      <c r="S1485" s="22">
        <f t="shared" si="613"/>
        <v>0</v>
      </c>
      <c r="T1485" s="24" t="e">
        <f t="shared" si="614"/>
        <v>#N/A</v>
      </c>
      <c r="U1485" s="27">
        <v>934716000</v>
      </c>
      <c r="V1485" s="42">
        <v>8914900744</v>
      </c>
      <c r="W1485" s="27">
        <v>934716000</v>
      </c>
      <c r="X1485" s="61">
        <v>300</v>
      </c>
      <c r="Y1485" s="48" t="s">
        <v>758</v>
      </c>
      <c r="Z1485" s="60">
        <v>934716000</v>
      </c>
      <c r="AA1485" s="46">
        <v>3.4349999999999999E-2</v>
      </c>
      <c r="AB1485" s="46"/>
    </row>
    <row r="1486" spans="1:28" ht="48.2" customHeight="1" x14ac:dyDescent="0.25">
      <c r="A1486" s="17" t="e">
        <f>VLOOKUP(C1486,[1]Werke!$A$1:$C$168,3,0)</f>
        <v>#N/A</v>
      </c>
      <c r="B1486" s="17" t="e">
        <f>VLOOKUP(C1486,[1]Werke!$A$1:$C$168,2,0)</f>
        <v>#N/A</v>
      </c>
      <c r="C1486" s="18"/>
      <c r="D1486" s="17" t="e">
        <f>VLOOKUP(C1486,[1]Maliteslimalan!$A$1:$B$210,2,0)</f>
        <v>#N/A</v>
      </c>
      <c r="E1486" s="19" t="e">
        <f>VLOOKUP(C1486,[1]Bestellnr.!$A$1:$B$174,2,0)</f>
        <v>#N/A</v>
      </c>
      <c r="F1486" s="20" t="e">
        <f t="shared" si="607"/>
        <v>#N/A</v>
      </c>
      <c r="G1486" s="17"/>
      <c r="H1486" s="17" t="e">
        <f t="shared" si="608"/>
        <v>#N/A</v>
      </c>
      <c r="I1486" s="20"/>
      <c r="J1486" s="17" t="e">
        <f t="shared" si="609"/>
        <v>#N/A</v>
      </c>
      <c r="K1486" s="17" t="e">
        <f t="shared" si="610"/>
        <v>#N/A</v>
      </c>
      <c r="L1486" s="22"/>
      <c r="M1486" s="22"/>
      <c r="N1486" s="22"/>
      <c r="O1486" s="22" t="e">
        <f t="shared" si="611"/>
        <v>#N/A</v>
      </c>
      <c r="P1486" s="22">
        <f t="shared" si="612"/>
        <v>0</v>
      </c>
      <c r="Q1486" s="22"/>
      <c r="R1486" s="23"/>
      <c r="S1486" s="22">
        <f t="shared" si="613"/>
        <v>0</v>
      </c>
      <c r="T1486" s="24" t="e">
        <f t="shared" si="614"/>
        <v>#N/A</v>
      </c>
      <c r="U1486" s="27">
        <v>934737000</v>
      </c>
      <c r="V1486" s="42">
        <v>8101650084</v>
      </c>
      <c r="W1486" s="27">
        <v>934737000</v>
      </c>
      <c r="X1486" s="61">
        <v>2000</v>
      </c>
      <c r="Y1486" s="48" t="s">
        <v>759</v>
      </c>
      <c r="Z1486" s="60">
        <v>934737000</v>
      </c>
      <c r="AA1486" s="46">
        <v>5.4200000000000003E-3</v>
      </c>
      <c r="AB1486" s="46"/>
    </row>
    <row r="1487" spans="1:28" ht="48.2" customHeight="1" x14ac:dyDescent="0.25">
      <c r="A1487" s="17" t="e">
        <f>VLOOKUP(C1487,[1]Werke!$A$1:$C$168,3,0)</f>
        <v>#N/A</v>
      </c>
      <c r="B1487" s="17" t="e">
        <f>VLOOKUP(C1487,[1]Werke!$A$1:$C$168,2,0)</f>
        <v>#N/A</v>
      </c>
      <c r="C1487" s="18"/>
      <c r="D1487" s="17" t="e">
        <f>VLOOKUP(C1487,[1]Maliteslimalan!$A$1:$B$210,2,0)</f>
        <v>#N/A</v>
      </c>
      <c r="E1487" s="19" t="e">
        <f>VLOOKUP(C1487,[1]Bestellnr.!$A$1:$B$174,2,0)</f>
        <v>#N/A</v>
      </c>
      <c r="F1487" s="20" t="e">
        <f t="shared" si="607"/>
        <v>#N/A</v>
      </c>
      <c r="G1487" s="17"/>
      <c r="H1487" s="17" t="e">
        <f t="shared" si="608"/>
        <v>#N/A</v>
      </c>
      <c r="I1487" s="20"/>
      <c r="J1487" s="17" t="e">
        <f t="shared" si="609"/>
        <v>#N/A</v>
      </c>
      <c r="K1487" s="17" t="e">
        <f t="shared" si="610"/>
        <v>#N/A</v>
      </c>
      <c r="L1487" s="22"/>
      <c r="M1487" s="22"/>
      <c r="N1487" s="22"/>
      <c r="O1487" s="22" t="e">
        <f t="shared" si="611"/>
        <v>#N/A</v>
      </c>
      <c r="P1487" s="22">
        <f t="shared" si="612"/>
        <v>0</v>
      </c>
      <c r="Q1487" s="22"/>
      <c r="R1487" s="23"/>
      <c r="S1487" s="22">
        <f t="shared" si="613"/>
        <v>0</v>
      </c>
      <c r="T1487" s="24" t="e">
        <f t="shared" si="614"/>
        <v>#N/A</v>
      </c>
      <c r="U1487" s="27">
        <v>934960000</v>
      </c>
      <c r="V1487" s="42">
        <v>9254817514</v>
      </c>
      <c r="W1487" s="27">
        <v>934960000</v>
      </c>
      <c r="X1487" s="61">
        <v>76</v>
      </c>
      <c r="Y1487" s="48" t="s">
        <v>760</v>
      </c>
      <c r="Z1487" s="60">
        <v>934960000</v>
      </c>
      <c r="AA1487" s="46">
        <v>0.1804</v>
      </c>
      <c r="AB1487" s="46"/>
    </row>
    <row r="1488" spans="1:28" ht="48.2" customHeight="1" x14ac:dyDescent="0.25">
      <c r="A1488" s="17" t="e">
        <f>VLOOKUP(C1488,[1]Werke!$A$1:$C$168,3,0)</f>
        <v>#N/A</v>
      </c>
      <c r="B1488" s="17" t="e">
        <f>VLOOKUP(C1488,[1]Werke!$A$1:$C$168,2,0)</f>
        <v>#N/A</v>
      </c>
      <c r="C1488" s="18"/>
      <c r="D1488" s="17" t="e">
        <f>VLOOKUP(C1488,[1]Maliteslimalan!$A$1:$B$210,2,0)</f>
        <v>#N/A</v>
      </c>
      <c r="E1488" s="19" t="e">
        <f>VLOOKUP(C1488,[1]Bestellnr.!$A$1:$B$174,2,0)</f>
        <v>#N/A</v>
      </c>
      <c r="F1488" s="20" t="e">
        <f t="shared" si="607"/>
        <v>#N/A</v>
      </c>
      <c r="G1488" s="17"/>
      <c r="H1488" s="17" t="e">
        <f t="shared" si="608"/>
        <v>#N/A</v>
      </c>
      <c r="I1488" s="20"/>
      <c r="J1488" s="17" t="e">
        <f t="shared" si="609"/>
        <v>#N/A</v>
      </c>
      <c r="K1488" s="17" t="e">
        <f t="shared" si="610"/>
        <v>#N/A</v>
      </c>
      <c r="L1488" s="22"/>
      <c r="M1488" s="22"/>
      <c r="N1488" s="22"/>
      <c r="O1488" s="22" t="e">
        <f t="shared" si="611"/>
        <v>#N/A</v>
      </c>
      <c r="P1488" s="22">
        <f t="shared" si="612"/>
        <v>0</v>
      </c>
      <c r="Q1488" s="22"/>
      <c r="R1488" s="23"/>
      <c r="S1488" s="22">
        <f t="shared" si="613"/>
        <v>0</v>
      </c>
      <c r="T1488" s="24" t="e">
        <f t="shared" si="614"/>
        <v>#N/A</v>
      </c>
      <c r="U1488" s="27">
        <v>100375200</v>
      </c>
      <c r="V1488" s="42" t="s">
        <v>761</v>
      </c>
      <c r="W1488" s="27">
        <v>100375200</v>
      </c>
      <c r="X1488" s="61">
        <v>400</v>
      </c>
      <c r="Y1488" s="48" t="s">
        <v>762</v>
      </c>
      <c r="Z1488" s="60">
        <v>100375200</v>
      </c>
      <c r="AA1488" s="46">
        <v>2.5499999999999998E-2</v>
      </c>
      <c r="AB1488" s="46"/>
    </row>
    <row r="1489" spans="1:28" ht="48.2" customHeight="1" x14ac:dyDescent="0.25">
      <c r="A1489" s="17" t="e">
        <f>VLOOKUP(C1489,[1]Werke!$A$1:$C$168,3,0)</f>
        <v>#N/A</v>
      </c>
      <c r="B1489" s="17" t="e">
        <f>VLOOKUP(C1489,[1]Werke!$A$1:$C$168,2,0)</f>
        <v>#N/A</v>
      </c>
      <c r="C1489" s="18"/>
      <c r="D1489" s="17" t="e">
        <f>VLOOKUP(C1489,[1]Maliteslimalan!$A$1:$B$210,2,0)</f>
        <v>#N/A</v>
      </c>
      <c r="E1489" s="19" t="e">
        <f>VLOOKUP(C1489,[1]Bestellnr.!$A$1:$B$174,2,0)</f>
        <v>#N/A</v>
      </c>
      <c r="F1489" s="20" t="e">
        <f t="shared" si="607"/>
        <v>#N/A</v>
      </c>
      <c r="G1489" s="17"/>
      <c r="H1489" s="17" t="e">
        <f t="shared" si="608"/>
        <v>#N/A</v>
      </c>
      <c r="I1489" s="20"/>
      <c r="J1489" s="17" t="e">
        <f t="shared" si="609"/>
        <v>#N/A</v>
      </c>
      <c r="K1489" s="17" t="e">
        <f t="shared" si="610"/>
        <v>#N/A</v>
      </c>
      <c r="L1489" s="22"/>
      <c r="M1489" s="22"/>
      <c r="N1489" s="22"/>
      <c r="O1489" s="22" t="e">
        <f t="shared" si="611"/>
        <v>#N/A</v>
      </c>
      <c r="P1489" s="22">
        <f t="shared" si="612"/>
        <v>0</v>
      </c>
      <c r="Q1489" s="22"/>
      <c r="R1489" s="23"/>
      <c r="S1489" s="22">
        <f t="shared" si="613"/>
        <v>0</v>
      </c>
      <c r="T1489" s="24" t="e">
        <f t="shared" si="614"/>
        <v>#N/A</v>
      </c>
      <c r="U1489" s="27">
        <v>934972000</v>
      </c>
      <c r="V1489" s="42">
        <v>8101640234</v>
      </c>
      <c r="W1489" s="27">
        <v>934972000</v>
      </c>
      <c r="X1489" s="61">
        <v>900</v>
      </c>
      <c r="Y1489" s="48" t="s">
        <v>763</v>
      </c>
      <c r="Z1489" s="60">
        <v>934972000</v>
      </c>
      <c r="AA1489" s="46">
        <v>1.295E-2</v>
      </c>
      <c r="AB1489" s="46"/>
    </row>
    <row r="1490" spans="1:28" ht="48.2" customHeight="1" x14ac:dyDescent="0.25">
      <c r="A1490" s="17" t="e">
        <f>VLOOKUP(C1490,[1]Werke!$A$1:$C$168,3,0)</f>
        <v>#N/A</v>
      </c>
      <c r="B1490" s="17" t="e">
        <f>VLOOKUP(C1490,[1]Werke!$A$1:$C$168,2,0)</f>
        <v>#N/A</v>
      </c>
      <c r="C1490" s="18"/>
      <c r="D1490" s="17" t="e">
        <f>VLOOKUP(C1490,[1]Maliteslimalan!$A$1:$B$210,2,0)</f>
        <v>#N/A</v>
      </c>
      <c r="E1490" s="19" t="e">
        <f>VLOOKUP(C1490,[1]Bestellnr.!$A$1:$B$174,2,0)</f>
        <v>#N/A</v>
      </c>
      <c r="F1490" s="20" t="e">
        <f t="shared" ref="F1490:F1553" si="615">VLOOKUP(G1490,$U$1:$V$1730,2,0)</f>
        <v>#N/A</v>
      </c>
      <c r="G1490" s="17"/>
      <c r="H1490" s="17" t="e">
        <f t="shared" ref="H1490:H1553" si="616">VLOOKUP(G1490,Z$2:AA$1905,2,FALSE)</f>
        <v>#N/A</v>
      </c>
      <c r="I1490" s="20"/>
      <c r="J1490" s="17" t="e">
        <f t="shared" ref="J1490:J1553" si="617">VLOOKUP(G1490,W$2:X$1905,2,FALSE)</f>
        <v>#N/A</v>
      </c>
      <c r="K1490" s="17" t="e">
        <f t="shared" ref="K1490:K1553" si="618">I1490/J1490</f>
        <v>#N/A</v>
      </c>
      <c r="L1490" s="22"/>
      <c r="M1490" s="22"/>
      <c r="N1490" s="22"/>
      <c r="O1490" s="22" t="e">
        <f t="shared" ref="O1490:O1553" si="619">VLOOKUP(N1490,$AL$1285:$AM$1310,2,FALSE)</f>
        <v>#N/A</v>
      </c>
      <c r="P1490" s="22">
        <f t="shared" ref="P1490:P1553" si="620">VLOOKUP(N1490,AC$2:AD$1905,2,FALSE)</f>
        <v>0</v>
      </c>
      <c r="Q1490" s="22"/>
      <c r="R1490" s="23"/>
      <c r="S1490" s="22">
        <f t="shared" ref="S1490:S1553" si="621">VLOOKUP(R1490,AC$2:AD$1905,2,FALSE)</f>
        <v>0</v>
      </c>
      <c r="T1490" s="24" t="e">
        <f t="shared" ref="T1490:T1553" si="622">(H1490*I1490)+P1490*Q1490+S1490*K1490</f>
        <v>#N/A</v>
      </c>
      <c r="U1490" s="27">
        <v>935939000</v>
      </c>
      <c r="V1490" s="42">
        <v>9254817524</v>
      </c>
      <c r="W1490" s="27">
        <v>935939000</v>
      </c>
      <c r="X1490" s="61">
        <v>76</v>
      </c>
      <c r="Y1490" s="48" t="s">
        <v>764</v>
      </c>
      <c r="Z1490" s="60">
        <v>935939000</v>
      </c>
      <c r="AA1490" s="46">
        <v>0.16746</v>
      </c>
      <c r="AB1490" s="46"/>
    </row>
    <row r="1491" spans="1:28" ht="48.2" customHeight="1" x14ac:dyDescent="0.25">
      <c r="A1491" s="17" t="e">
        <f>VLOOKUP(C1491,[1]Werke!$A$1:$C$168,3,0)</f>
        <v>#N/A</v>
      </c>
      <c r="B1491" s="17" t="e">
        <f>VLOOKUP(C1491,[1]Werke!$A$1:$C$168,2,0)</f>
        <v>#N/A</v>
      </c>
      <c r="C1491" s="18"/>
      <c r="D1491" s="17" t="e">
        <f>VLOOKUP(C1491,[1]Maliteslimalan!$A$1:$B$210,2,0)</f>
        <v>#N/A</v>
      </c>
      <c r="E1491" s="19" t="e">
        <f>VLOOKUP(C1491,[1]Bestellnr.!$A$1:$B$174,2,0)</f>
        <v>#N/A</v>
      </c>
      <c r="F1491" s="20" t="e">
        <f t="shared" si="615"/>
        <v>#N/A</v>
      </c>
      <c r="G1491" s="17"/>
      <c r="H1491" s="17" t="e">
        <f t="shared" si="616"/>
        <v>#N/A</v>
      </c>
      <c r="I1491" s="20"/>
      <c r="J1491" s="17" t="e">
        <f t="shared" si="617"/>
        <v>#N/A</v>
      </c>
      <c r="K1491" s="17" t="e">
        <f t="shared" si="618"/>
        <v>#N/A</v>
      </c>
      <c r="L1491" s="22"/>
      <c r="M1491" s="22"/>
      <c r="N1491" s="22"/>
      <c r="O1491" s="22" t="e">
        <f t="shared" si="619"/>
        <v>#N/A</v>
      </c>
      <c r="P1491" s="22">
        <f t="shared" si="620"/>
        <v>0</v>
      </c>
      <c r="Q1491" s="22"/>
      <c r="R1491" s="23"/>
      <c r="S1491" s="22">
        <f t="shared" si="621"/>
        <v>0</v>
      </c>
      <c r="T1491" s="24" t="e">
        <f t="shared" si="622"/>
        <v>#N/A</v>
      </c>
      <c r="U1491" s="27">
        <v>935940000</v>
      </c>
      <c r="V1491" s="42">
        <v>9254817504</v>
      </c>
      <c r="W1491" s="27">
        <v>935940000</v>
      </c>
      <c r="X1491" s="61">
        <v>76</v>
      </c>
      <c r="Y1491" s="48" t="s">
        <v>765</v>
      </c>
      <c r="Z1491" s="60">
        <v>935940000</v>
      </c>
      <c r="AA1491" s="46">
        <v>0.14626</v>
      </c>
      <c r="AB1491" s="46"/>
    </row>
    <row r="1492" spans="1:28" ht="48.2" customHeight="1" x14ac:dyDescent="0.25">
      <c r="A1492" s="17" t="e">
        <f>VLOOKUP(C1492,[1]Werke!$A$1:$C$168,3,0)</f>
        <v>#N/A</v>
      </c>
      <c r="B1492" s="17" t="e">
        <f>VLOOKUP(C1492,[1]Werke!$A$1:$C$168,2,0)</f>
        <v>#N/A</v>
      </c>
      <c r="C1492" s="18"/>
      <c r="D1492" s="17" t="e">
        <f>VLOOKUP(C1492,[1]Maliteslimalan!$A$1:$B$210,2,0)</f>
        <v>#N/A</v>
      </c>
      <c r="E1492" s="19" t="e">
        <f>VLOOKUP(C1492,[1]Bestellnr.!$A$1:$B$174,2,0)</f>
        <v>#N/A</v>
      </c>
      <c r="F1492" s="20" t="e">
        <f t="shared" si="615"/>
        <v>#N/A</v>
      </c>
      <c r="G1492" s="17"/>
      <c r="H1492" s="17" t="e">
        <f t="shared" si="616"/>
        <v>#N/A</v>
      </c>
      <c r="I1492" s="20"/>
      <c r="J1492" s="17" t="e">
        <f t="shared" si="617"/>
        <v>#N/A</v>
      </c>
      <c r="K1492" s="17" t="e">
        <f t="shared" si="618"/>
        <v>#N/A</v>
      </c>
      <c r="L1492" s="22"/>
      <c r="M1492" s="22"/>
      <c r="N1492" s="22"/>
      <c r="O1492" s="22" t="e">
        <f t="shared" si="619"/>
        <v>#N/A</v>
      </c>
      <c r="P1492" s="22">
        <f t="shared" si="620"/>
        <v>0</v>
      </c>
      <c r="Q1492" s="22"/>
      <c r="R1492" s="23"/>
      <c r="S1492" s="22">
        <f t="shared" si="621"/>
        <v>0</v>
      </c>
      <c r="T1492" s="24" t="e">
        <f t="shared" si="622"/>
        <v>#N/A</v>
      </c>
      <c r="U1492" s="27">
        <v>937314000</v>
      </c>
      <c r="V1492" s="42">
        <v>8914900804</v>
      </c>
      <c r="W1492" s="27">
        <v>937314000</v>
      </c>
      <c r="X1492" s="61">
        <v>200</v>
      </c>
      <c r="Y1492" s="48" t="s">
        <v>766</v>
      </c>
      <c r="Z1492" s="60">
        <v>937314000</v>
      </c>
      <c r="AA1492" s="46">
        <v>9.3699999999999999E-3</v>
      </c>
      <c r="AB1492" s="46"/>
    </row>
    <row r="1493" spans="1:28" ht="48.2" customHeight="1" x14ac:dyDescent="0.25">
      <c r="A1493" s="17" t="e">
        <f>VLOOKUP(C1493,[1]Werke!$A$1:$C$168,3,0)</f>
        <v>#N/A</v>
      </c>
      <c r="B1493" s="17" t="e">
        <f>VLOOKUP(C1493,[1]Werke!$A$1:$C$168,2,0)</f>
        <v>#N/A</v>
      </c>
      <c r="C1493" s="18"/>
      <c r="D1493" s="17" t="e">
        <f>VLOOKUP(C1493,[1]Maliteslimalan!$A$1:$B$210,2,0)</f>
        <v>#N/A</v>
      </c>
      <c r="E1493" s="19" t="e">
        <f>VLOOKUP(C1493,[1]Bestellnr.!$A$1:$B$174,2,0)</f>
        <v>#N/A</v>
      </c>
      <c r="F1493" s="20" t="e">
        <f t="shared" si="615"/>
        <v>#N/A</v>
      </c>
      <c r="G1493" s="17"/>
      <c r="H1493" s="17" t="e">
        <f t="shared" si="616"/>
        <v>#N/A</v>
      </c>
      <c r="I1493" s="20"/>
      <c r="J1493" s="17" t="e">
        <f t="shared" si="617"/>
        <v>#N/A</v>
      </c>
      <c r="K1493" s="17" t="e">
        <f t="shared" si="618"/>
        <v>#N/A</v>
      </c>
      <c r="L1493" s="22"/>
      <c r="M1493" s="22"/>
      <c r="N1493" s="22"/>
      <c r="O1493" s="22" t="e">
        <f t="shared" si="619"/>
        <v>#N/A</v>
      </c>
      <c r="P1493" s="22">
        <f t="shared" si="620"/>
        <v>0</v>
      </c>
      <c r="Q1493" s="22"/>
      <c r="R1493" s="23"/>
      <c r="S1493" s="22">
        <f t="shared" si="621"/>
        <v>0</v>
      </c>
      <c r="T1493" s="24" t="e">
        <f t="shared" si="622"/>
        <v>#N/A</v>
      </c>
      <c r="U1493" s="27">
        <v>967299000</v>
      </c>
      <c r="V1493" s="42">
        <v>8103040314</v>
      </c>
      <c r="W1493" s="27">
        <v>967299000</v>
      </c>
      <c r="X1493" s="61">
        <v>400</v>
      </c>
      <c r="Y1493" s="48" t="s">
        <v>767</v>
      </c>
      <c r="Z1493" s="60">
        <v>967299000</v>
      </c>
      <c r="AA1493" s="46">
        <v>2.9780000000000001E-2</v>
      </c>
      <c r="AB1493" s="46"/>
    </row>
    <row r="1494" spans="1:28" ht="48.2" customHeight="1" x14ac:dyDescent="0.25">
      <c r="A1494" s="17" t="e">
        <f>VLOOKUP(C1494,[1]Werke!$A$1:$C$168,3,0)</f>
        <v>#N/A</v>
      </c>
      <c r="B1494" s="17" t="e">
        <f>VLOOKUP(C1494,[1]Werke!$A$1:$C$168,2,0)</f>
        <v>#N/A</v>
      </c>
      <c r="C1494" s="18"/>
      <c r="D1494" s="17" t="e">
        <f>VLOOKUP(C1494,[1]Maliteslimalan!$A$1:$B$210,2,0)</f>
        <v>#N/A</v>
      </c>
      <c r="E1494" s="19" t="e">
        <f>VLOOKUP(C1494,[1]Bestellnr.!$A$1:$B$174,2,0)</f>
        <v>#N/A</v>
      </c>
      <c r="F1494" s="20" t="e">
        <f t="shared" si="615"/>
        <v>#N/A</v>
      </c>
      <c r="G1494" s="17"/>
      <c r="H1494" s="17" t="e">
        <f t="shared" si="616"/>
        <v>#N/A</v>
      </c>
      <c r="I1494" s="20"/>
      <c r="J1494" s="17" t="e">
        <f t="shared" si="617"/>
        <v>#N/A</v>
      </c>
      <c r="K1494" s="17" t="e">
        <f t="shared" si="618"/>
        <v>#N/A</v>
      </c>
      <c r="L1494" s="22"/>
      <c r="M1494" s="22"/>
      <c r="N1494" s="22"/>
      <c r="O1494" s="22" t="e">
        <f t="shared" si="619"/>
        <v>#N/A</v>
      </c>
      <c r="P1494" s="22">
        <f t="shared" si="620"/>
        <v>0</v>
      </c>
      <c r="Q1494" s="22"/>
      <c r="R1494" s="23"/>
      <c r="S1494" s="22">
        <f t="shared" si="621"/>
        <v>0</v>
      </c>
      <c r="T1494" s="24" t="e">
        <f t="shared" si="622"/>
        <v>#N/A</v>
      </c>
      <c r="U1494" s="27">
        <v>967361000</v>
      </c>
      <c r="V1494" s="42">
        <v>8103040984</v>
      </c>
      <c r="W1494" s="27">
        <v>967361000</v>
      </c>
      <c r="X1494" s="61">
        <v>2500</v>
      </c>
      <c r="Y1494" s="48" t="s">
        <v>768</v>
      </c>
      <c r="Z1494" s="60">
        <v>967361000</v>
      </c>
      <c r="AA1494" s="46">
        <v>4.79E-3</v>
      </c>
      <c r="AB1494" s="46"/>
    </row>
    <row r="1495" spans="1:28" ht="48.2" customHeight="1" x14ac:dyDescent="0.25">
      <c r="A1495" s="17" t="e">
        <f>VLOOKUP(C1495,[1]Werke!$A$1:$C$168,3,0)</f>
        <v>#N/A</v>
      </c>
      <c r="B1495" s="17" t="e">
        <f>VLOOKUP(C1495,[1]Werke!$A$1:$C$168,2,0)</f>
        <v>#N/A</v>
      </c>
      <c r="C1495" s="18"/>
      <c r="D1495" s="17" t="e">
        <f>VLOOKUP(C1495,[1]Maliteslimalan!$A$1:$B$210,2,0)</f>
        <v>#N/A</v>
      </c>
      <c r="E1495" s="19" t="e">
        <f>VLOOKUP(C1495,[1]Bestellnr.!$A$1:$B$174,2,0)</f>
        <v>#N/A</v>
      </c>
      <c r="F1495" s="20" t="e">
        <f t="shared" si="615"/>
        <v>#N/A</v>
      </c>
      <c r="G1495" s="17"/>
      <c r="H1495" s="17" t="e">
        <f t="shared" si="616"/>
        <v>#N/A</v>
      </c>
      <c r="I1495" s="20"/>
      <c r="J1495" s="17" t="e">
        <f t="shared" si="617"/>
        <v>#N/A</v>
      </c>
      <c r="K1495" s="17" t="e">
        <f t="shared" si="618"/>
        <v>#N/A</v>
      </c>
      <c r="L1495" s="22"/>
      <c r="M1495" s="22"/>
      <c r="N1495" s="22"/>
      <c r="O1495" s="22" t="e">
        <f t="shared" si="619"/>
        <v>#N/A</v>
      </c>
      <c r="P1495" s="22">
        <f t="shared" si="620"/>
        <v>0</v>
      </c>
      <c r="Q1495" s="22"/>
      <c r="R1495" s="23"/>
      <c r="S1495" s="22">
        <f t="shared" si="621"/>
        <v>0</v>
      </c>
      <c r="T1495" s="24" t="e">
        <f t="shared" si="622"/>
        <v>#N/A</v>
      </c>
      <c r="U1495" s="27">
        <v>967895000</v>
      </c>
      <c r="V1495" s="42">
        <v>8103480014</v>
      </c>
      <c r="W1495" s="27">
        <v>967895000</v>
      </c>
      <c r="X1495" s="61">
        <v>2800</v>
      </c>
      <c r="Y1495" s="48" t="s">
        <v>769</v>
      </c>
      <c r="Z1495" s="60">
        <v>967895000</v>
      </c>
      <c r="AA1495" s="46">
        <v>4.2199999999999998E-3</v>
      </c>
      <c r="AB1495" s="46"/>
    </row>
    <row r="1496" spans="1:28" ht="48.2" customHeight="1" x14ac:dyDescent="0.25">
      <c r="A1496" s="17" t="e">
        <f>VLOOKUP(C1496,[1]Werke!$A$1:$C$168,3,0)</f>
        <v>#N/A</v>
      </c>
      <c r="B1496" s="17" t="e">
        <f>VLOOKUP(C1496,[1]Werke!$A$1:$C$168,2,0)</f>
        <v>#N/A</v>
      </c>
      <c r="C1496" s="18"/>
      <c r="D1496" s="17" t="e">
        <f>VLOOKUP(C1496,[1]Maliteslimalan!$A$1:$B$210,2,0)</f>
        <v>#N/A</v>
      </c>
      <c r="E1496" s="19" t="e">
        <f>VLOOKUP(C1496,[1]Bestellnr.!$A$1:$B$174,2,0)</f>
        <v>#N/A</v>
      </c>
      <c r="F1496" s="20" t="e">
        <f t="shared" si="615"/>
        <v>#N/A</v>
      </c>
      <c r="G1496" s="17"/>
      <c r="H1496" s="17" t="e">
        <f t="shared" si="616"/>
        <v>#N/A</v>
      </c>
      <c r="I1496" s="20"/>
      <c r="J1496" s="17" t="e">
        <f t="shared" si="617"/>
        <v>#N/A</v>
      </c>
      <c r="K1496" s="17" t="e">
        <f t="shared" si="618"/>
        <v>#N/A</v>
      </c>
      <c r="L1496" s="22"/>
      <c r="M1496" s="22"/>
      <c r="N1496" s="22"/>
      <c r="O1496" s="22" t="e">
        <f t="shared" si="619"/>
        <v>#N/A</v>
      </c>
      <c r="P1496" s="22">
        <f t="shared" si="620"/>
        <v>0</v>
      </c>
      <c r="Q1496" s="22"/>
      <c r="R1496" s="23"/>
      <c r="S1496" s="22">
        <f t="shared" si="621"/>
        <v>0</v>
      </c>
      <c r="T1496" s="24" t="e">
        <f t="shared" si="622"/>
        <v>#N/A</v>
      </c>
      <c r="U1496" s="27">
        <v>968192000</v>
      </c>
      <c r="V1496" s="42">
        <v>8103041114</v>
      </c>
      <c r="W1496" s="27">
        <v>968192000</v>
      </c>
      <c r="X1496" s="61">
        <v>2000</v>
      </c>
      <c r="Y1496" s="48" t="s">
        <v>770</v>
      </c>
      <c r="Z1496" s="60">
        <v>968192000</v>
      </c>
      <c r="AA1496" s="46">
        <v>4.8799999999999998E-3</v>
      </c>
      <c r="AB1496" s="46"/>
    </row>
    <row r="1497" spans="1:28" ht="48.2" customHeight="1" x14ac:dyDescent="0.25">
      <c r="A1497" s="17" t="e">
        <f>VLOOKUP(C1497,[1]Werke!$A$1:$C$168,3,0)</f>
        <v>#N/A</v>
      </c>
      <c r="B1497" s="17" t="e">
        <f>VLOOKUP(C1497,[1]Werke!$A$1:$C$168,2,0)</f>
        <v>#N/A</v>
      </c>
      <c r="C1497" s="18"/>
      <c r="D1497" s="17" t="e">
        <f>VLOOKUP(C1497,[1]Maliteslimalan!$A$1:$B$210,2,0)</f>
        <v>#N/A</v>
      </c>
      <c r="E1497" s="19" t="e">
        <f>VLOOKUP(C1497,[1]Bestellnr.!$A$1:$B$174,2,0)</f>
        <v>#N/A</v>
      </c>
      <c r="F1497" s="20" t="e">
        <f t="shared" si="615"/>
        <v>#N/A</v>
      </c>
      <c r="G1497" s="17"/>
      <c r="H1497" s="17" t="e">
        <f t="shared" si="616"/>
        <v>#N/A</v>
      </c>
      <c r="I1497" s="20"/>
      <c r="J1497" s="17" t="e">
        <f t="shared" si="617"/>
        <v>#N/A</v>
      </c>
      <c r="K1497" s="17" t="e">
        <f t="shared" si="618"/>
        <v>#N/A</v>
      </c>
      <c r="L1497" s="22"/>
      <c r="M1497" s="22"/>
      <c r="N1497" s="22"/>
      <c r="O1497" s="22" t="e">
        <f t="shared" si="619"/>
        <v>#N/A</v>
      </c>
      <c r="P1497" s="22">
        <f t="shared" si="620"/>
        <v>0</v>
      </c>
      <c r="Q1497" s="22"/>
      <c r="R1497" s="23"/>
      <c r="S1497" s="22">
        <f t="shared" si="621"/>
        <v>0</v>
      </c>
      <c r="T1497" s="24" t="e">
        <f t="shared" si="622"/>
        <v>#N/A</v>
      </c>
      <c r="U1497" s="27">
        <v>968216000</v>
      </c>
      <c r="V1497" s="42">
        <v>8915030654</v>
      </c>
      <c r="W1497" s="27">
        <v>968216000</v>
      </c>
      <c r="X1497" s="61">
        <v>300</v>
      </c>
      <c r="Y1497" s="48" t="s">
        <v>771</v>
      </c>
      <c r="Z1497" s="60">
        <v>968216000</v>
      </c>
      <c r="AA1497" s="46">
        <v>3.2680000000000001E-2</v>
      </c>
      <c r="AB1497" s="46"/>
    </row>
    <row r="1498" spans="1:28" ht="48.2" customHeight="1" x14ac:dyDescent="0.25">
      <c r="A1498" s="17" t="e">
        <f>VLOOKUP(C1498,[1]Werke!$A$1:$C$168,3,0)</f>
        <v>#N/A</v>
      </c>
      <c r="B1498" s="17" t="e">
        <f>VLOOKUP(C1498,[1]Werke!$A$1:$C$168,2,0)</f>
        <v>#N/A</v>
      </c>
      <c r="C1498" s="18"/>
      <c r="D1498" s="17" t="e">
        <f>VLOOKUP(C1498,[1]Maliteslimalan!$A$1:$B$210,2,0)</f>
        <v>#N/A</v>
      </c>
      <c r="E1498" s="19" t="e">
        <f>VLOOKUP(C1498,[1]Bestellnr.!$A$1:$B$174,2,0)</f>
        <v>#N/A</v>
      </c>
      <c r="F1498" s="20" t="e">
        <f t="shared" si="615"/>
        <v>#N/A</v>
      </c>
      <c r="G1498" s="17"/>
      <c r="H1498" s="17" t="e">
        <f t="shared" si="616"/>
        <v>#N/A</v>
      </c>
      <c r="I1498" s="20"/>
      <c r="J1498" s="17" t="e">
        <f t="shared" si="617"/>
        <v>#N/A</v>
      </c>
      <c r="K1498" s="17" t="e">
        <f t="shared" si="618"/>
        <v>#N/A</v>
      </c>
      <c r="L1498" s="22"/>
      <c r="M1498" s="22"/>
      <c r="N1498" s="22"/>
      <c r="O1498" s="22" t="e">
        <f t="shared" si="619"/>
        <v>#N/A</v>
      </c>
      <c r="P1498" s="22">
        <f t="shared" si="620"/>
        <v>0</v>
      </c>
      <c r="Q1498" s="22"/>
      <c r="R1498" s="23"/>
      <c r="S1498" s="22">
        <f t="shared" si="621"/>
        <v>0</v>
      </c>
      <c r="T1498" s="24" t="e">
        <f t="shared" si="622"/>
        <v>#N/A</v>
      </c>
      <c r="U1498" s="27">
        <v>970134000</v>
      </c>
      <c r="V1498" s="42">
        <v>9254814304</v>
      </c>
      <c r="W1498" s="27">
        <v>970134000</v>
      </c>
      <c r="X1498" s="61">
        <v>400</v>
      </c>
      <c r="Y1498" s="48" t="s">
        <v>772</v>
      </c>
      <c r="Z1498" s="60">
        <v>970134000</v>
      </c>
      <c r="AA1498" s="46">
        <v>3.1550000000000002E-2</v>
      </c>
      <c r="AB1498" s="46"/>
    </row>
    <row r="1499" spans="1:28" ht="48.2" customHeight="1" x14ac:dyDescent="0.25">
      <c r="A1499" s="17" t="e">
        <f>VLOOKUP(C1499,[1]Werke!$A$1:$C$168,3,0)</f>
        <v>#N/A</v>
      </c>
      <c r="B1499" s="17" t="e">
        <f>VLOOKUP(C1499,[1]Werke!$A$1:$C$168,2,0)</f>
        <v>#N/A</v>
      </c>
      <c r="C1499" s="18"/>
      <c r="D1499" s="17" t="e">
        <f>VLOOKUP(C1499,[1]Maliteslimalan!$A$1:$B$210,2,0)</f>
        <v>#N/A</v>
      </c>
      <c r="E1499" s="19" t="e">
        <f>VLOOKUP(C1499,[1]Bestellnr.!$A$1:$B$174,2,0)</f>
        <v>#N/A</v>
      </c>
      <c r="F1499" s="20" t="e">
        <f t="shared" si="615"/>
        <v>#N/A</v>
      </c>
      <c r="G1499" s="17"/>
      <c r="H1499" s="17" t="e">
        <f t="shared" si="616"/>
        <v>#N/A</v>
      </c>
      <c r="I1499" s="20"/>
      <c r="J1499" s="17" t="e">
        <f t="shared" si="617"/>
        <v>#N/A</v>
      </c>
      <c r="K1499" s="17" t="e">
        <f t="shared" si="618"/>
        <v>#N/A</v>
      </c>
      <c r="L1499" s="22"/>
      <c r="M1499" s="22"/>
      <c r="N1499" s="22"/>
      <c r="O1499" s="22" t="e">
        <f t="shared" si="619"/>
        <v>#N/A</v>
      </c>
      <c r="P1499" s="22">
        <f t="shared" si="620"/>
        <v>0</v>
      </c>
      <c r="Q1499" s="22"/>
      <c r="R1499" s="23"/>
      <c r="S1499" s="22">
        <f t="shared" si="621"/>
        <v>0</v>
      </c>
      <c r="T1499" s="24" t="e">
        <f t="shared" si="622"/>
        <v>#N/A</v>
      </c>
      <c r="U1499" s="27">
        <v>967844000</v>
      </c>
      <c r="V1499" s="42" t="s">
        <v>773</v>
      </c>
      <c r="W1499" s="27">
        <v>967844000</v>
      </c>
      <c r="X1499" s="61">
        <v>1500</v>
      </c>
      <c r="Y1499" s="48" t="s">
        <v>774</v>
      </c>
      <c r="Z1499" s="60">
        <v>967844000</v>
      </c>
      <c r="AA1499" s="46">
        <v>9.8399999999999998E-3</v>
      </c>
      <c r="AB1499" s="46"/>
    </row>
    <row r="1500" spans="1:28" ht="48.2" customHeight="1" x14ac:dyDescent="0.25">
      <c r="A1500" s="17" t="e">
        <f>VLOOKUP(C1500,[1]Werke!$A$1:$C$168,3,0)</f>
        <v>#N/A</v>
      </c>
      <c r="B1500" s="17" t="e">
        <f>VLOOKUP(C1500,[1]Werke!$A$1:$C$168,2,0)</f>
        <v>#N/A</v>
      </c>
      <c r="C1500" s="18"/>
      <c r="D1500" s="17" t="e">
        <f>VLOOKUP(C1500,[1]Maliteslimalan!$A$1:$B$210,2,0)</f>
        <v>#N/A</v>
      </c>
      <c r="E1500" s="19" t="e">
        <f>VLOOKUP(C1500,[1]Bestellnr.!$A$1:$B$174,2,0)</f>
        <v>#N/A</v>
      </c>
      <c r="F1500" s="20" t="e">
        <f t="shared" si="615"/>
        <v>#N/A</v>
      </c>
      <c r="G1500" s="17"/>
      <c r="H1500" s="17" t="e">
        <f t="shared" si="616"/>
        <v>#N/A</v>
      </c>
      <c r="I1500" s="20"/>
      <c r="J1500" s="17" t="e">
        <f t="shared" si="617"/>
        <v>#N/A</v>
      </c>
      <c r="K1500" s="17" t="e">
        <f t="shared" si="618"/>
        <v>#N/A</v>
      </c>
      <c r="L1500" s="22"/>
      <c r="M1500" s="22"/>
      <c r="N1500" s="22"/>
      <c r="O1500" s="22" t="e">
        <f t="shared" si="619"/>
        <v>#N/A</v>
      </c>
      <c r="P1500" s="22">
        <f t="shared" si="620"/>
        <v>0</v>
      </c>
      <c r="Q1500" s="22"/>
      <c r="R1500" s="23"/>
      <c r="S1500" s="22">
        <f t="shared" si="621"/>
        <v>0</v>
      </c>
      <c r="T1500" s="24" t="e">
        <f t="shared" si="622"/>
        <v>#N/A</v>
      </c>
      <c r="U1500" s="27">
        <v>967845000</v>
      </c>
      <c r="V1500" s="42" t="s">
        <v>775</v>
      </c>
      <c r="W1500" s="27">
        <v>967845000</v>
      </c>
      <c r="X1500" s="61">
        <v>400</v>
      </c>
      <c r="Y1500" s="48" t="s">
        <v>776</v>
      </c>
      <c r="Z1500" s="60">
        <v>967845000</v>
      </c>
      <c r="AA1500" s="46">
        <v>3.6670000000000001E-2</v>
      </c>
      <c r="AB1500" s="46"/>
    </row>
    <row r="1501" spans="1:28" ht="48.2" customHeight="1" x14ac:dyDescent="0.25">
      <c r="A1501" s="17" t="e">
        <f>VLOOKUP(C1501,[1]Werke!$A$1:$C$168,3,0)</f>
        <v>#N/A</v>
      </c>
      <c r="B1501" s="17" t="e">
        <f>VLOOKUP(C1501,[1]Werke!$A$1:$C$168,2,0)</f>
        <v>#N/A</v>
      </c>
      <c r="C1501" s="18"/>
      <c r="D1501" s="17" t="e">
        <f>VLOOKUP(C1501,[1]Maliteslimalan!$A$1:$B$210,2,0)</f>
        <v>#N/A</v>
      </c>
      <c r="E1501" s="19" t="e">
        <f>VLOOKUP(C1501,[1]Bestellnr.!$A$1:$B$174,2,0)</f>
        <v>#N/A</v>
      </c>
      <c r="F1501" s="20" t="e">
        <f t="shared" si="615"/>
        <v>#N/A</v>
      </c>
      <c r="G1501" s="17"/>
      <c r="H1501" s="17" t="e">
        <f t="shared" si="616"/>
        <v>#N/A</v>
      </c>
      <c r="I1501" s="20"/>
      <c r="J1501" s="17" t="e">
        <f t="shared" si="617"/>
        <v>#N/A</v>
      </c>
      <c r="K1501" s="17" t="e">
        <f t="shared" si="618"/>
        <v>#N/A</v>
      </c>
      <c r="L1501" s="22"/>
      <c r="M1501" s="22"/>
      <c r="N1501" s="22"/>
      <c r="O1501" s="22" t="e">
        <f t="shared" si="619"/>
        <v>#N/A</v>
      </c>
      <c r="P1501" s="22">
        <f t="shared" si="620"/>
        <v>0</v>
      </c>
      <c r="Q1501" s="22"/>
      <c r="R1501" s="23"/>
      <c r="S1501" s="22">
        <f t="shared" si="621"/>
        <v>0</v>
      </c>
      <c r="T1501" s="24" t="e">
        <f t="shared" si="622"/>
        <v>#N/A</v>
      </c>
      <c r="U1501" s="40">
        <v>906853000</v>
      </c>
      <c r="V1501" s="42" t="s">
        <v>777</v>
      </c>
      <c r="W1501" s="40">
        <v>906853000</v>
      </c>
      <c r="X1501" s="61">
        <v>600</v>
      </c>
      <c r="Y1501" s="48" t="s">
        <v>778</v>
      </c>
      <c r="Z1501" s="60">
        <v>906853000</v>
      </c>
      <c r="AA1501" s="46">
        <v>2.7879999999999999E-2</v>
      </c>
      <c r="AB1501" s="46"/>
    </row>
    <row r="1502" spans="1:28" ht="48.2" customHeight="1" x14ac:dyDescent="0.25">
      <c r="A1502" s="17" t="e">
        <f>VLOOKUP(C1502,[1]Werke!$A$1:$C$168,3,0)</f>
        <v>#N/A</v>
      </c>
      <c r="B1502" s="17" t="e">
        <f>VLOOKUP(C1502,[1]Werke!$A$1:$C$168,2,0)</f>
        <v>#N/A</v>
      </c>
      <c r="C1502" s="18"/>
      <c r="D1502" s="17" t="e">
        <f>VLOOKUP(C1502,[1]Maliteslimalan!$A$1:$B$210,2,0)</f>
        <v>#N/A</v>
      </c>
      <c r="E1502" s="19" t="e">
        <f>VLOOKUP(C1502,[1]Bestellnr.!$A$1:$B$174,2,0)</f>
        <v>#N/A</v>
      </c>
      <c r="F1502" s="20" t="e">
        <f t="shared" si="615"/>
        <v>#N/A</v>
      </c>
      <c r="G1502" s="17"/>
      <c r="H1502" s="17" t="e">
        <f t="shared" si="616"/>
        <v>#N/A</v>
      </c>
      <c r="I1502" s="20"/>
      <c r="J1502" s="17" t="e">
        <f t="shared" si="617"/>
        <v>#N/A</v>
      </c>
      <c r="K1502" s="17" t="e">
        <f t="shared" si="618"/>
        <v>#N/A</v>
      </c>
      <c r="L1502" s="22"/>
      <c r="M1502" s="22"/>
      <c r="N1502" s="22"/>
      <c r="O1502" s="22" t="e">
        <f t="shared" si="619"/>
        <v>#N/A</v>
      </c>
      <c r="P1502" s="22">
        <f t="shared" si="620"/>
        <v>0</v>
      </c>
      <c r="Q1502" s="22"/>
      <c r="R1502" s="23"/>
      <c r="S1502" s="22">
        <f t="shared" si="621"/>
        <v>0</v>
      </c>
      <c r="T1502" s="24" t="e">
        <f t="shared" si="622"/>
        <v>#N/A</v>
      </c>
      <c r="U1502" s="40">
        <v>906483000</v>
      </c>
      <c r="V1502" s="42">
        <v>8912102324</v>
      </c>
      <c r="W1502" s="40">
        <v>906483000</v>
      </c>
      <c r="X1502" s="61">
        <v>2000</v>
      </c>
      <c r="Y1502" s="48" t="s">
        <v>779</v>
      </c>
      <c r="Z1502" s="60">
        <v>906483000</v>
      </c>
      <c r="AA1502" s="46">
        <v>7.2500000000000004E-3</v>
      </c>
      <c r="AB1502" s="46"/>
    </row>
    <row r="1503" spans="1:28" ht="48.2" customHeight="1" x14ac:dyDescent="0.25">
      <c r="A1503" s="17" t="e">
        <f>VLOOKUP(C1503,[1]Werke!$A$1:$C$168,3,0)</f>
        <v>#N/A</v>
      </c>
      <c r="B1503" s="17" t="e">
        <f>VLOOKUP(C1503,[1]Werke!$A$1:$C$168,2,0)</f>
        <v>#N/A</v>
      </c>
      <c r="C1503" s="18"/>
      <c r="D1503" s="17" t="e">
        <f>VLOOKUP(C1503,[1]Maliteslimalan!$A$1:$B$210,2,0)</f>
        <v>#N/A</v>
      </c>
      <c r="E1503" s="19" t="e">
        <f>VLOOKUP(C1503,[1]Bestellnr.!$A$1:$B$174,2,0)</f>
        <v>#N/A</v>
      </c>
      <c r="F1503" s="20" t="e">
        <f t="shared" si="615"/>
        <v>#N/A</v>
      </c>
      <c r="G1503" s="17"/>
      <c r="H1503" s="17" t="e">
        <f t="shared" si="616"/>
        <v>#N/A</v>
      </c>
      <c r="I1503" s="20"/>
      <c r="J1503" s="17" t="e">
        <f t="shared" si="617"/>
        <v>#N/A</v>
      </c>
      <c r="K1503" s="17" t="e">
        <f t="shared" si="618"/>
        <v>#N/A</v>
      </c>
      <c r="L1503" s="22"/>
      <c r="M1503" s="22"/>
      <c r="N1503" s="22"/>
      <c r="O1503" s="22" t="e">
        <f t="shared" si="619"/>
        <v>#N/A</v>
      </c>
      <c r="P1503" s="22">
        <f t="shared" si="620"/>
        <v>0</v>
      </c>
      <c r="Q1503" s="22"/>
      <c r="R1503" s="23"/>
      <c r="S1503" s="22">
        <f t="shared" si="621"/>
        <v>0</v>
      </c>
      <c r="T1503" s="24" t="e">
        <f t="shared" si="622"/>
        <v>#N/A</v>
      </c>
      <c r="U1503" s="40">
        <v>926672000</v>
      </c>
      <c r="V1503" s="42" t="s">
        <v>780</v>
      </c>
      <c r="W1503" s="40">
        <v>926672000</v>
      </c>
      <c r="X1503" s="61">
        <v>100</v>
      </c>
      <c r="Y1503" s="48" t="s">
        <v>781</v>
      </c>
      <c r="Z1503" s="60">
        <v>926672000</v>
      </c>
      <c r="AA1503" s="46">
        <v>0.10524</v>
      </c>
      <c r="AB1503" s="46"/>
    </row>
    <row r="1504" spans="1:28" ht="48.2" customHeight="1" x14ac:dyDescent="0.25">
      <c r="A1504" s="17" t="e">
        <f>VLOOKUP(C1504,[1]Werke!$A$1:$C$168,3,0)</f>
        <v>#N/A</v>
      </c>
      <c r="B1504" s="17" t="e">
        <f>VLOOKUP(C1504,[1]Werke!$A$1:$C$168,2,0)</f>
        <v>#N/A</v>
      </c>
      <c r="C1504" s="18"/>
      <c r="D1504" s="17" t="e">
        <f>VLOOKUP(C1504,[1]Maliteslimalan!$A$1:$B$210,2,0)</f>
        <v>#N/A</v>
      </c>
      <c r="E1504" s="19" t="e">
        <f>VLOOKUP(C1504,[1]Bestellnr.!$A$1:$B$174,2,0)</f>
        <v>#N/A</v>
      </c>
      <c r="F1504" s="20" t="e">
        <f t="shared" si="615"/>
        <v>#N/A</v>
      </c>
      <c r="G1504" s="17"/>
      <c r="H1504" s="17" t="e">
        <f t="shared" si="616"/>
        <v>#N/A</v>
      </c>
      <c r="I1504" s="20"/>
      <c r="J1504" s="17" t="e">
        <f t="shared" si="617"/>
        <v>#N/A</v>
      </c>
      <c r="K1504" s="17" t="e">
        <f t="shared" si="618"/>
        <v>#N/A</v>
      </c>
      <c r="L1504" s="22"/>
      <c r="M1504" s="22"/>
      <c r="N1504" s="22"/>
      <c r="O1504" s="22" t="e">
        <f t="shared" si="619"/>
        <v>#N/A</v>
      </c>
      <c r="P1504" s="22">
        <f t="shared" si="620"/>
        <v>0</v>
      </c>
      <c r="Q1504" s="22"/>
      <c r="R1504" s="23"/>
      <c r="S1504" s="22">
        <f t="shared" si="621"/>
        <v>0</v>
      </c>
      <c r="T1504" s="24" t="e">
        <f t="shared" si="622"/>
        <v>#N/A</v>
      </c>
      <c r="U1504" s="40">
        <v>931827000</v>
      </c>
      <c r="V1504" s="42" t="s">
        <v>782</v>
      </c>
      <c r="W1504" s="40">
        <v>931827000</v>
      </c>
      <c r="X1504" s="61">
        <v>100</v>
      </c>
      <c r="Y1504" s="48" t="s">
        <v>783</v>
      </c>
      <c r="Z1504" s="60">
        <v>931827000</v>
      </c>
      <c r="AA1504" s="46">
        <v>4.8379999999999999E-2</v>
      </c>
      <c r="AB1504" s="46"/>
    </row>
    <row r="1505" spans="1:28" ht="48.2" customHeight="1" x14ac:dyDescent="0.25">
      <c r="A1505" s="17" t="e">
        <f>VLOOKUP(C1505,[1]Werke!$A$1:$C$168,3,0)</f>
        <v>#N/A</v>
      </c>
      <c r="B1505" s="17" t="e">
        <f>VLOOKUP(C1505,[1]Werke!$A$1:$C$168,2,0)</f>
        <v>#N/A</v>
      </c>
      <c r="C1505" s="18"/>
      <c r="D1505" s="17" t="e">
        <f>VLOOKUP(C1505,[1]Maliteslimalan!$A$1:$B$210,2,0)</f>
        <v>#N/A</v>
      </c>
      <c r="E1505" s="19" t="e">
        <f>VLOOKUP(C1505,[1]Bestellnr.!$A$1:$B$174,2,0)</f>
        <v>#N/A</v>
      </c>
      <c r="F1505" s="20" t="e">
        <f t="shared" si="615"/>
        <v>#N/A</v>
      </c>
      <c r="G1505" s="17"/>
      <c r="H1505" s="17" t="e">
        <f t="shared" si="616"/>
        <v>#N/A</v>
      </c>
      <c r="I1505" s="20"/>
      <c r="J1505" s="17" t="e">
        <f t="shared" si="617"/>
        <v>#N/A</v>
      </c>
      <c r="K1505" s="17" t="e">
        <f t="shared" si="618"/>
        <v>#N/A</v>
      </c>
      <c r="L1505" s="22"/>
      <c r="M1505" s="22"/>
      <c r="N1505" s="22"/>
      <c r="O1505" s="22" t="e">
        <f t="shared" si="619"/>
        <v>#N/A</v>
      </c>
      <c r="P1505" s="22">
        <f t="shared" si="620"/>
        <v>0</v>
      </c>
      <c r="Q1505" s="22"/>
      <c r="R1505" s="23"/>
      <c r="S1505" s="22">
        <f t="shared" si="621"/>
        <v>0</v>
      </c>
      <c r="T1505" s="24" t="e">
        <f t="shared" si="622"/>
        <v>#N/A</v>
      </c>
      <c r="U1505" s="40">
        <v>970088000</v>
      </c>
      <c r="V1505" s="42" t="s">
        <v>529</v>
      </c>
      <c r="W1505" s="40">
        <v>970088000</v>
      </c>
      <c r="X1505" s="61">
        <v>1750</v>
      </c>
      <c r="Y1505" s="48" t="s">
        <v>784</v>
      </c>
      <c r="Z1505" s="60">
        <v>970088000</v>
      </c>
      <c r="AA1505" s="46">
        <v>6.5599999999999999E-3</v>
      </c>
      <c r="AB1505" s="46"/>
    </row>
    <row r="1506" spans="1:28" ht="48.2" customHeight="1" x14ac:dyDescent="0.25">
      <c r="A1506" s="17" t="e">
        <f>VLOOKUP(C1506,[1]Werke!$A$1:$C$168,3,0)</f>
        <v>#N/A</v>
      </c>
      <c r="B1506" s="17" t="e">
        <f>VLOOKUP(C1506,[1]Werke!$A$1:$C$168,2,0)</f>
        <v>#N/A</v>
      </c>
      <c r="C1506" s="18"/>
      <c r="D1506" s="17" t="e">
        <f>VLOOKUP(C1506,[1]Maliteslimalan!$A$1:$B$210,2,0)</f>
        <v>#N/A</v>
      </c>
      <c r="E1506" s="19" t="e">
        <f>VLOOKUP(C1506,[1]Bestellnr.!$A$1:$B$174,2,0)</f>
        <v>#N/A</v>
      </c>
      <c r="F1506" s="20" t="e">
        <f t="shared" si="615"/>
        <v>#N/A</v>
      </c>
      <c r="G1506" s="17"/>
      <c r="H1506" s="17" t="e">
        <f t="shared" si="616"/>
        <v>#N/A</v>
      </c>
      <c r="I1506" s="20"/>
      <c r="J1506" s="17" t="e">
        <f t="shared" si="617"/>
        <v>#N/A</v>
      </c>
      <c r="K1506" s="17" t="e">
        <f t="shared" si="618"/>
        <v>#N/A</v>
      </c>
      <c r="L1506" s="22"/>
      <c r="M1506" s="22"/>
      <c r="N1506" s="22"/>
      <c r="O1506" s="22" t="e">
        <f t="shared" si="619"/>
        <v>#N/A</v>
      </c>
      <c r="P1506" s="22">
        <f t="shared" si="620"/>
        <v>0</v>
      </c>
      <c r="Q1506" s="22"/>
      <c r="R1506" s="23"/>
      <c r="S1506" s="22">
        <f t="shared" si="621"/>
        <v>0</v>
      </c>
      <c r="T1506" s="24" t="e">
        <f t="shared" si="622"/>
        <v>#N/A</v>
      </c>
      <c r="U1506" s="40">
        <v>968257000</v>
      </c>
      <c r="V1506" s="42" t="s">
        <v>785</v>
      </c>
      <c r="W1506" s="40">
        <v>968257000</v>
      </c>
      <c r="X1506" s="61">
        <v>1500</v>
      </c>
      <c r="Y1506" s="48" t="s">
        <v>786</v>
      </c>
      <c r="Z1506" s="60">
        <v>968257000</v>
      </c>
      <c r="AA1506" s="46">
        <v>1.2030000000000001E-2</v>
      </c>
      <c r="AB1506" s="46"/>
    </row>
    <row r="1507" spans="1:28" ht="48.2" customHeight="1" x14ac:dyDescent="0.25">
      <c r="A1507" s="17" t="e">
        <f>VLOOKUP(C1507,[1]Werke!$A$1:$C$168,3,0)</f>
        <v>#N/A</v>
      </c>
      <c r="B1507" s="17" t="e">
        <f>VLOOKUP(C1507,[1]Werke!$A$1:$C$168,2,0)</f>
        <v>#N/A</v>
      </c>
      <c r="C1507" s="18"/>
      <c r="D1507" s="17" t="e">
        <f>VLOOKUP(C1507,[1]Maliteslimalan!$A$1:$B$210,2,0)</f>
        <v>#N/A</v>
      </c>
      <c r="E1507" s="19" t="e">
        <f>VLOOKUP(C1507,[1]Bestellnr.!$A$1:$B$174,2,0)</f>
        <v>#N/A</v>
      </c>
      <c r="F1507" s="20" t="e">
        <f t="shared" si="615"/>
        <v>#N/A</v>
      </c>
      <c r="G1507" s="17"/>
      <c r="H1507" s="17" t="e">
        <f t="shared" si="616"/>
        <v>#N/A</v>
      </c>
      <c r="I1507" s="20"/>
      <c r="J1507" s="17" t="e">
        <f t="shared" si="617"/>
        <v>#N/A</v>
      </c>
      <c r="K1507" s="17" t="e">
        <f t="shared" si="618"/>
        <v>#N/A</v>
      </c>
      <c r="L1507" s="22"/>
      <c r="M1507" s="22"/>
      <c r="N1507" s="22"/>
      <c r="O1507" s="22" t="e">
        <f t="shared" si="619"/>
        <v>#N/A</v>
      </c>
      <c r="P1507" s="22">
        <f t="shared" si="620"/>
        <v>0</v>
      </c>
      <c r="Q1507" s="22"/>
      <c r="R1507" s="23"/>
      <c r="S1507" s="22">
        <f t="shared" si="621"/>
        <v>0</v>
      </c>
      <c r="T1507" s="24" t="e">
        <f t="shared" si="622"/>
        <v>#N/A</v>
      </c>
      <c r="U1507" s="40">
        <v>970520000</v>
      </c>
      <c r="V1507" s="42" t="s">
        <v>527</v>
      </c>
      <c r="W1507" s="40">
        <v>970520000</v>
      </c>
      <c r="X1507" s="61">
        <v>40</v>
      </c>
      <c r="Y1507" s="48" t="s">
        <v>787</v>
      </c>
      <c r="Z1507" s="60">
        <v>970520000</v>
      </c>
      <c r="AA1507" s="46">
        <v>0.27506999999999998</v>
      </c>
      <c r="AB1507" s="46"/>
    </row>
    <row r="1508" spans="1:28" ht="48.2" customHeight="1" x14ac:dyDescent="0.25">
      <c r="A1508" s="17" t="e">
        <f>VLOOKUP(C1508,[1]Werke!$A$1:$C$168,3,0)</f>
        <v>#N/A</v>
      </c>
      <c r="B1508" s="17" t="e">
        <f>VLOOKUP(C1508,[1]Werke!$A$1:$C$168,2,0)</f>
        <v>#N/A</v>
      </c>
      <c r="C1508" s="18"/>
      <c r="D1508" s="17" t="e">
        <f>VLOOKUP(C1508,[1]Maliteslimalan!$A$1:$B$210,2,0)</f>
        <v>#N/A</v>
      </c>
      <c r="E1508" s="19" t="e">
        <f>VLOOKUP(C1508,[1]Bestellnr.!$A$1:$B$174,2,0)</f>
        <v>#N/A</v>
      </c>
      <c r="F1508" s="20" t="e">
        <f t="shared" si="615"/>
        <v>#N/A</v>
      </c>
      <c r="G1508" s="17"/>
      <c r="H1508" s="17" t="e">
        <f t="shared" si="616"/>
        <v>#N/A</v>
      </c>
      <c r="I1508" s="20"/>
      <c r="J1508" s="17" t="e">
        <f t="shared" si="617"/>
        <v>#N/A</v>
      </c>
      <c r="K1508" s="17" t="e">
        <f t="shared" si="618"/>
        <v>#N/A</v>
      </c>
      <c r="L1508" s="22"/>
      <c r="M1508" s="22"/>
      <c r="N1508" s="22"/>
      <c r="O1508" s="22" t="e">
        <f t="shared" si="619"/>
        <v>#N/A</v>
      </c>
      <c r="P1508" s="22">
        <f t="shared" si="620"/>
        <v>0</v>
      </c>
      <c r="Q1508" s="22"/>
      <c r="R1508" s="23"/>
      <c r="S1508" s="22">
        <f t="shared" si="621"/>
        <v>0</v>
      </c>
      <c r="T1508" s="24" t="e">
        <f t="shared" si="622"/>
        <v>#N/A</v>
      </c>
      <c r="U1508" s="27">
        <v>100469100</v>
      </c>
      <c r="V1508" s="42" t="s">
        <v>788</v>
      </c>
      <c r="W1508" s="27">
        <v>100469100</v>
      </c>
      <c r="X1508" s="61">
        <v>250</v>
      </c>
      <c r="Y1508" s="48" t="s">
        <v>789</v>
      </c>
      <c r="Z1508" s="46">
        <v>100469100</v>
      </c>
      <c r="AA1508" s="46">
        <v>5.7000000000000002E-2</v>
      </c>
      <c r="AB1508" s="46"/>
    </row>
    <row r="1509" spans="1:28" ht="48.2" customHeight="1" x14ac:dyDescent="0.25">
      <c r="A1509" s="17" t="e">
        <f>VLOOKUP(C1509,[1]Werke!$A$1:$C$168,3,0)</f>
        <v>#N/A</v>
      </c>
      <c r="B1509" s="17" t="e">
        <f>VLOOKUP(C1509,[1]Werke!$A$1:$C$168,2,0)</f>
        <v>#N/A</v>
      </c>
      <c r="C1509" s="18"/>
      <c r="D1509" s="17" t="e">
        <f>VLOOKUP(C1509,[1]Maliteslimalan!$A$1:$B$210,2,0)</f>
        <v>#N/A</v>
      </c>
      <c r="E1509" s="19" t="e">
        <f>VLOOKUP(C1509,[1]Bestellnr.!$A$1:$B$174,2,0)</f>
        <v>#N/A</v>
      </c>
      <c r="F1509" s="20" t="e">
        <f t="shared" si="615"/>
        <v>#N/A</v>
      </c>
      <c r="G1509" s="17"/>
      <c r="H1509" s="17" t="e">
        <f t="shared" si="616"/>
        <v>#N/A</v>
      </c>
      <c r="I1509" s="20"/>
      <c r="J1509" s="17" t="e">
        <f t="shared" si="617"/>
        <v>#N/A</v>
      </c>
      <c r="K1509" s="17" t="e">
        <f t="shared" si="618"/>
        <v>#N/A</v>
      </c>
      <c r="L1509" s="22"/>
      <c r="M1509" s="22"/>
      <c r="N1509" s="22"/>
      <c r="O1509" s="22" t="e">
        <f t="shared" si="619"/>
        <v>#N/A</v>
      </c>
      <c r="P1509" s="22">
        <f t="shared" si="620"/>
        <v>0</v>
      </c>
      <c r="Q1509" s="22"/>
      <c r="R1509" s="23"/>
      <c r="S1509" s="22">
        <f t="shared" si="621"/>
        <v>0</v>
      </c>
      <c r="T1509" s="24" t="e">
        <f t="shared" si="622"/>
        <v>#N/A</v>
      </c>
      <c r="U1509" s="40">
        <v>980041000</v>
      </c>
      <c r="V1509" s="42" t="s">
        <v>790</v>
      </c>
      <c r="W1509" s="40">
        <v>980041000</v>
      </c>
      <c r="X1509" s="61">
        <v>10000</v>
      </c>
      <c r="Y1509" s="48" t="s">
        <v>791</v>
      </c>
      <c r="Z1509" s="60">
        <v>980041000</v>
      </c>
      <c r="AA1509" s="46">
        <v>2.0299999999999999E-2</v>
      </c>
      <c r="AB1509" s="46"/>
    </row>
    <row r="1510" spans="1:28" ht="48.2" customHeight="1" x14ac:dyDescent="0.25">
      <c r="A1510" s="17" t="e">
        <f>VLOOKUP(C1510,[1]Werke!$A$1:$C$168,3,0)</f>
        <v>#N/A</v>
      </c>
      <c r="B1510" s="17" t="e">
        <f>VLOOKUP(C1510,[1]Werke!$A$1:$C$168,2,0)</f>
        <v>#N/A</v>
      </c>
      <c r="C1510" s="18"/>
      <c r="D1510" s="17" t="e">
        <f>VLOOKUP(C1510,[1]Maliteslimalan!$A$1:$B$210,2,0)</f>
        <v>#N/A</v>
      </c>
      <c r="E1510" s="19" t="e">
        <f>VLOOKUP(C1510,[1]Bestellnr.!$A$1:$B$174,2,0)</f>
        <v>#N/A</v>
      </c>
      <c r="F1510" s="20" t="e">
        <f t="shared" si="615"/>
        <v>#N/A</v>
      </c>
      <c r="G1510" s="17"/>
      <c r="H1510" s="17" t="e">
        <f t="shared" si="616"/>
        <v>#N/A</v>
      </c>
      <c r="I1510" s="20"/>
      <c r="J1510" s="17" t="e">
        <f t="shared" si="617"/>
        <v>#N/A</v>
      </c>
      <c r="K1510" s="17" t="e">
        <f t="shared" si="618"/>
        <v>#N/A</v>
      </c>
      <c r="L1510" s="22"/>
      <c r="M1510" s="22"/>
      <c r="N1510" s="22"/>
      <c r="O1510" s="22" t="e">
        <f t="shared" si="619"/>
        <v>#N/A</v>
      </c>
      <c r="P1510" s="22">
        <f t="shared" si="620"/>
        <v>0</v>
      </c>
      <c r="Q1510" s="22"/>
      <c r="R1510" s="23"/>
      <c r="S1510" s="22">
        <f t="shared" si="621"/>
        <v>0</v>
      </c>
      <c r="T1510" s="24" t="e">
        <f t="shared" si="622"/>
        <v>#N/A</v>
      </c>
      <c r="U1510" s="40">
        <v>100111500</v>
      </c>
      <c r="V1510" s="42" t="s">
        <v>792</v>
      </c>
      <c r="W1510" s="40">
        <v>100111500</v>
      </c>
      <c r="X1510" s="61">
        <v>500</v>
      </c>
      <c r="Y1510" s="48" t="s">
        <v>793</v>
      </c>
      <c r="Z1510" s="60">
        <v>100111500</v>
      </c>
      <c r="AA1510" s="46">
        <v>2.0140000000000002E-2</v>
      </c>
      <c r="AB1510" s="46"/>
    </row>
    <row r="1511" spans="1:28" ht="48.2" customHeight="1" x14ac:dyDescent="0.25">
      <c r="A1511" s="17" t="e">
        <f>VLOOKUP(C1511,[1]Werke!$A$1:$C$168,3,0)</f>
        <v>#N/A</v>
      </c>
      <c r="B1511" s="17" t="e">
        <f>VLOOKUP(C1511,[1]Werke!$A$1:$C$168,2,0)</f>
        <v>#N/A</v>
      </c>
      <c r="C1511" s="18"/>
      <c r="D1511" s="17" t="e">
        <f>VLOOKUP(C1511,[1]Maliteslimalan!$A$1:$B$210,2,0)</f>
        <v>#N/A</v>
      </c>
      <c r="E1511" s="19" t="e">
        <f>VLOOKUP(C1511,[1]Bestellnr.!$A$1:$B$174,2,0)</f>
        <v>#N/A</v>
      </c>
      <c r="F1511" s="20" t="e">
        <f t="shared" si="615"/>
        <v>#N/A</v>
      </c>
      <c r="G1511" s="17"/>
      <c r="H1511" s="17" t="e">
        <f t="shared" si="616"/>
        <v>#N/A</v>
      </c>
      <c r="I1511" s="20"/>
      <c r="J1511" s="17" t="e">
        <f t="shared" si="617"/>
        <v>#N/A</v>
      </c>
      <c r="K1511" s="17" t="e">
        <f t="shared" si="618"/>
        <v>#N/A</v>
      </c>
      <c r="L1511" s="22"/>
      <c r="M1511" s="22"/>
      <c r="N1511" s="22"/>
      <c r="O1511" s="22" t="e">
        <f t="shared" si="619"/>
        <v>#N/A</v>
      </c>
      <c r="P1511" s="22">
        <f t="shared" si="620"/>
        <v>0</v>
      </c>
      <c r="Q1511" s="22"/>
      <c r="R1511" s="23"/>
      <c r="S1511" s="22">
        <f t="shared" si="621"/>
        <v>0</v>
      </c>
      <c r="T1511" s="24" t="e">
        <f t="shared" si="622"/>
        <v>#N/A</v>
      </c>
      <c r="U1511" s="40">
        <v>970829000</v>
      </c>
      <c r="V1511" s="42" t="s">
        <v>794</v>
      </c>
      <c r="W1511" s="40">
        <v>970829000</v>
      </c>
      <c r="X1511" s="61">
        <v>1000</v>
      </c>
      <c r="Y1511" s="48" t="s">
        <v>708</v>
      </c>
      <c r="Z1511" s="60">
        <v>970829000</v>
      </c>
      <c r="AA1511" s="46">
        <v>7.7499999999999999E-3</v>
      </c>
      <c r="AB1511" s="46"/>
    </row>
    <row r="1512" spans="1:28" ht="48.2" customHeight="1" x14ac:dyDescent="0.25">
      <c r="A1512" s="17" t="e">
        <f>VLOOKUP(C1512,[1]Werke!$A$1:$C$168,3,0)</f>
        <v>#N/A</v>
      </c>
      <c r="B1512" s="17" t="e">
        <f>VLOOKUP(C1512,[1]Werke!$A$1:$C$168,2,0)</f>
        <v>#N/A</v>
      </c>
      <c r="C1512" s="18"/>
      <c r="D1512" s="17" t="e">
        <f>VLOOKUP(C1512,[1]Maliteslimalan!$A$1:$B$210,2,0)</f>
        <v>#N/A</v>
      </c>
      <c r="E1512" s="19" t="e">
        <f>VLOOKUP(C1512,[1]Bestellnr.!$A$1:$B$174,2,0)</f>
        <v>#N/A</v>
      </c>
      <c r="F1512" s="20" t="e">
        <f t="shared" si="615"/>
        <v>#N/A</v>
      </c>
      <c r="G1512" s="17"/>
      <c r="H1512" s="17" t="e">
        <f t="shared" si="616"/>
        <v>#N/A</v>
      </c>
      <c r="I1512" s="20"/>
      <c r="J1512" s="17" t="e">
        <f t="shared" si="617"/>
        <v>#N/A</v>
      </c>
      <c r="K1512" s="17" t="e">
        <f t="shared" si="618"/>
        <v>#N/A</v>
      </c>
      <c r="L1512" s="22"/>
      <c r="M1512" s="22"/>
      <c r="N1512" s="22"/>
      <c r="O1512" s="22" t="e">
        <f t="shared" si="619"/>
        <v>#N/A</v>
      </c>
      <c r="P1512" s="22">
        <f t="shared" si="620"/>
        <v>0</v>
      </c>
      <c r="Q1512" s="22"/>
      <c r="R1512" s="23"/>
      <c r="S1512" s="22">
        <f t="shared" si="621"/>
        <v>0</v>
      </c>
      <c r="T1512" s="24" t="e">
        <f t="shared" si="622"/>
        <v>#N/A</v>
      </c>
      <c r="U1512" s="40">
        <v>970829000</v>
      </c>
      <c r="V1512" s="42" t="s">
        <v>523</v>
      </c>
      <c r="W1512" s="40">
        <v>970829000</v>
      </c>
      <c r="X1512" s="61">
        <v>1000</v>
      </c>
      <c r="Y1512" s="48" t="s">
        <v>708</v>
      </c>
      <c r="Z1512" s="60">
        <v>970829000</v>
      </c>
      <c r="AA1512" s="46">
        <v>7.7499999999999999E-3</v>
      </c>
      <c r="AB1512" s="46"/>
    </row>
    <row r="1513" spans="1:28" ht="48.2" customHeight="1" x14ac:dyDescent="0.25">
      <c r="A1513" s="17" t="e">
        <f>VLOOKUP(C1513,[1]Werke!$A$1:$C$168,3,0)</f>
        <v>#N/A</v>
      </c>
      <c r="B1513" s="17" t="e">
        <f>VLOOKUP(C1513,[1]Werke!$A$1:$C$168,2,0)</f>
        <v>#N/A</v>
      </c>
      <c r="C1513" s="18"/>
      <c r="D1513" s="17" t="e">
        <f>VLOOKUP(C1513,[1]Maliteslimalan!$A$1:$B$210,2,0)</f>
        <v>#N/A</v>
      </c>
      <c r="E1513" s="19" t="e">
        <f>VLOOKUP(C1513,[1]Bestellnr.!$A$1:$B$174,2,0)</f>
        <v>#N/A</v>
      </c>
      <c r="F1513" s="20" t="e">
        <f t="shared" si="615"/>
        <v>#N/A</v>
      </c>
      <c r="G1513" s="17"/>
      <c r="H1513" s="17" t="e">
        <f t="shared" si="616"/>
        <v>#N/A</v>
      </c>
      <c r="I1513" s="20"/>
      <c r="J1513" s="17" t="e">
        <f t="shared" si="617"/>
        <v>#N/A</v>
      </c>
      <c r="K1513" s="17" t="e">
        <f t="shared" si="618"/>
        <v>#N/A</v>
      </c>
      <c r="L1513" s="22"/>
      <c r="M1513" s="22"/>
      <c r="N1513" s="22"/>
      <c r="O1513" s="22" t="e">
        <f t="shared" si="619"/>
        <v>#N/A</v>
      </c>
      <c r="P1513" s="22">
        <f t="shared" si="620"/>
        <v>0</v>
      </c>
      <c r="Q1513" s="22"/>
      <c r="R1513" s="23"/>
      <c r="S1513" s="22">
        <f t="shared" si="621"/>
        <v>0</v>
      </c>
      <c r="T1513" s="24" t="e">
        <f t="shared" si="622"/>
        <v>#N/A</v>
      </c>
      <c r="U1513" s="40">
        <v>906297000</v>
      </c>
      <c r="V1513" s="42">
        <v>8912113014</v>
      </c>
      <c r="W1513" s="40">
        <v>906297000</v>
      </c>
      <c r="X1513" s="61">
        <v>150</v>
      </c>
      <c r="Y1513" s="48" t="s">
        <v>795</v>
      </c>
      <c r="Z1513" s="60">
        <v>906297000</v>
      </c>
      <c r="AA1513" s="46">
        <v>0.11831999999999999</v>
      </c>
      <c r="AB1513" s="46"/>
    </row>
    <row r="1514" spans="1:28" ht="48.2" customHeight="1" x14ac:dyDescent="0.25">
      <c r="A1514" s="17" t="e">
        <f>VLOOKUP(C1514,[1]Werke!$A$1:$C$168,3,0)</f>
        <v>#N/A</v>
      </c>
      <c r="B1514" s="17" t="e">
        <f>VLOOKUP(C1514,[1]Werke!$A$1:$C$168,2,0)</f>
        <v>#N/A</v>
      </c>
      <c r="C1514" s="18"/>
      <c r="D1514" s="17" t="e">
        <f>VLOOKUP(C1514,[1]Maliteslimalan!$A$1:$B$210,2,0)</f>
        <v>#N/A</v>
      </c>
      <c r="E1514" s="19" t="e">
        <f>VLOOKUP(C1514,[1]Bestellnr.!$A$1:$B$174,2,0)</f>
        <v>#N/A</v>
      </c>
      <c r="F1514" s="20" t="e">
        <f t="shared" si="615"/>
        <v>#N/A</v>
      </c>
      <c r="G1514" s="17"/>
      <c r="H1514" s="17" t="e">
        <f t="shared" si="616"/>
        <v>#N/A</v>
      </c>
      <c r="I1514" s="20"/>
      <c r="J1514" s="17" t="e">
        <f t="shared" si="617"/>
        <v>#N/A</v>
      </c>
      <c r="K1514" s="17" t="e">
        <f t="shared" si="618"/>
        <v>#N/A</v>
      </c>
      <c r="L1514" s="22"/>
      <c r="M1514" s="22"/>
      <c r="N1514" s="22"/>
      <c r="O1514" s="22" t="e">
        <f t="shared" si="619"/>
        <v>#N/A</v>
      </c>
      <c r="P1514" s="22">
        <f t="shared" si="620"/>
        <v>0</v>
      </c>
      <c r="Q1514" s="22"/>
      <c r="R1514" s="23"/>
      <c r="S1514" s="22">
        <f t="shared" si="621"/>
        <v>0</v>
      </c>
      <c r="T1514" s="24" t="e">
        <f t="shared" si="622"/>
        <v>#N/A</v>
      </c>
      <c r="U1514" s="40">
        <v>906407000</v>
      </c>
      <c r="V1514" s="42">
        <v>8912112904</v>
      </c>
      <c r="W1514" s="40">
        <v>906407000</v>
      </c>
      <c r="X1514" s="61">
        <v>200</v>
      </c>
      <c r="Y1514" s="48" t="s">
        <v>796</v>
      </c>
      <c r="Z1514" s="60">
        <v>906407000</v>
      </c>
      <c r="AA1514" s="46">
        <v>8.9510000000000006E-2</v>
      </c>
      <c r="AB1514" s="46"/>
    </row>
    <row r="1515" spans="1:28" ht="48.2" customHeight="1" x14ac:dyDescent="0.25">
      <c r="A1515" s="17" t="e">
        <f>VLOOKUP(C1515,[1]Werke!$A$1:$C$168,3,0)</f>
        <v>#N/A</v>
      </c>
      <c r="B1515" s="17" t="e">
        <f>VLOOKUP(C1515,[1]Werke!$A$1:$C$168,2,0)</f>
        <v>#N/A</v>
      </c>
      <c r="C1515" s="18"/>
      <c r="D1515" s="17" t="e">
        <f>VLOOKUP(C1515,[1]Maliteslimalan!$A$1:$B$210,2,0)</f>
        <v>#N/A</v>
      </c>
      <c r="E1515" s="19" t="e">
        <f>VLOOKUP(C1515,[1]Bestellnr.!$A$1:$B$174,2,0)</f>
        <v>#N/A</v>
      </c>
      <c r="F1515" s="20" t="e">
        <f t="shared" si="615"/>
        <v>#N/A</v>
      </c>
      <c r="G1515" s="17"/>
      <c r="H1515" s="17" t="e">
        <f t="shared" si="616"/>
        <v>#N/A</v>
      </c>
      <c r="I1515" s="20"/>
      <c r="J1515" s="17" t="e">
        <f t="shared" si="617"/>
        <v>#N/A</v>
      </c>
      <c r="K1515" s="17" t="e">
        <f t="shared" si="618"/>
        <v>#N/A</v>
      </c>
      <c r="L1515" s="22"/>
      <c r="M1515" s="22"/>
      <c r="N1515" s="22"/>
      <c r="O1515" s="22" t="e">
        <f t="shared" si="619"/>
        <v>#N/A</v>
      </c>
      <c r="P1515" s="22">
        <f t="shared" si="620"/>
        <v>0</v>
      </c>
      <c r="Q1515" s="22"/>
      <c r="R1515" s="23"/>
      <c r="S1515" s="22">
        <f t="shared" si="621"/>
        <v>0</v>
      </c>
      <c r="T1515" s="24" t="e">
        <f t="shared" si="622"/>
        <v>#N/A</v>
      </c>
      <c r="U1515" s="40">
        <v>906295000</v>
      </c>
      <c r="V1515" s="42">
        <v>8912113064</v>
      </c>
      <c r="W1515" s="40">
        <v>906295000</v>
      </c>
      <c r="X1515" s="61">
        <v>160</v>
      </c>
      <c r="Y1515" s="48" t="s">
        <v>797</v>
      </c>
      <c r="Z1515" s="60">
        <v>906295000</v>
      </c>
      <c r="AA1515" s="46">
        <v>0.10714</v>
      </c>
      <c r="AB1515" s="46"/>
    </row>
    <row r="1516" spans="1:28" ht="48.2" customHeight="1" x14ac:dyDescent="0.25">
      <c r="A1516" s="17" t="e">
        <f>VLOOKUP(C1516,[1]Werke!$A$1:$C$168,3,0)</f>
        <v>#N/A</v>
      </c>
      <c r="B1516" s="17" t="e">
        <f>VLOOKUP(C1516,[1]Werke!$A$1:$C$168,2,0)</f>
        <v>#N/A</v>
      </c>
      <c r="C1516" s="18"/>
      <c r="D1516" s="17" t="e">
        <f>VLOOKUP(C1516,[1]Maliteslimalan!$A$1:$B$210,2,0)</f>
        <v>#N/A</v>
      </c>
      <c r="E1516" s="19" t="e">
        <f>VLOOKUP(C1516,[1]Bestellnr.!$A$1:$B$174,2,0)</f>
        <v>#N/A</v>
      </c>
      <c r="F1516" s="20" t="e">
        <f t="shared" si="615"/>
        <v>#N/A</v>
      </c>
      <c r="G1516" s="17"/>
      <c r="H1516" s="17" t="e">
        <f t="shared" si="616"/>
        <v>#N/A</v>
      </c>
      <c r="I1516" s="20"/>
      <c r="J1516" s="17" t="e">
        <f t="shared" si="617"/>
        <v>#N/A</v>
      </c>
      <c r="K1516" s="17" t="e">
        <f t="shared" si="618"/>
        <v>#N/A</v>
      </c>
      <c r="L1516" s="22"/>
      <c r="M1516" s="22"/>
      <c r="N1516" s="22"/>
      <c r="O1516" s="22" t="e">
        <f t="shared" si="619"/>
        <v>#N/A</v>
      </c>
      <c r="P1516" s="22">
        <f t="shared" si="620"/>
        <v>0</v>
      </c>
      <c r="Q1516" s="22"/>
      <c r="R1516" s="23"/>
      <c r="S1516" s="22">
        <f t="shared" si="621"/>
        <v>0</v>
      </c>
      <c r="T1516" s="24" t="e">
        <f t="shared" si="622"/>
        <v>#N/A</v>
      </c>
      <c r="U1516" s="40">
        <v>906282000</v>
      </c>
      <c r="V1516" s="42">
        <v>8914401354</v>
      </c>
      <c r="W1516" s="40">
        <v>906282000</v>
      </c>
      <c r="X1516" s="61">
        <v>150</v>
      </c>
      <c r="Y1516" s="48" t="s">
        <v>798</v>
      </c>
      <c r="Z1516" s="60">
        <v>906282000</v>
      </c>
      <c r="AA1516" s="46">
        <v>0.12280000000000001</v>
      </c>
      <c r="AB1516" s="46"/>
    </row>
    <row r="1517" spans="1:28" ht="48.2" customHeight="1" x14ac:dyDescent="0.25">
      <c r="A1517" s="17" t="e">
        <f>VLOOKUP(C1517,[1]Werke!$A$1:$C$168,3,0)</f>
        <v>#N/A</v>
      </c>
      <c r="B1517" s="17" t="e">
        <f>VLOOKUP(C1517,[1]Werke!$A$1:$C$168,2,0)</f>
        <v>#N/A</v>
      </c>
      <c r="C1517" s="18"/>
      <c r="D1517" s="17" t="e">
        <f>VLOOKUP(C1517,[1]Maliteslimalan!$A$1:$B$210,2,0)</f>
        <v>#N/A</v>
      </c>
      <c r="E1517" s="19" t="e">
        <f>VLOOKUP(C1517,[1]Bestellnr.!$A$1:$B$174,2,0)</f>
        <v>#N/A</v>
      </c>
      <c r="F1517" s="20" t="e">
        <f t="shared" si="615"/>
        <v>#N/A</v>
      </c>
      <c r="G1517" s="17"/>
      <c r="H1517" s="17" t="e">
        <f t="shared" si="616"/>
        <v>#N/A</v>
      </c>
      <c r="I1517" s="20"/>
      <c r="J1517" s="17" t="e">
        <f t="shared" si="617"/>
        <v>#N/A</v>
      </c>
      <c r="K1517" s="17" t="e">
        <f t="shared" si="618"/>
        <v>#N/A</v>
      </c>
      <c r="L1517" s="22"/>
      <c r="M1517" s="22"/>
      <c r="N1517" s="22"/>
      <c r="O1517" s="22" t="e">
        <f t="shared" si="619"/>
        <v>#N/A</v>
      </c>
      <c r="P1517" s="22">
        <f t="shared" si="620"/>
        <v>0</v>
      </c>
      <c r="Q1517" s="22"/>
      <c r="R1517" s="23"/>
      <c r="S1517" s="22">
        <f t="shared" si="621"/>
        <v>0</v>
      </c>
      <c r="T1517" s="24" t="e">
        <f t="shared" si="622"/>
        <v>#N/A</v>
      </c>
      <c r="U1517" s="40">
        <v>906296000</v>
      </c>
      <c r="V1517" s="42">
        <v>8912113054</v>
      </c>
      <c r="W1517" s="40">
        <v>906296000</v>
      </c>
      <c r="X1517" s="61">
        <v>150</v>
      </c>
      <c r="Y1517" s="48" t="s">
        <v>799</v>
      </c>
      <c r="Z1517" s="60">
        <v>906296000</v>
      </c>
      <c r="AA1517" s="46">
        <v>0.11115</v>
      </c>
      <c r="AB1517" s="46"/>
    </row>
    <row r="1518" spans="1:28" ht="48.2" customHeight="1" x14ac:dyDescent="0.25">
      <c r="A1518" s="17" t="e">
        <f>VLOOKUP(C1518,[1]Werke!$A$1:$C$168,3,0)</f>
        <v>#N/A</v>
      </c>
      <c r="B1518" s="17" t="e">
        <f>VLOOKUP(C1518,[1]Werke!$A$1:$C$168,2,0)</f>
        <v>#N/A</v>
      </c>
      <c r="C1518" s="18"/>
      <c r="D1518" s="17" t="e">
        <f>VLOOKUP(C1518,[1]Maliteslimalan!$A$1:$B$210,2,0)</f>
        <v>#N/A</v>
      </c>
      <c r="E1518" s="19" t="e">
        <f>VLOOKUP(C1518,[1]Bestellnr.!$A$1:$B$174,2,0)</f>
        <v>#N/A</v>
      </c>
      <c r="F1518" s="20" t="e">
        <f t="shared" si="615"/>
        <v>#N/A</v>
      </c>
      <c r="G1518" s="17"/>
      <c r="H1518" s="17" t="e">
        <f t="shared" si="616"/>
        <v>#N/A</v>
      </c>
      <c r="I1518" s="20"/>
      <c r="J1518" s="17" t="e">
        <f t="shared" si="617"/>
        <v>#N/A</v>
      </c>
      <c r="K1518" s="17" t="e">
        <f t="shared" si="618"/>
        <v>#N/A</v>
      </c>
      <c r="L1518" s="22"/>
      <c r="M1518" s="22"/>
      <c r="N1518" s="22"/>
      <c r="O1518" s="22" t="e">
        <f t="shared" si="619"/>
        <v>#N/A</v>
      </c>
      <c r="P1518" s="22">
        <f t="shared" si="620"/>
        <v>0</v>
      </c>
      <c r="Q1518" s="22"/>
      <c r="R1518" s="23"/>
      <c r="S1518" s="22">
        <f t="shared" si="621"/>
        <v>0</v>
      </c>
      <c r="T1518" s="24" t="e">
        <f t="shared" si="622"/>
        <v>#N/A</v>
      </c>
      <c r="U1518" s="40">
        <v>935386000</v>
      </c>
      <c r="V1518" s="42" t="s">
        <v>800</v>
      </c>
      <c r="W1518" s="40">
        <v>935386000</v>
      </c>
      <c r="X1518" s="61">
        <v>40</v>
      </c>
      <c r="Y1518" s="48" t="s">
        <v>801</v>
      </c>
      <c r="Z1518" s="60">
        <v>935386000</v>
      </c>
      <c r="AA1518" s="46">
        <v>0.25791999999999998</v>
      </c>
      <c r="AB1518" s="46"/>
    </row>
    <row r="1519" spans="1:28" ht="48.2" customHeight="1" x14ac:dyDescent="0.25">
      <c r="A1519" s="17" t="e">
        <f>VLOOKUP(C1519,[1]Werke!$A$1:$C$168,3,0)</f>
        <v>#N/A</v>
      </c>
      <c r="B1519" s="17" t="e">
        <f>VLOOKUP(C1519,[1]Werke!$A$1:$C$168,2,0)</f>
        <v>#N/A</v>
      </c>
      <c r="C1519" s="18"/>
      <c r="D1519" s="17" t="e">
        <f>VLOOKUP(C1519,[1]Maliteslimalan!$A$1:$B$210,2,0)</f>
        <v>#N/A</v>
      </c>
      <c r="E1519" s="19" t="e">
        <f>VLOOKUP(C1519,[1]Bestellnr.!$A$1:$B$174,2,0)</f>
        <v>#N/A</v>
      </c>
      <c r="F1519" s="20" t="e">
        <f t="shared" si="615"/>
        <v>#N/A</v>
      </c>
      <c r="G1519" s="17"/>
      <c r="H1519" s="17" t="e">
        <f t="shared" si="616"/>
        <v>#N/A</v>
      </c>
      <c r="I1519" s="20"/>
      <c r="J1519" s="17" t="e">
        <f t="shared" si="617"/>
        <v>#N/A</v>
      </c>
      <c r="K1519" s="17" t="e">
        <f t="shared" si="618"/>
        <v>#N/A</v>
      </c>
      <c r="L1519" s="22"/>
      <c r="M1519" s="22"/>
      <c r="N1519" s="22"/>
      <c r="O1519" s="22" t="e">
        <f t="shared" si="619"/>
        <v>#N/A</v>
      </c>
      <c r="P1519" s="22">
        <f t="shared" si="620"/>
        <v>0</v>
      </c>
      <c r="Q1519" s="22"/>
      <c r="R1519" s="23"/>
      <c r="S1519" s="22">
        <f t="shared" si="621"/>
        <v>0</v>
      </c>
      <c r="T1519" s="24" t="e">
        <f t="shared" si="622"/>
        <v>#N/A</v>
      </c>
      <c r="U1519" s="40">
        <v>100252100</v>
      </c>
      <c r="V1519" s="42" t="s">
        <v>802</v>
      </c>
      <c r="W1519" s="40">
        <v>100252100</v>
      </c>
      <c r="X1519" s="61">
        <v>400</v>
      </c>
      <c r="Y1519" s="48" t="s">
        <v>803</v>
      </c>
      <c r="Z1519" s="60">
        <v>100252100</v>
      </c>
      <c r="AA1519" s="46">
        <v>2.648E-2</v>
      </c>
      <c r="AB1519" s="46"/>
    </row>
    <row r="1520" spans="1:28" ht="48.2" customHeight="1" x14ac:dyDescent="0.25">
      <c r="A1520" s="17" t="e">
        <f>VLOOKUP(C1520,[1]Werke!$A$1:$C$168,3,0)</f>
        <v>#N/A</v>
      </c>
      <c r="B1520" s="17" t="e">
        <f>VLOOKUP(C1520,[1]Werke!$A$1:$C$168,2,0)</f>
        <v>#N/A</v>
      </c>
      <c r="C1520" s="18"/>
      <c r="D1520" s="17" t="e">
        <f>VLOOKUP(C1520,[1]Maliteslimalan!$A$1:$B$210,2,0)</f>
        <v>#N/A</v>
      </c>
      <c r="E1520" s="19" t="e">
        <f>VLOOKUP(C1520,[1]Bestellnr.!$A$1:$B$174,2,0)</f>
        <v>#N/A</v>
      </c>
      <c r="F1520" s="20" t="e">
        <f t="shared" si="615"/>
        <v>#N/A</v>
      </c>
      <c r="G1520" s="17"/>
      <c r="H1520" s="17" t="e">
        <f t="shared" si="616"/>
        <v>#N/A</v>
      </c>
      <c r="I1520" s="20"/>
      <c r="J1520" s="17" t="e">
        <f t="shared" si="617"/>
        <v>#N/A</v>
      </c>
      <c r="K1520" s="17" t="e">
        <f t="shared" si="618"/>
        <v>#N/A</v>
      </c>
      <c r="L1520" s="22"/>
      <c r="M1520" s="22"/>
      <c r="N1520" s="22"/>
      <c r="O1520" s="22" t="e">
        <f t="shared" si="619"/>
        <v>#N/A</v>
      </c>
      <c r="P1520" s="22">
        <f t="shared" si="620"/>
        <v>0</v>
      </c>
      <c r="Q1520" s="22"/>
      <c r="R1520" s="23"/>
      <c r="S1520" s="22">
        <f t="shared" si="621"/>
        <v>0</v>
      </c>
      <c r="T1520" s="24" t="e">
        <f t="shared" si="622"/>
        <v>#N/A</v>
      </c>
      <c r="U1520" s="40">
        <v>110082700</v>
      </c>
      <c r="V1520" s="42" t="s">
        <v>804</v>
      </c>
      <c r="W1520" s="40">
        <v>110082700</v>
      </c>
      <c r="X1520" s="61">
        <v>500</v>
      </c>
      <c r="Y1520" s="48" t="s">
        <v>805</v>
      </c>
      <c r="Z1520" s="60">
        <v>110082700</v>
      </c>
      <c r="AA1520" s="46">
        <v>2.053E-2</v>
      </c>
      <c r="AB1520" s="46"/>
    </row>
    <row r="1521" spans="1:28" ht="48.2" customHeight="1" x14ac:dyDescent="0.25">
      <c r="A1521" s="17" t="e">
        <f>VLOOKUP(C1521,[1]Werke!$A$1:$C$168,3,0)</f>
        <v>#N/A</v>
      </c>
      <c r="B1521" s="17" t="e">
        <f>VLOOKUP(C1521,[1]Werke!$A$1:$C$168,2,0)</f>
        <v>#N/A</v>
      </c>
      <c r="C1521" s="18"/>
      <c r="D1521" s="17" t="e">
        <f>VLOOKUP(C1521,[1]Maliteslimalan!$A$1:$B$210,2,0)</f>
        <v>#N/A</v>
      </c>
      <c r="E1521" s="19" t="e">
        <f>VLOOKUP(C1521,[1]Bestellnr.!$A$1:$B$174,2,0)</f>
        <v>#N/A</v>
      </c>
      <c r="F1521" s="20" t="e">
        <f t="shared" si="615"/>
        <v>#N/A</v>
      </c>
      <c r="G1521" s="17"/>
      <c r="H1521" s="17" t="e">
        <f t="shared" si="616"/>
        <v>#N/A</v>
      </c>
      <c r="I1521" s="20"/>
      <c r="J1521" s="17" t="e">
        <f t="shared" si="617"/>
        <v>#N/A</v>
      </c>
      <c r="K1521" s="17" t="e">
        <f t="shared" si="618"/>
        <v>#N/A</v>
      </c>
      <c r="L1521" s="22"/>
      <c r="M1521" s="22"/>
      <c r="N1521" s="22"/>
      <c r="O1521" s="22" t="e">
        <f t="shared" si="619"/>
        <v>#N/A</v>
      </c>
      <c r="P1521" s="22">
        <f t="shared" si="620"/>
        <v>0</v>
      </c>
      <c r="Q1521" s="22"/>
      <c r="R1521" s="23"/>
      <c r="S1521" s="22">
        <f t="shared" si="621"/>
        <v>0</v>
      </c>
      <c r="T1521" s="24" t="e">
        <f t="shared" si="622"/>
        <v>#N/A</v>
      </c>
      <c r="U1521" s="40">
        <v>100260400</v>
      </c>
      <c r="V1521" s="42" t="s">
        <v>806</v>
      </c>
      <c r="W1521" s="40">
        <v>100260400</v>
      </c>
      <c r="X1521" s="61">
        <v>500</v>
      </c>
      <c r="Y1521" s="48" t="s">
        <v>807</v>
      </c>
      <c r="Z1521" s="60">
        <v>100260400</v>
      </c>
      <c r="AA1521" s="46">
        <v>2.043E-2</v>
      </c>
      <c r="AB1521" s="46"/>
    </row>
    <row r="1522" spans="1:28" ht="48.2" customHeight="1" x14ac:dyDescent="0.25">
      <c r="A1522" s="17" t="e">
        <f>VLOOKUP(C1522,[1]Werke!$A$1:$C$168,3,0)</f>
        <v>#N/A</v>
      </c>
      <c r="B1522" s="17" t="e">
        <f>VLOOKUP(C1522,[1]Werke!$A$1:$C$168,2,0)</f>
        <v>#N/A</v>
      </c>
      <c r="C1522" s="18"/>
      <c r="D1522" s="17" t="e">
        <f>VLOOKUP(C1522,[1]Maliteslimalan!$A$1:$B$210,2,0)</f>
        <v>#N/A</v>
      </c>
      <c r="E1522" s="19" t="e">
        <f>VLOOKUP(C1522,[1]Bestellnr.!$A$1:$B$174,2,0)</f>
        <v>#N/A</v>
      </c>
      <c r="F1522" s="20" t="e">
        <f t="shared" si="615"/>
        <v>#N/A</v>
      </c>
      <c r="G1522" s="17"/>
      <c r="H1522" s="17" t="e">
        <f t="shared" si="616"/>
        <v>#N/A</v>
      </c>
      <c r="I1522" s="20"/>
      <c r="J1522" s="17" t="e">
        <f t="shared" si="617"/>
        <v>#N/A</v>
      </c>
      <c r="K1522" s="17" t="e">
        <f t="shared" si="618"/>
        <v>#N/A</v>
      </c>
      <c r="L1522" s="22"/>
      <c r="M1522" s="22"/>
      <c r="N1522" s="22"/>
      <c r="O1522" s="22" t="e">
        <f t="shared" si="619"/>
        <v>#N/A</v>
      </c>
      <c r="P1522" s="22">
        <f t="shared" si="620"/>
        <v>0</v>
      </c>
      <c r="Q1522" s="22"/>
      <c r="R1522" s="23"/>
      <c r="S1522" s="22">
        <f t="shared" si="621"/>
        <v>0</v>
      </c>
      <c r="T1522" s="24" t="e">
        <f t="shared" si="622"/>
        <v>#N/A</v>
      </c>
      <c r="U1522" s="40">
        <v>100196400</v>
      </c>
      <c r="V1522" s="18" t="s">
        <v>808</v>
      </c>
      <c r="W1522" s="40">
        <v>100196400</v>
      </c>
      <c r="X1522" s="61">
        <v>150</v>
      </c>
      <c r="Y1522" s="48" t="s">
        <v>809</v>
      </c>
      <c r="Z1522" s="60">
        <v>100196400</v>
      </c>
      <c r="AA1522" s="46">
        <v>6.7110000000000003E-2</v>
      </c>
      <c r="AB1522" s="46"/>
    </row>
    <row r="1523" spans="1:28" ht="48.2" customHeight="1" x14ac:dyDescent="0.25">
      <c r="A1523" s="17" t="e">
        <f>VLOOKUP(C1523,[1]Werke!$A$1:$C$168,3,0)</f>
        <v>#N/A</v>
      </c>
      <c r="B1523" s="17" t="e">
        <f>VLOOKUP(C1523,[1]Werke!$A$1:$C$168,2,0)</f>
        <v>#N/A</v>
      </c>
      <c r="C1523" s="18"/>
      <c r="D1523" s="17" t="e">
        <f>VLOOKUP(C1523,[1]Maliteslimalan!$A$1:$B$210,2,0)</f>
        <v>#N/A</v>
      </c>
      <c r="E1523" s="19" t="e">
        <f>VLOOKUP(C1523,[1]Bestellnr.!$A$1:$B$174,2,0)</f>
        <v>#N/A</v>
      </c>
      <c r="F1523" s="20" t="e">
        <f t="shared" si="615"/>
        <v>#N/A</v>
      </c>
      <c r="G1523" s="17"/>
      <c r="H1523" s="17" t="e">
        <f t="shared" si="616"/>
        <v>#N/A</v>
      </c>
      <c r="I1523" s="20"/>
      <c r="J1523" s="17" t="e">
        <f t="shared" si="617"/>
        <v>#N/A</v>
      </c>
      <c r="K1523" s="17" t="e">
        <f t="shared" si="618"/>
        <v>#N/A</v>
      </c>
      <c r="L1523" s="22"/>
      <c r="M1523" s="22"/>
      <c r="N1523" s="22"/>
      <c r="O1523" s="22" t="e">
        <f t="shared" si="619"/>
        <v>#N/A</v>
      </c>
      <c r="P1523" s="22">
        <f t="shared" si="620"/>
        <v>0</v>
      </c>
      <c r="Q1523" s="22"/>
      <c r="R1523" s="23"/>
      <c r="S1523" s="22">
        <f t="shared" si="621"/>
        <v>0</v>
      </c>
      <c r="T1523" s="24" t="e">
        <f t="shared" si="622"/>
        <v>#N/A</v>
      </c>
      <c r="U1523" s="27">
        <v>906294000</v>
      </c>
      <c r="V1523" s="18">
        <v>8912113004</v>
      </c>
      <c r="W1523" s="27">
        <v>906294000</v>
      </c>
      <c r="X1523" s="61">
        <v>150</v>
      </c>
      <c r="Y1523" s="48" t="s">
        <v>810</v>
      </c>
      <c r="Z1523" s="46">
        <v>906294000</v>
      </c>
      <c r="AA1523" s="46">
        <v>0.10888</v>
      </c>
      <c r="AB1523" s="46"/>
    </row>
    <row r="1524" spans="1:28" ht="48.2" customHeight="1" x14ac:dyDescent="0.25">
      <c r="A1524" s="17" t="e">
        <f>VLOOKUP(C1524,[1]Werke!$A$1:$C$168,3,0)</f>
        <v>#N/A</v>
      </c>
      <c r="B1524" s="17" t="e">
        <f>VLOOKUP(C1524,[1]Werke!$A$1:$C$168,2,0)</f>
        <v>#N/A</v>
      </c>
      <c r="C1524" s="18"/>
      <c r="D1524" s="17" t="e">
        <f>VLOOKUP(C1524,[1]Maliteslimalan!$A$1:$B$210,2,0)</f>
        <v>#N/A</v>
      </c>
      <c r="E1524" s="19" t="e">
        <f>VLOOKUP(C1524,[1]Bestellnr.!$A$1:$B$174,2,0)</f>
        <v>#N/A</v>
      </c>
      <c r="F1524" s="20" t="e">
        <f t="shared" si="615"/>
        <v>#N/A</v>
      </c>
      <c r="G1524" s="17"/>
      <c r="H1524" s="17" t="e">
        <f t="shared" si="616"/>
        <v>#N/A</v>
      </c>
      <c r="I1524" s="20"/>
      <c r="J1524" s="17" t="e">
        <f t="shared" si="617"/>
        <v>#N/A</v>
      </c>
      <c r="K1524" s="17" t="e">
        <f t="shared" si="618"/>
        <v>#N/A</v>
      </c>
      <c r="L1524" s="22"/>
      <c r="M1524" s="22"/>
      <c r="N1524" s="22"/>
      <c r="O1524" s="22" t="e">
        <f t="shared" si="619"/>
        <v>#N/A</v>
      </c>
      <c r="P1524" s="22">
        <f t="shared" si="620"/>
        <v>0</v>
      </c>
      <c r="Q1524" s="22"/>
      <c r="R1524" s="23"/>
      <c r="S1524" s="22">
        <f t="shared" si="621"/>
        <v>0</v>
      </c>
      <c r="T1524" s="24" t="e">
        <f t="shared" si="622"/>
        <v>#N/A</v>
      </c>
      <c r="U1524" s="27">
        <v>906404000</v>
      </c>
      <c r="V1524" s="42">
        <v>8912112914</v>
      </c>
      <c r="W1524" s="27">
        <v>906404000</v>
      </c>
      <c r="X1524" s="47">
        <v>180</v>
      </c>
      <c r="Y1524" s="48" t="s">
        <v>811</v>
      </c>
      <c r="Z1524" s="46">
        <v>906404000</v>
      </c>
      <c r="AA1524" s="46">
        <v>9.7500000000000003E-2</v>
      </c>
      <c r="AB1524" s="46"/>
    </row>
    <row r="1525" spans="1:28" ht="48.2" customHeight="1" x14ac:dyDescent="0.25">
      <c r="A1525" s="17" t="e">
        <f>VLOOKUP(C1525,[1]Werke!$A$1:$C$168,3,0)</f>
        <v>#N/A</v>
      </c>
      <c r="B1525" s="17" t="e">
        <f>VLOOKUP(C1525,[1]Werke!$A$1:$C$168,2,0)</f>
        <v>#N/A</v>
      </c>
      <c r="C1525" s="18"/>
      <c r="D1525" s="17" t="e">
        <f>VLOOKUP(C1525,[1]Maliteslimalan!$A$1:$B$210,2,0)</f>
        <v>#N/A</v>
      </c>
      <c r="E1525" s="19" t="e">
        <f>VLOOKUP(C1525,[1]Bestellnr.!$A$1:$B$174,2,0)</f>
        <v>#N/A</v>
      </c>
      <c r="F1525" s="20" t="e">
        <f t="shared" si="615"/>
        <v>#N/A</v>
      </c>
      <c r="G1525" s="17"/>
      <c r="H1525" s="17" t="e">
        <f t="shared" si="616"/>
        <v>#N/A</v>
      </c>
      <c r="I1525" s="20"/>
      <c r="J1525" s="17" t="e">
        <f t="shared" si="617"/>
        <v>#N/A</v>
      </c>
      <c r="K1525" s="17" t="e">
        <f t="shared" si="618"/>
        <v>#N/A</v>
      </c>
      <c r="L1525" s="22"/>
      <c r="M1525" s="22"/>
      <c r="N1525" s="22"/>
      <c r="O1525" s="22" t="e">
        <f t="shared" si="619"/>
        <v>#N/A</v>
      </c>
      <c r="P1525" s="22">
        <f t="shared" si="620"/>
        <v>0</v>
      </c>
      <c r="Q1525" s="22"/>
      <c r="R1525" s="23"/>
      <c r="S1525" s="22">
        <f t="shared" si="621"/>
        <v>0</v>
      </c>
      <c r="T1525" s="24" t="e">
        <f t="shared" si="622"/>
        <v>#N/A</v>
      </c>
      <c r="U1525" s="27">
        <v>906738000</v>
      </c>
      <c r="V1525" s="18">
        <v>8914400824</v>
      </c>
      <c r="W1525" s="27">
        <v>906738000</v>
      </c>
      <c r="X1525" s="61">
        <v>200</v>
      </c>
      <c r="Y1525" s="48" t="s">
        <v>812</v>
      </c>
      <c r="Z1525" s="46">
        <v>906738000</v>
      </c>
      <c r="AA1525" s="46">
        <v>9.2950000000000005E-2</v>
      </c>
      <c r="AB1525" s="46"/>
    </row>
    <row r="1526" spans="1:28" ht="48.2" customHeight="1" x14ac:dyDescent="0.25">
      <c r="A1526" s="17" t="e">
        <f>VLOOKUP(C1526,[1]Werke!$A$1:$C$168,3,0)</f>
        <v>#N/A</v>
      </c>
      <c r="B1526" s="17" t="e">
        <f>VLOOKUP(C1526,[1]Werke!$A$1:$C$168,2,0)</f>
        <v>#N/A</v>
      </c>
      <c r="C1526" s="18"/>
      <c r="D1526" s="17" t="e">
        <f>VLOOKUP(C1526,[1]Maliteslimalan!$A$1:$B$210,2,0)</f>
        <v>#N/A</v>
      </c>
      <c r="E1526" s="19" t="e">
        <f>VLOOKUP(C1526,[1]Bestellnr.!$A$1:$B$174,2,0)</f>
        <v>#N/A</v>
      </c>
      <c r="F1526" s="20" t="e">
        <f t="shared" si="615"/>
        <v>#N/A</v>
      </c>
      <c r="G1526" s="17"/>
      <c r="H1526" s="17" t="e">
        <f t="shared" si="616"/>
        <v>#N/A</v>
      </c>
      <c r="I1526" s="20"/>
      <c r="J1526" s="17" t="e">
        <f t="shared" si="617"/>
        <v>#N/A</v>
      </c>
      <c r="K1526" s="17" t="e">
        <f t="shared" si="618"/>
        <v>#N/A</v>
      </c>
      <c r="L1526" s="22"/>
      <c r="M1526" s="22"/>
      <c r="N1526" s="22"/>
      <c r="O1526" s="22" t="e">
        <f t="shared" si="619"/>
        <v>#N/A</v>
      </c>
      <c r="P1526" s="22">
        <f t="shared" si="620"/>
        <v>0</v>
      </c>
      <c r="Q1526" s="22"/>
      <c r="R1526" s="23"/>
      <c r="S1526" s="22">
        <f t="shared" si="621"/>
        <v>0</v>
      </c>
      <c r="T1526" s="24" t="e">
        <f t="shared" si="622"/>
        <v>#N/A</v>
      </c>
      <c r="U1526" s="27">
        <v>110064500</v>
      </c>
      <c r="V1526" s="18" t="s">
        <v>813</v>
      </c>
      <c r="W1526" s="27">
        <v>110064500</v>
      </c>
      <c r="X1526" s="61">
        <v>550</v>
      </c>
      <c r="Y1526" s="48" t="s">
        <v>814</v>
      </c>
      <c r="Z1526" s="46">
        <v>110064500</v>
      </c>
      <c r="AA1526" s="46">
        <v>2.4570000000000002E-2</v>
      </c>
      <c r="AB1526" s="46"/>
    </row>
    <row r="1527" spans="1:28" ht="48.2" customHeight="1" x14ac:dyDescent="0.25">
      <c r="A1527" s="17" t="e">
        <f>VLOOKUP(C1527,[1]Werke!$A$1:$C$168,3,0)</f>
        <v>#N/A</v>
      </c>
      <c r="B1527" s="17" t="e">
        <f>VLOOKUP(C1527,[1]Werke!$A$1:$C$168,2,0)</f>
        <v>#N/A</v>
      </c>
      <c r="C1527" s="18"/>
      <c r="D1527" s="17" t="e">
        <f>VLOOKUP(C1527,[1]Maliteslimalan!$A$1:$B$210,2,0)</f>
        <v>#N/A</v>
      </c>
      <c r="E1527" s="19" t="e">
        <f>VLOOKUP(C1527,[1]Bestellnr.!$A$1:$B$174,2,0)</f>
        <v>#N/A</v>
      </c>
      <c r="F1527" s="20" t="e">
        <f t="shared" si="615"/>
        <v>#N/A</v>
      </c>
      <c r="G1527" s="17"/>
      <c r="H1527" s="17" t="e">
        <f t="shared" si="616"/>
        <v>#N/A</v>
      </c>
      <c r="I1527" s="20"/>
      <c r="J1527" s="17" t="e">
        <f t="shared" si="617"/>
        <v>#N/A</v>
      </c>
      <c r="K1527" s="17" t="e">
        <f t="shared" si="618"/>
        <v>#N/A</v>
      </c>
      <c r="L1527" s="22"/>
      <c r="M1527" s="22"/>
      <c r="N1527" s="22"/>
      <c r="O1527" s="22" t="e">
        <f t="shared" si="619"/>
        <v>#N/A</v>
      </c>
      <c r="P1527" s="22">
        <f t="shared" si="620"/>
        <v>0</v>
      </c>
      <c r="Q1527" s="22"/>
      <c r="R1527" s="23"/>
      <c r="S1527" s="22">
        <f t="shared" si="621"/>
        <v>0</v>
      </c>
      <c r="T1527" s="24" t="e">
        <f t="shared" si="622"/>
        <v>#N/A</v>
      </c>
      <c r="U1527" s="27">
        <v>100169200</v>
      </c>
      <c r="V1527" s="18" t="s">
        <v>815</v>
      </c>
      <c r="W1527" s="27">
        <v>100169200</v>
      </c>
      <c r="X1527" s="61">
        <v>100</v>
      </c>
      <c r="Y1527" s="48" t="s">
        <v>816</v>
      </c>
      <c r="Z1527" s="46">
        <v>100169200</v>
      </c>
      <c r="AA1527" s="46">
        <v>9.4780000000000003E-2</v>
      </c>
      <c r="AB1527" s="46"/>
    </row>
    <row r="1528" spans="1:28" ht="48.2" customHeight="1" x14ac:dyDescent="0.25">
      <c r="A1528" s="17" t="e">
        <f>VLOOKUP(C1528,[1]Werke!$A$1:$C$168,3,0)</f>
        <v>#N/A</v>
      </c>
      <c r="B1528" s="17" t="e">
        <f>VLOOKUP(C1528,[1]Werke!$A$1:$C$168,2,0)</f>
        <v>#N/A</v>
      </c>
      <c r="C1528" s="18"/>
      <c r="D1528" s="17" t="e">
        <f>VLOOKUP(C1528,[1]Maliteslimalan!$A$1:$B$210,2,0)</f>
        <v>#N/A</v>
      </c>
      <c r="E1528" s="19" t="e">
        <f>VLOOKUP(C1528,[1]Bestellnr.!$A$1:$B$174,2,0)</f>
        <v>#N/A</v>
      </c>
      <c r="F1528" s="20" t="e">
        <f t="shared" si="615"/>
        <v>#N/A</v>
      </c>
      <c r="G1528" s="17"/>
      <c r="H1528" s="17" t="e">
        <f t="shared" si="616"/>
        <v>#N/A</v>
      </c>
      <c r="I1528" s="20"/>
      <c r="J1528" s="17" t="e">
        <f t="shared" si="617"/>
        <v>#N/A</v>
      </c>
      <c r="K1528" s="17" t="e">
        <f t="shared" si="618"/>
        <v>#N/A</v>
      </c>
      <c r="L1528" s="22"/>
      <c r="M1528" s="22"/>
      <c r="N1528" s="22"/>
      <c r="O1528" s="22" t="e">
        <f t="shared" si="619"/>
        <v>#N/A</v>
      </c>
      <c r="P1528" s="22">
        <f t="shared" si="620"/>
        <v>0</v>
      </c>
      <c r="Q1528" s="22"/>
      <c r="R1528" s="23"/>
      <c r="S1528" s="22">
        <f t="shared" si="621"/>
        <v>0</v>
      </c>
      <c r="T1528" s="24" t="e">
        <f t="shared" si="622"/>
        <v>#N/A</v>
      </c>
      <c r="U1528" s="40" t="s">
        <v>0</v>
      </c>
      <c r="V1528" s="18" t="s">
        <v>817</v>
      </c>
      <c r="W1528" s="40" t="s">
        <v>0</v>
      </c>
      <c r="X1528" s="61">
        <v>500</v>
      </c>
      <c r="Y1528" s="48" t="s">
        <v>818</v>
      </c>
      <c r="Z1528" s="60" t="s">
        <v>0</v>
      </c>
      <c r="AA1528" s="46">
        <v>2.3029999999999998E-2</v>
      </c>
      <c r="AB1528" s="46"/>
    </row>
    <row r="1529" spans="1:28" ht="48.2" customHeight="1" x14ac:dyDescent="0.25">
      <c r="A1529" s="17" t="e">
        <f>VLOOKUP(C1529,[1]Werke!$A$1:$C$168,3,0)</f>
        <v>#N/A</v>
      </c>
      <c r="B1529" s="17" t="e">
        <f>VLOOKUP(C1529,[1]Werke!$A$1:$C$168,2,0)</f>
        <v>#N/A</v>
      </c>
      <c r="C1529" s="18"/>
      <c r="D1529" s="17" t="e">
        <f>VLOOKUP(C1529,[1]Maliteslimalan!$A$1:$B$210,2,0)</f>
        <v>#N/A</v>
      </c>
      <c r="E1529" s="19" t="e">
        <f>VLOOKUP(C1529,[1]Bestellnr.!$A$1:$B$174,2,0)</f>
        <v>#N/A</v>
      </c>
      <c r="F1529" s="20" t="e">
        <f t="shared" si="615"/>
        <v>#N/A</v>
      </c>
      <c r="G1529" s="17"/>
      <c r="H1529" s="17" t="e">
        <f t="shared" si="616"/>
        <v>#N/A</v>
      </c>
      <c r="I1529" s="20"/>
      <c r="J1529" s="17" t="e">
        <f t="shared" si="617"/>
        <v>#N/A</v>
      </c>
      <c r="K1529" s="17" t="e">
        <f t="shared" si="618"/>
        <v>#N/A</v>
      </c>
      <c r="L1529" s="22"/>
      <c r="M1529" s="22"/>
      <c r="N1529" s="22"/>
      <c r="O1529" s="22" t="e">
        <f t="shared" si="619"/>
        <v>#N/A</v>
      </c>
      <c r="P1529" s="22">
        <f t="shared" si="620"/>
        <v>0</v>
      </c>
      <c r="Q1529" s="22"/>
      <c r="R1529" s="23"/>
      <c r="S1529" s="22">
        <f t="shared" si="621"/>
        <v>0</v>
      </c>
      <c r="T1529" s="24" t="e">
        <f t="shared" si="622"/>
        <v>#N/A</v>
      </c>
      <c r="U1529" s="27">
        <v>100288900</v>
      </c>
      <c r="V1529" s="18" t="s">
        <v>819</v>
      </c>
      <c r="W1529" s="27">
        <v>100288900</v>
      </c>
      <c r="X1529" s="62">
        <v>600</v>
      </c>
      <c r="Y1529" s="63" t="s">
        <v>820</v>
      </c>
      <c r="Z1529" s="64">
        <v>100288900</v>
      </c>
      <c r="AA1529" s="64">
        <v>2.198E-2</v>
      </c>
      <c r="AB1529" s="46"/>
    </row>
    <row r="1530" spans="1:28" ht="48.2" customHeight="1" x14ac:dyDescent="0.25">
      <c r="A1530" s="17" t="e">
        <f>VLOOKUP(C1530,[1]Werke!$A$1:$C$168,3,0)</f>
        <v>#N/A</v>
      </c>
      <c r="B1530" s="17" t="e">
        <f>VLOOKUP(C1530,[1]Werke!$A$1:$C$168,2,0)</f>
        <v>#N/A</v>
      </c>
      <c r="C1530" s="18"/>
      <c r="D1530" s="17" t="e">
        <f>VLOOKUP(C1530,[1]Maliteslimalan!$A$1:$B$210,2,0)</f>
        <v>#N/A</v>
      </c>
      <c r="E1530" s="19" t="e">
        <f>VLOOKUP(C1530,[1]Bestellnr.!$A$1:$B$174,2,0)</f>
        <v>#N/A</v>
      </c>
      <c r="F1530" s="20" t="e">
        <f t="shared" si="615"/>
        <v>#N/A</v>
      </c>
      <c r="G1530" s="17"/>
      <c r="H1530" s="17" t="e">
        <f t="shared" si="616"/>
        <v>#N/A</v>
      </c>
      <c r="I1530" s="20"/>
      <c r="J1530" s="17" t="e">
        <f t="shared" si="617"/>
        <v>#N/A</v>
      </c>
      <c r="K1530" s="17" t="e">
        <f t="shared" si="618"/>
        <v>#N/A</v>
      </c>
      <c r="L1530" s="22"/>
      <c r="M1530" s="22"/>
      <c r="N1530" s="22"/>
      <c r="O1530" s="22" t="e">
        <f t="shared" si="619"/>
        <v>#N/A</v>
      </c>
      <c r="P1530" s="22">
        <f t="shared" si="620"/>
        <v>0</v>
      </c>
      <c r="Q1530" s="22"/>
      <c r="R1530" s="23"/>
      <c r="S1530" s="22">
        <f t="shared" si="621"/>
        <v>0</v>
      </c>
      <c r="T1530" s="24" t="e">
        <f t="shared" si="622"/>
        <v>#N/A</v>
      </c>
      <c r="U1530" s="27">
        <v>100313900</v>
      </c>
      <c r="V1530" s="18" t="s">
        <v>821</v>
      </c>
      <c r="W1530" s="27">
        <v>100313900</v>
      </c>
      <c r="X1530" s="62">
        <v>125</v>
      </c>
      <c r="Y1530" s="65" t="s">
        <v>822</v>
      </c>
      <c r="Z1530" s="64">
        <v>100313900</v>
      </c>
      <c r="AA1530" s="64">
        <v>9.6019999999999994E-2</v>
      </c>
      <c r="AB1530" s="46"/>
    </row>
    <row r="1531" spans="1:28" ht="48.2" customHeight="1" x14ac:dyDescent="0.25">
      <c r="A1531" s="17" t="e">
        <f>VLOOKUP(C1531,[1]Werke!$A$1:$C$168,3,0)</f>
        <v>#N/A</v>
      </c>
      <c r="B1531" s="17" t="e">
        <f>VLOOKUP(C1531,[1]Werke!$A$1:$C$168,2,0)</f>
        <v>#N/A</v>
      </c>
      <c r="C1531" s="18"/>
      <c r="D1531" s="17" t="e">
        <f>VLOOKUP(C1531,[1]Maliteslimalan!$A$1:$B$210,2,0)</f>
        <v>#N/A</v>
      </c>
      <c r="E1531" s="19" t="e">
        <f>VLOOKUP(C1531,[1]Bestellnr.!$A$1:$B$174,2,0)</f>
        <v>#N/A</v>
      </c>
      <c r="F1531" s="20" t="e">
        <f t="shared" si="615"/>
        <v>#N/A</v>
      </c>
      <c r="G1531" s="17"/>
      <c r="H1531" s="17" t="e">
        <f t="shared" si="616"/>
        <v>#N/A</v>
      </c>
      <c r="I1531" s="20"/>
      <c r="J1531" s="17" t="e">
        <f t="shared" si="617"/>
        <v>#N/A</v>
      </c>
      <c r="K1531" s="17" t="e">
        <f t="shared" si="618"/>
        <v>#N/A</v>
      </c>
      <c r="L1531" s="22"/>
      <c r="M1531" s="22"/>
      <c r="N1531" s="22"/>
      <c r="O1531" s="22" t="e">
        <f t="shared" si="619"/>
        <v>#N/A</v>
      </c>
      <c r="P1531" s="22">
        <f t="shared" si="620"/>
        <v>0</v>
      </c>
      <c r="Q1531" s="22"/>
      <c r="R1531" s="23"/>
      <c r="S1531" s="22">
        <f t="shared" si="621"/>
        <v>0</v>
      </c>
      <c r="T1531" s="24" t="e">
        <f t="shared" si="622"/>
        <v>#N/A</v>
      </c>
      <c r="U1531" s="39">
        <v>100306400</v>
      </c>
      <c r="V1531" s="20" t="s">
        <v>823</v>
      </c>
      <c r="W1531" s="39">
        <v>100306400</v>
      </c>
      <c r="X1531" s="62">
        <v>1000</v>
      </c>
      <c r="Y1531" s="65" t="s">
        <v>824</v>
      </c>
      <c r="Z1531" s="66">
        <v>100306400</v>
      </c>
      <c r="AA1531" s="67">
        <v>5.1999999999999998E-3</v>
      </c>
      <c r="AB1531" s="46"/>
    </row>
    <row r="1532" spans="1:28" ht="48.2" customHeight="1" x14ac:dyDescent="0.25">
      <c r="A1532" s="17" t="e">
        <f>VLOOKUP(C1532,[1]Werke!$A$1:$C$168,3,0)</f>
        <v>#N/A</v>
      </c>
      <c r="B1532" s="17" t="e">
        <f>VLOOKUP(C1532,[1]Werke!$A$1:$C$168,2,0)</f>
        <v>#N/A</v>
      </c>
      <c r="C1532" s="18"/>
      <c r="D1532" s="17" t="e">
        <f>VLOOKUP(C1532,[1]Maliteslimalan!$A$1:$B$210,2,0)</f>
        <v>#N/A</v>
      </c>
      <c r="E1532" s="19" t="e">
        <f>VLOOKUP(C1532,[1]Bestellnr.!$A$1:$B$174,2,0)</f>
        <v>#N/A</v>
      </c>
      <c r="F1532" s="20" t="e">
        <f t="shared" si="615"/>
        <v>#N/A</v>
      </c>
      <c r="G1532" s="17"/>
      <c r="H1532" s="17" t="e">
        <f t="shared" si="616"/>
        <v>#N/A</v>
      </c>
      <c r="I1532" s="20"/>
      <c r="J1532" s="17" t="e">
        <f t="shared" si="617"/>
        <v>#N/A</v>
      </c>
      <c r="K1532" s="17" t="e">
        <f t="shared" si="618"/>
        <v>#N/A</v>
      </c>
      <c r="L1532" s="22"/>
      <c r="M1532" s="22"/>
      <c r="N1532" s="22"/>
      <c r="O1532" s="22" t="e">
        <f t="shared" si="619"/>
        <v>#N/A</v>
      </c>
      <c r="P1532" s="22">
        <f t="shared" si="620"/>
        <v>0</v>
      </c>
      <c r="Q1532" s="22"/>
      <c r="R1532" s="23"/>
      <c r="S1532" s="22">
        <f t="shared" si="621"/>
        <v>0</v>
      </c>
      <c r="T1532" s="24" t="e">
        <f t="shared" si="622"/>
        <v>#N/A</v>
      </c>
      <c r="U1532" s="39">
        <v>100197700</v>
      </c>
      <c r="V1532" s="20" t="s">
        <v>825</v>
      </c>
      <c r="W1532" s="39">
        <v>100197700</v>
      </c>
      <c r="X1532" s="62">
        <v>100</v>
      </c>
      <c r="Y1532" s="65" t="s">
        <v>826</v>
      </c>
      <c r="Z1532" s="66">
        <v>100197700</v>
      </c>
      <c r="AA1532" s="67">
        <v>9.0469999999999995E-2</v>
      </c>
      <c r="AB1532" s="46"/>
    </row>
    <row r="1533" spans="1:28" ht="48.2" customHeight="1" x14ac:dyDescent="0.25">
      <c r="A1533" s="17" t="e">
        <f>VLOOKUP(C1533,[1]Werke!$A$1:$C$168,3,0)</f>
        <v>#N/A</v>
      </c>
      <c r="B1533" s="17" t="e">
        <f>VLOOKUP(C1533,[1]Werke!$A$1:$C$168,2,0)</f>
        <v>#N/A</v>
      </c>
      <c r="C1533" s="18"/>
      <c r="D1533" s="17" t="e">
        <f>VLOOKUP(C1533,[1]Maliteslimalan!$A$1:$B$210,2,0)</f>
        <v>#N/A</v>
      </c>
      <c r="E1533" s="19" t="e">
        <f>VLOOKUP(C1533,[1]Bestellnr.!$A$1:$B$174,2,0)</f>
        <v>#N/A</v>
      </c>
      <c r="F1533" s="20" t="e">
        <f t="shared" si="615"/>
        <v>#N/A</v>
      </c>
      <c r="G1533" s="17"/>
      <c r="H1533" s="17" t="e">
        <f t="shared" si="616"/>
        <v>#N/A</v>
      </c>
      <c r="I1533" s="20"/>
      <c r="J1533" s="17" t="e">
        <f t="shared" si="617"/>
        <v>#N/A</v>
      </c>
      <c r="K1533" s="17" t="e">
        <f t="shared" si="618"/>
        <v>#N/A</v>
      </c>
      <c r="L1533" s="22"/>
      <c r="M1533" s="22"/>
      <c r="N1533" s="22"/>
      <c r="O1533" s="22" t="e">
        <f t="shared" si="619"/>
        <v>#N/A</v>
      </c>
      <c r="P1533" s="22">
        <f t="shared" si="620"/>
        <v>0</v>
      </c>
      <c r="Q1533" s="22"/>
      <c r="R1533" s="23"/>
      <c r="S1533" s="22">
        <f t="shared" si="621"/>
        <v>0</v>
      </c>
      <c r="T1533" s="24" t="e">
        <f t="shared" si="622"/>
        <v>#N/A</v>
      </c>
      <c r="U1533" s="39">
        <v>110082200</v>
      </c>
      <c r="V1533" s="20" t="s">
        <v>827</v>
      </c>
      <c r="W1533" s="39">
        <v>110082200</v>
      </c>
      <c r="X1533" s="62">
        <v>200</v>
      </c>
      <c r="Y1533" s="65" t="s">
        <v>828</v>
      </c>
      <c r="Z1533" s="66">
        <v>110082200</v>
      </c>
      <c r="AA1533" s="67">
        <v>5.7880000000000001E-2</v>
      </c>
      <c r="AB1533" s="46"/>
    </row>
    <row r="1534" spans="1:28" ht="48.2" customHeight="1" x14ac:dyDescent="0.25">
      <c r="A1534" s="17" t="e">
        <f>VLOOKUP(C1534,[1]Werke!$A$1:$C$168,3,0)</f>
        <v>#N/A</v>
      </c>
      <c r="B1534" s="17" t="e">
        <f>VLOOKUP(C1534,[1]Werke!$A$1:$C$168,2,0)</f>
        <v>#N/A</v>
      </c>
      <c r="C1534" s="18"/>
      <c r="D1534" s="17" t="e">
        <f>VLOOKUP(C1534,[1]Maliteslimalan!$A$1:$B$210,2,0)</f>
        <v>#N/A</v>
      </c>
      <c r="E1534" s="19" t="e">
        <f>VLOOKUP(C1534,[1]Bestellnr.!$A$1:$B$174,2,0)</f>
        <v>#N/A</v>
      </c>
      <c r="F1534" s="20" t="e">
        <f t="shared" si="615"/>
        <v>#N/A</v>
      </c>
      <c r="G1534" s="17"/>
      <c r="H1534" s="17" t="e">
        <f t="shared" si="616"/>
        <v>#N/A</v>
      </c>
      <c r="I1534" s="20"/>
      <c r="J1534" s="17" t="e">
        <f t="shared" si="617"/>
        <v>#N/A</v>
      </c>
      <c r="K1534" s="17" t="e">
        <f t="shared" si="618"/>
        <v>#N/A</v>
      </c>
      <c r="L1534" s="22"/>
      <c r="M1534" s="22"/>
      <c r="N1534" s="22"/>
      <c r="O1534" s="22" t="e">
        <f t="shared" si="619"/>
        <v>#N/A</v>
      </c>
      <c r="P1534" s="22">
        <f t="shared" si="620"/>
        <v>0</v>
      </c>
      <c r="Q1534" s="22"/>
      <c r="R1534" s="23"/>
      <c r="S1534" s="22">
        <f t="shared" si="621"/>
        <v>0</v>
      </c>
      <c r="T1534" s="24" t="e">
        <f t="shared" si="622"/>
        <v>#N/A</v>
      </c>
      <c r="U1534" s="39">
        <v>100299500</v>
      </c>
      <c r="V1534" s="18" t="s">
        <v>829</v>
      </c>
      <c r="W1534" s="39">
        <v>100299500</v>
      </c>
      <c r="X1534" s="62">
        <v>500</v>
      </c>
      <c r="Y1534" s="68" t="s">
        <v>830</v>
      </c>
      <c r="Z1534" s="66">
        <v>100299500</v>
      </c>
      <c r="AA1534" s="67">
        <v>1.9369999999999998E-2</v>
      </c>
      <c r="AB1534" s="46"/>
    </row>
    <row r="1535" spans="1:28" ht="48.2" customHeight="1" x14ac:dyDescent="0.25">
      <c r="A1535" s="17" t="e">
        <f>VLOOKUP(C1535,[1]Werke!$A$1:$C$168,3,0)</f>
        <v>#N/A</v>
      </c>
      <c r="B1535" s="17" t="e">
        <f>VLOOKUP(C1535,[1]Werke!$A$1:$C$168,2,0)</f>
        <v>#N/A</v>
      </c>
      <c r="C1535" s="18"/>
      <c r="D1535" s="17" t="e">
        <f>VLOOKUP(C1535,[1]Maliteslimalan!$A$1:$B$210,2,0)</f>
        <v>#N/A</v>
      </c>
      <c r="E1535" s="19" t="e">
        <f>VLOOKUP(C1535,[1]Bestellnr.!$A$1:$B$174,2,0)</f>
        <v>#N/A</v>
      </c>
      <c r="F1535" s="20" t="e">
        <f t="shared" si="615"/>
        <v>#N/A</v>
      </c>
      <c r="G1535" s="17"/>
      <c r="H1535" s="17" t="e">
        <f t="shared" si="616"/>
        <v>#N/A</v>
      </c>
      <c r="I1535" s="20"/>
      <c r="J1535" s="17" t="e">
        <f t="shared" si="617"/>
        <v>#N/A</v>
      </c>
      <c r="K1535" s="17" t="e">
        <f t="shared" si="618"/>
        <v>#N/A</v>
      </c>
      <c r="L1535" s="22"/>
      <c r="M1535" s="22"/>
      <c r="N1535" s="22"/>
      <c r="O1535" s="22" t="e">
        <f t="shared" si="619"/>
        <v>#N/A</v>
      </c>
      <c r="P1535" s="22">
        <f t="shared" si="620"/>
        <v>0</v>
      </c>
      <c r="Q1535" s="22"/>
      <c r="R1535" s="23"/>
      <c r="S1535" s="22">
        <f t="shared" si="621"/>
        <v>0</v>
      </c>
      <c r="T1535" s="24" t="e">
        <f t="shared" si="622"/>
        <v>#N/A</v>
      </c>
      <c r="U1535" s="39">
        <v>100299600</v>
      </c>
      <c r="V1535" s="18" t="s">
        <v>831</v>
      </c>
      <c r="W1535" s="39">
        <v>100299600</v>
      </c>
      <c r="X1535" s="62">
        <v>600</v>
      </c>
      <c r="Y1535" s="68" t="s">
        <v>830</v>
      </c>
      <c r="Z1535" s="66">
        <v>100299600</v>
      </c>
      <c r="AA1535" s="67">
        <v>1.95E-2</v>
      </c>
      <c r="AB1535" s="46"/>
    </row>
    <row r="1536" spans="1:28" ht="48.2" customHeight="1" x14ac:dyDescent="0.25">
      <c r="A1536" s="17" t="e">
        <f>VLOOKUP(C1536,[1]Werke!$A$1:$C$168,3,0)</f>
        <v>#N/A</v>
      </c>
      <c r="B1536" s="17" t="e">
        <f>VLOOKUP(C1536,[1]Werke!$A$1:$C$168,2,0)</f>
        <v>#N/A</v>
      </c>
      <c r="C1536" s="18"/>
      <c r="D1536" s="17" t="e">
        <f>VLOOKUP(C1536,[1]Maliteslimalan!$A$1:$B$210,2,0)</f>
        <v>#N/A</v>
      </c>
      <c r="E1536" s="19" t="e">
        <f>VLOOKUP(C1536,[1]Bestellnr.!$A$1:$B$174,2,0)</f>
        <v>#N/A</v>
      </c>
      <c r="F1536" s="20" t="e">
        <f t="shared" si="615"/>
        <v>#N/A</v>
      </c>
      <c r="G1536" s="17"/>
      <c r="H1536" s="17" t="e">
        <f t="shared" si="616"/>
        <v>#N/A</v>
      </c>
      <c r="I1536" s="20"/>
      <c r="J1536" s="17" t="e">
        <f t="shared" si="617"/>
        <v>#N/A</v>
      </c>
      <c r="K1536" s="17" t="e">
        <f t="shared" si="618"/>
        <v>#N/A</v>
      </c>
      <c r="L1536" s="22"/>
      <c r="M1536" s="22"/>
      <c r="N1536" s="22"/>
      <c r="O1536" s="22" t="e">
        <f t="shared" si="619"/>
        <v>#N/A</v>
      </c>
      <c r="P1536" s="22">
        <f t="shared" si="620"/>
        <v>0</v>
      </c>
      <c r="Q1536" s="22"/>
      <c r="R1536" s="23"/>
      <c r="S1536" s="22">
        <f t="shared" si="621"/>
        <v>0</v>
      </c>
      <c r="T1536" s="24" t="e">
        <f t="shared" si="622"/>
        <v>#N/A</v>
      </c>
      <c r="U1536" s="38">
        <v>100299700</v>
      </c>
      <c r="V1536" s="18" t="s">
        <v>832</v>
      </c>
      <c r="W1536" s="38">
        <v>100299700</v>
      </c>
      <c r="X1536" s="62">
        <v>1250</v>
      </c>
      <c r="Y1536" s="65" t="s">
        <v>833</v>
      </c>
      <c r="Z1536" s="69">
        <v>100299700</v>
      </c>
      <c r="AA1536" s="67">
        <v>8.5000000000000006E-3</v>
      </c>
      <c r="AB1536" s="46"/>
    </row>
    <row r="1537" spans="1:28" ht="48.2" customHeight="1" x14ac:dyDescent="0.25">
      <c r="A1537" s="17" t="e">
        <f>VLOOKUP(C1537,[1]Werke!$A$1:$C$168,3,0)</f>
        <v>#N/A</v>
      </c>
      <c r="B1537" s="17" t="e">
        <f>VLOOKUP(C1537,[1]Werke!$A$1:$C$168,2,0)</f>
        <v>#N/A</v>
      </c>
      <c r="C1537" s="18"/>
      <c r="D1537" s="17" t="e">
        <f>VLOOKUP(C1537,[1]Maliteslimalan!$A$1:$B$210,2,0)</f>
        <v>#N/A</v>
      </c>
      <c r="E1537" s="19" t="e">
        <f>VLOOKUP(C1537,[1]Bestellnr.!$A$1:$B$174,2,0)</f>
        <v>#N/A</v>
      </c>
      <c r="F1537" s="20" t="e">
        <f t="shared" si="615"/>
        <v>#N/A</v>
      </c>
      <c r="G1537" s="17"/>
      <c r="H1537" s="17" t="e">
        <f t="shared" si="616"/>
        <v>#N/A</v>
      </c>
      <c r="I1537" s="20"/>
      <c r="J1537" s="17" t="e">
        <f t="shared" si="617"/>
        <v>#N/A</v>
      </c>
      <c r="K1537" s="17" t="e">
        <f t="shared" si="618"/>
        <v>#N/A</v>
      </c>
      <c r="L1537" s="22"/>
      <c r="M1537" s="22"/>
      <c r="N1537" s="22"/>
      <c r="O1537" s="22" t="e">
        <f t="shared" si="619"/>
        <v>#N/A</v>
      </c>
      <c r="P1537" s="22">
        <f t="shared" si="620"/>
        <v>0</v>
      </c>
      <c r="Q1537" s="22"/>
      <c r="R1537" s="23"/>
      <c r="S1537" s="22">
        <f t="shared" si="621"/>
        <v>0</v>
      </c>
      <c r="T1537" s="24" t="e">
        <f t="shared" si="622"/>
        <v>#N/A</v>
      </c>
      <c r="U1537" s="38">
        <v>100331200</v>
      </c>
      <c r="V1537" s="18" t="s">
        <v>834</v>
      </c>
      <c r="W1537" s="38">
        <v>100331200</v>
      </c>
      <c r="X1537" s="62">
        <v>500</v>
      </c>
      <c r="Y1537" s="65" t="s">
        <v>835</v>
      </c>
      <c r="Z1537" s="69">
        <v>100331200</v>
      </c>
      <c r="AA1537" s="67">
        <v>1.6500000000000001E-2</v>
      </c>
      <c r="AB1537" s="46"/>
    </row>
    <row r="1538" spans="1:28" ht="48.2" customHeight="1" x14ac:dyDescent="0.25">
      <c r="A1538" s="17" t="e">
        <f>VLOOKUP(C1538,[1]Werke!$A$1:$C$168,3,0)</f>
        <v>#N/A</v>
      </c>
      <c r="B1538" s="17" t="e">
        <f>VLOOKUP(C1538,[1]Werke!$A$1:$C$168,2,0)</f>
        <v>#N/A</v>
      </c>
      <c r="C1538" s="18"/>
      <c r="D1538" s="17" t="e">
        <f>VLOOKUP(C1538,[1]Maliteslimalan!$A$1:$B$210,2,0)</f>
        <v>#N/A</v>
      </c>
      <c r="E1538" s="19" t="e">
        <f>VLOOKUP(C1538,[1]Bestellnr.!$A$1:$B$174,2,0)</f>
        <v>#N/A</v>
      </c>
      <c r="F1538" s="20" t="e">
        <f t="shared" si="615"/>
        <v>#N/A</v>
      </c>
      <c r="G1538" s="17"/>
      <c r="H1538" s="17" t="e">
        <f t="shared" si="616"/>
        <v>#N/A</v>
      </c>
      <c r="I1538" s="20"/>
      <c r="J1538" s="17" t="e">
        <f t="shared" si="617"/>
        <v>#N/A</v>
      </c>
      <c r="K1538" s="17" t="e">
        <f t="shared" si="618"/>
        <v>#N/A</v>
      </c>
      <c r="L1538" s="22"/>
      <c r="M1538" s="22"/>
      <c r="N1538" s="22"/>
      <c r="O1538" s="22" t="e">
        <f t="shared" si="619"/>
        <v>#N/A</v>
      </c>
      <c r="P1538" s="22">
        <f t="shared" si="620"/>
        <v>0</v>
      </c>
      <c r="Q1538" s="22"/>
      <c r="R1538" s="23"/>
      <c r="S1538" s="22">
        <f t="shared" si="621"/>
        <v>0</v>
      </c>
      <c r="T1538" s="24" t="e">
        <f t="shared" si="622"/>
        <v>#N/A</v>
      </c>
      <c r="U1538" s="38">
        <v>970411000</v>
      </c>
      <c r="V1538" s="18" t="s">
        <v>836</v>
      </c>
      <c r="W1538" s="38">
        <v>970411000</v>
      </c>
      <c r="X1538" s="62">
        <v>550</v>
      </c>
      <c r="Y1538" s="65" t="s">
        <v>837</v>
      </c>
      <c r="Z1538" s="69">
        <v>970411000</v>
      </c>
      <c r="AA1538" s="67">
        <v>2.3650000000000001E-2</v>
      </c>
      <c r="AB1538" s="46"/>
    </row>
    <row r="1539" spans="1:28" ht="48.2" customHeight="1" x14ac:dyDescent="0.25">
      <c r="A1539" s="17" t="e">
        <f>VLOOKUP(C1539,[1]Werke!$A$1:$C$168,3,0)</f>
        <v>#N/A</v>
      </c>
      <c r="B1539" s="17" t="e">
        <f>VLOOKUP(C1539,[1]Werke!$A$1:$C$168,2,0)</f>
        <v>#N/A</v>
      </c>
      <c r="C1539" s="18"/>
      <c r="D1539" s="17" t="e">
        <f>VLOOKUP(C1539,[1]Maliteslimalan!$A$1:$B$210,2,0)</f>
        <v>#N/A</v>
      </c>
      <c r="E1539" s="19" t="e">
        <f>VLOOKUP(C1539,[1]Bestellnr.!$A$1:$B$174,2,0)</f>
        <v>#N/A</v>
      </c>
      <c r="F1539" s="20" t="e">
        <f t="shared" si="615"/>
        <v>#N/A</v>
      </c>
      <c r="G1539" s="17"/>
      <c r="H1539" s="17" t="e">
        <f t="shared" si="616"/>
        <v>#N/A</v>
      </c>
      <c r="I1539" s="20"/>
      <c r="J1539" s="17" t="e">
        <f t="shared" si="617"/>
        <v>#N/A</v>
      </c>
      <c r="K1539" s="17" t="e">
        <f t="shared" si="618"/>
        <v>#N/A</v>
      </c>
      <c r="L1539" s="22"/>
      <c r="M1539" s="22"/>
      <c r="N1539" s="22"/>
      <c r="O1539" s="22" t="e">
        <f t="shared" si="619"/>
        <v>#N/A</v>
      </c>
      <c r="P1539" s="22">
        <f t="shared" si="620"/>
        <v>0</v>
      </c>
      <c r="Q1539" s="22"/>
      <c r="R1539" s="23"/>
      <c r="S1539" s="22">
        <f t="shared" si="621"/>
        <v>0</v>
      </c>
      <c r="T1539" s="24" t="e">
        <f t="shared" si="622"/>
        <v>#N/A</v>
      </c>
      <c r="U1539" s="38">
        <v>100111500</v>
      </c>
      <c r="V1539" s="18" t="s">
        <v>838</v>
      </c>
      <c r="W1539" s="38">
        <v>100111500</v>
      </c>
      <c r="X1539" s="62">
        <v>500</v>
      </c>
      <c r="Y1539" s="65" t="s">
        <v>793</v>
      </c>
      <c r="Z1539" s="69">
        <v>100111500</v>
      </c>
      <c r="AA1539" s="67">
        <v>2.0140000000000002E-2</v>
      </c>
      <c r="AB1539" s="46"/>
    </row>
    <row r="1540" spans="1:28" ht="48.2" customHeight="1" x14ac:dyDescent="0.25">
      <c r="A1540" s="17" t="e">
        <f>VLOOKUP(C1540,[1]Werke!$A$1:$C$168,3,0)</f>
        <v>#N/A</v>
      </c>
      <c r="B1540" s="17" t="e">
        <f>VLOOKUP(C1540,[1]Werke!$A$1:$C$168,2,0)</f>
        <v>#N/A</v>
      </c>
      <c r="C1540" s="18"/>
      <c r="D1540" s="17" t="e">
        <f>VLOOKUP(C1540,[1]Maliteslimalan!$A$1:$B$210,2,0)</f>
        <v>#N/A</v>
      </c>
      <c r="E1540" s="19" t="e">
        <f>VLOOKUP(C1540,[1]Bestellnr.!$A$1:$B$174,2,0)</f>
        <v>#N/A</v>
      </c>
      <c r="F1540" s="20" t="e">
        <f t="shared" si="615"/>
        <v>#N/A</v>
      </c>
      <c r="G1540" s="17"/>
      <c r="H1540" s="17" t="e">
        <f t="shared" si="616"/>
        <v>#N/A</v>
      </c>
      <c r="I1540" s="20"/>
      <c r="J1540" s="17" t="e">
        <f t="shared" si="617"/>
        <v>#N/A</v>
      </c>
      <c r="K1540" s="17" t="e">
        <f t="shared" si="618"/>
        <v>#N/A</v>
      </c>
      <c r="L1540" s="22"/>
      <c r="M1540" s="22"/>
      <c r="N1540" s="22"/>
      <c r="O1540" s="22" t="e">
        <f t="shared" si="619"/>
        <v>#N/A</v>
      </c>
      <c r="P1540" s="22">
        <f t="shared" si="620"/>
        <v>0</v>
      </c>
      <c r="Q1540" s="22"/>
      <c r="R1540" s="23"/>
      <c r="S1540" s="22">
        <f t="shared" si="621"/>
        <v>0</v>
      </c>
      <c r="T1540" s="24" t="e">
        <f t="shared" si="622"/>
        <v>#N/A</v>
      </c>
      <c r="U1540" s="38">
        <v>100197700</v>
      </c>
      <c r="V1540" s="21" t="s">
        <v>825</v>
      </c>
      <c r="W1540" s="38">
        <v>100197700</v>
      </c>
      <c r="X1540" s="62">
        <v>100</v>
      </c>
      <c r="Y1540" s="65" t="s">
        <v>826</v>
      </c>
      <c r="Z1540" s="69">
        <v>100197700</v>
      </c>
      <c r="AA1540" s="67">
        <v>9.0469999999999995E-2</v>
      </c>
      <c r="AB1540" s="46"/>
    </row>
    <row r="1541" spans="1:28" ht="48.2" customHeight="1" x14ac:dyDescent="0.25">
      <c r="A1541" s="17" t="e">
        <f>VLOOKUP(C1541,[1]Werke!$A$1:$C$168,3,0)</f>
        <v>#N/A</v>
      </c>
      <c r="B1541" s="17" t="e">
        <f>VLOOKUP(C1541,[1]Werke!$A$1:$C$168,2,0)</f>
        <v>#N/A</v>
      </c>
      <c r="C1541" s="18"/>
      <c r="D1541" s="17" t="e">
        <f>VLOOKUP(C1541,[1]Maliteslimalan!$A$1:$B$210,2,0)</f>
        <v>#N/A</v>
      </c>
      <c r="E1541" s="19" t="e">
        <f>VLOOKUP(C1541,[1]Bestellnr.!$A$1:$B$174,2,0)</f>
        <v>#N/A</v>
      </c>
      <c r="F1541" s="20" t="e">
        <f t="shared" si="615"/>
        <v>#N/A</v>
      </c>
      <c r="G1541" s="17"/>
      <c r="H1541" s="17" t="e">
        <f t="shared" si="616"/>
        <v>#N/A</v>
      </c>
      <c r="I1541" s="20"/>
      <c r="J1541" s="17" t="e">
        <f t="shared" si="617"/>
        <v>#N/A</v>
      </c>
      <c r="K1541" s="17" t="e">
        <f t="shared" si="618"/>
        <v>#N/A</v>
      </c>
      <c r="L1541" s="22"/>
      <c r="M1541" s="22"/>
      <c r="N1541" s="22"/>
      <c r="O1541" s="22" t="e">
        <f t="shared" si="619"/>
        <v>#N/A</v>
      </c>
      <c r="P1541" s="22">
        <f t="shared" si="620"/>
        <v>0</v>
      </c>
      <c r="Q1541" s="22"/>
      <c r="R1541" s="23"/>
      <c r="S1541" s="22">
        <f t="shared" si="621"/>
        <v>0</v>
      </c>
      <c r="T1541" s="24" t="e">
        <f t="shared" si="622"/>
        <v>#N/A</v>
      </c>
      <c r="U1541" s="38">
        <v>110091400</v>
      </c>
      <c r="V1541" s="21" t="s">
        <v>839</v>
      </c>
      <c r="W1541" s="38">
        <v>110091400</v>
      </c>
      <c r="X1541" s="62">
        <v>400</v>
      </c>
      <c r="Y1541" s="65" t="s">
        <v>840</v>
      </c>
      <c r="Z1541" s="69">
        <v>110091400</v>
      </c>
      <c r="AA1541" s="67">
        <v>2.7E-2</v>
      </c>
      <c r="AB1541" s="46"/>
    </row>
    <row r="1542" spans="1:28" ht="48.2" customHeight="1" x14ac:dyDescent="0.25">
      <c r="A1542" s="17" t="e">
        <f>VLOOKUP(C1542,[1]Werke!$A$1:$C$168,3,0)</f>
        <v>#N/A</v>
      </c>
      <c r="B1542" s="17" t="e">
        <f>VLOOKUP(C1542,[1]Werke!$A$1:$C$168,2,0)</f>
        <v>#N/A</v>
      </c>
      <c r="C1542" s="18"/>
      <c r="D1542" s="17" t="e">
        <f>VLOOKUP(C1542,[1]Maliteslimalan!$A$1:$B$210,2,0)</f>
        <v>#N/A</v>
      </c>
      <c r="E1542" s="19" t="e">
        <f>VLOOKUP(C1542,[1]Bestellnr.!$A$1:$B$174,2,0)</f>
        <v>#N/A</v>
      </c>
      <c r="F1542" s="20" t="e">
        <f t="shared" si="615"/>
        <v>#N/A</v>
      </c>
      <c r="G1542" s="17"/>
      <c r="H1542" s="17" t="e">
        <f t="shared" si="616"/>
        <v>#N/A</v>
      </c>
      <c r="I1542" s="20"/>
      <c r="J1542" s="17" t="e">
        <f t="shared" si="617"/>
        <v>#N/A</v>
      </c>
      <c r="K1542" s="17" t="e">
        <f t="shared" si="618"/>
        <v>#N/A</v>
      </c>
      <c r="L1542" s="22"/>
      <c r="M1542" s="22"/>
      <c r="N1542" s="22"/>
      <c r="O1542" s="22" t="e">
        <f t="shared" si="619"/>
        <v>#N/A</v>
      </c>
      <c r="P1542" s="22">
        <f t="shared" si="620"/>
        <v>0</v>
      </c>
      <c r="Q1542" s="22"/>
      <c r="R1542" s="23"/>
      <c r="S1542" s="22">
        <f t="shared" si="621"/>
        <v>0</v>
      </c>
      <c r="T1542" s="24" t="e">
        <f t="shared" si="622"/>
        <v>#N/A</v>
      </c>
      <c r="U1542" s="38">
        <v>100288900</v>
      </c>
      <c r="V1542" s="21" t="s">
        <v>819</v>
      </c>
      <c r="W1542" s="38">
        <v>100288900</v>
      </c>
      <c r="X1542" s="62">
        <v>500</v>
      </c>
      <c r="Y1542" s="65" t="s">
        <v>820</v>
      </c>
      <c r="Z1542" s="69">
        <v>100288900</v>
      </c>
      <c r="AA1542" s="67">
        <v>2.198E-2</v>
      </c>
      <c r="AB1542" s="46"/>
    </row>
    <row r="1543" spans="1:28" ht="48.2" customHeight="1" x14ac:dyDescent="0.25">
      <c r="A1543" s="17" t="e">
        <f>VLOOKUP(C1543,[1]Werke!$A$1:$C$168,3,0)</f>
        <v>#N/A</v>
      </c>
      <c r="B1543" s="17" t="e">
        <f>VLOOKUP(C1543,[1]Werke!$A$1:$C$168,2,0)</f>
        <v>#N/A</v>
      </c>
      <c r="C1543" s="18"/>
      <c r="D1543" s="17" t="e">
        <f>VLOOKUP(C1543,[1]Maliteslimalan!$A$1:$B$210,2,0)</f>
        <v>#N/A</v>
      </c>
      <c r="E1543" s="19" t="e">
        <f>VLOOKUP(C1543,[1]Bestellnr.!$A$1:$B$174,2,0)</f>
        <v>#N/A</v>
      </c>
      <c r="F1543" s="20" t="e">
        <f t="shared" si="615"/>
        <v>#N/A</v>
      </c>
      <c r="G1543" s="17"/>
      <c r="H1543" s="17" t="e">
        <f t="shared" si="616"/>
        <v>#N/A</v>
      </c>
      <c r="I1543" s="20"/>
      <c r="J1543" s="17" t="e">
        <f t="shared" si="617"/>
        <v>#N/A</v>
      </c>
      <c r="K1543" s="17" t="e">
        <f t="shared" si="618"/>
        <v>#N/A</v>
      </c>
      <c r="L1543" s="22"/>
      <c r="M1543" s="22"/>
      <c r="N1543" s="22"/>
      <c r="O1543" s="22" t="e">
        <f t="shared" si="619"/>
        <v>#N/A</v>
      </c>
      <c r="P1543" s="22">
        <f t="shared" si="620"/>
        <v>0</v>
      </c>
      <c r="Q1543" s="22"/>
      <c r="R1543" s="23"/>
      <c r="S1543" s="22">
        <f t="shared" si="621"/>
        <v>0</v>
      </c>
      <c r="T1543" s="24" t="e">
        <f t="shared" si="622"/>
        <v>#N/A</v>
      </c>
      <c r="U1543" s="38">
        <v>100299500</v>
      </c>
      <c r="V1543" s="21" t="s">
        <v>829</v>
      </c>
      <c r="W1543" s="38">
        <v>100299500</v>
      </c>
      <c r="X1543" s="62">
        <v>500</v>
      </c>
      <c r="Y1543" s="65" t="s">
        <v>841</v>
      </c>
      <c r="Z1543" s="69">
        <v>100299500</v>
      </c>
      <c r="AA1543" s="67">
        <v>1.9369999999999998E-2</v>
      </c>
      <c r="AB1543" s="46"/>
    </row>
    <row r="1544" spans="1:28" ht="48.2" customHeight="1" x14ac:dyDescent="0.25">
      <c r="A1544" s="17" t="e">
        <f>VLOOKUP(C1544,[1]Werke!$A$1:$C$168,3,0)</f>
        <v>#N/A</v>
      </c>
      <c r="B1544" s="17" t="e">
        <f>VLOOKUP(C1544,[1]Werke!$A$1:$C$168,2,0)</f>
        <v>#N/A</v>
      </c>
      <c r="C1544" s="18"/>
      <c r="D1544" s="17" t="e">
        <f>VLOOKUP(C1544,[1]Maliteslimalan!$A$1:$B$210,2,0)</f>
        <v>#N/A</v>
      </c>
      <c r="E1544" s="19" t="e">
        <f>VLOOKUP(C1544,[1]Bestellnr.!$A$1:$B$174,2,0)</f>
        <v>#N/A</v>
      </c>
      <c r="F1544" s="20" t="e">
        <f t="shared" si="615"/>
        <v>#N/A</v>
      </c>
      <c r="G1544" s="17"/>
      <c r="H1544" s="17" t="e">
        <f t="shared" si="616"/>
        <v>#N/A</v>
      </c>
      <c r="I1544" s="20"/>
      <c r="J1544" s="17" t="e">
        <f t="shared" si="617"/>
        <v>#N/A</v>
      </c>
      <c r="K1544" s="17" t="e">
        <f t="shared" si="618"/>
        <v>#N/A</v>
      </c>
      <c r="L1544" s="22"/>
      <c r="M1544" s="22"/>
      <c r="N1544" s="22"/>
      <c r="O1544" s="22" t="e">
        <f t="shared" si="619"/>
        <v>#N/A</v>
      </c>
      <c r="P1544" s="22">
        <f t="shared" si="620"/>
        <v>0</v>
      </c>
      <c r="Q1544" s="22"/>
      <c r="R1544" s="23"/>
      <c r="S1544" s="22">
        <f t="shared" si="621"/>
        <v>0</v>
      </c>
      <c r="T1544" s="24" t="e">
        <f t="shared" si="622"/>
        <v>#N/A</v>
      </c>
      <c r="U1544" s="38">
        <v>100299700</v>
      </c>
      <c r="V1544" s="21" t="s">
        <v>832</v>
      </c>
      <c r="W1544" s="38">
        <v>100299700</v>
      </c>
      <c r="X1544" s="62">
        <v>1250</v>
      </c>
      <c r="Y1544" s="65" t="s">
        <v>833</v>
      </c>
      <c r="Z1544" s="69">
        <v>100299700</v>
      </c>
      <c r="AA1544" s="67">
        <v>8.5000000000000006E-3</v>
      </c>
      <c r="AB1544" s="46"/>
    </row>
    <row r="1545" spans="1:28" ht="48.2" customHeight="1" x14ac:dyDescent="0.25">
      <c r="A1545" s="17" t="e">
        <f>VLOOKUP(C1545,[1]Werke!$A$1:$C$168,3,0)</f>
        <v>#N/A</v>
      </c>
      <c r="B1545" s="17" t="e">
        <f>VLOOKUP(C1545,[1]Werke!$A$1:$C$168,2,0)</f>
        <v>#N/A</v>
      </c>
      <c r="C1545" s="18"/>
      <c r="D1545" s="17" t="e">
        <f>VLOOKUP(C1545,[1]Maliteslimalan!$A$1:$B$210,2,0)</f>
        <v>#N/A</v>
      </c>
      <c r="E1545" s="19" t="e">
        <f>VLOOKUP(C1545,[1]Bestellnr.!$A$1:$B$174,2,0)</f>
        <v>#N/A</v>
      </c>
      <c r="F1545" s="20" t="e">
        <f t="shared" si="615"/>
        <v>#N/A</v>
      </c>
      <c r="G1545" s="17"/>
      <c r="H1545" s="17" t="e">
        <f t="shared" si="616"/>
        <v>#N/A</v>
      </c>
      <c r="I1545" s="20"/>
      <c r="J1545" s="17" t="e">
        <f t="shared" si="617"/>
        <v>#N/A</v>
      </c>
      <c r="K1545" s="17" t="e">
        <f t="shared" si="618"/>
        <v>#N/A</v>
      </c>
      <c r="L1545" s="22"/>
      <c r="M1545" s="22"/>
      <c r="N1545" s="22"/>
      <c r="O1545" s="22" t="e">
        <f t="shared" si="619"/>
        <v>#N/A</v>
      </c>
      <c r="P1545" s="22">
        <f t="shared" si="620"/>
        <v>0</v>
      </c>
      <c r="Q1545" s="22"/>
      <c r="R1545" s="23"/>
      <c r="S1545" s="22">
        <f t="shared" si="621"/>
        <v>0</v>
      </c>
      <c r="T1545" s="24" t="e">
        <f t="shared" si="622"/>
        <v>#N/A</v>
      </c>
      <c r="U1545" s="38">
        <v>100928800</v>
      </c>
      <c r="V1545" s="21" t="s">
        <v>842</v>
      </c>
      <c r="W1545" s="38">
        <v>100928800</v>
      </c>
      <c r="X1545" s="62">
        <v>100</v>
      </c>
      <c r="Y1545" s="65" t="s">
        <v>843</v>
      </c>
      <c r="Z1545" s="38">
        <v>100928800</v>
      </c>
      <c r="AA1545" s="67">
        <v>9.69E-2</v>
      </c>
      <c r="AB1545" s="46"/>
    </row>
    <row r="1546" spans="1:28" ht="48.2" customHeight="1" x14ac:dyDescent="0.25">
      <c r="A1546" s="17" t="e">
        <f>VLOOKUP(C1546,[1]Werke!$A$1:$C$168,3,0)</f>
        <v>#N/A</v>
      </c>
      <c r="B1546" s="17" t="e">
        <f>VLOOKUP(C1546,[1]Werke!$A$1:$C$168,2,0)</f>
        <v>#N/A</v>
      </c>
      <c r="C1546" s="18"/>
      <c r="D1546" s="17" t="e">
        <f>VLOOKUP(C1546,[1]Maliteslimalan!$A$1:$B$210,2,0)</f>
        <v>#N/A</v>
      </c>
      <c r="E1546" s="19" t="e">
        <f>VLOOKUP(C1546,[1]Bestellnr.!$A$1:$B$174,2,0)</f>
        <v>#N/A</v>
      </c>
      <c r="F1546" s="20" t="e">
        <f t="shared" si="615"/>
        <v>#N/A</v>
      </c>
      <c r="G1546" s="17"/>
      <c r="H1546" s="17" t="e">
        <f t="shared" si="616"/>
        <v>#N/A</v>
      </c>
      <c r="I1546" s="20"/>
      <c r="J1546" s="17" t="e">
        <f t="shared" si="617"/>
        <v>#N/A</v>
      </c>
      <c r="K1546" s="17" t="e">
        <f t="shared" si="618"/>
        <v>#N/A</v>
      </c>
      <c r="L1546" s="22"/>
      <c r="M1546" s="22"/>
      <c r="N1546" s="22"/>
      <c r="O1546" s="22" t="e">
        <f t="shared" si="619"/>
        <v>#N/A</v>
      </c>
      <c r="P1546" s="22">
        <f t="shared" si="620"/>
        <v>0</v>
      </c>
      <c r="Q1546" s="22"/>
      <c r="R1546" s="23"/>
      <c r="S1546" s="22">
        <f t="shared" si="621"/>
        <v>0</v>
      </c>
      <c r="T1546" s="24" t="e">
        <f t="shared" si="622"/>
        <v>#N/A</v>
      </c>
      <c r="U1546" s="38">
        <v>100931300</v>
      </c>
      <c r="V1546" s="21" t="s">
        <v>844</v>
      </c>
      <c r="W1546" s="38">
        <v>100931300</v>
      </c>
      <c r="X1546" s="62">
        <v>100</v>
      </c>
      <c r="Y1546" s="65" t="s">
        <v>845</v>
      </c>
      <c r="Z1546" s="38">
        <v>100931300</v>
      </c>
      <c r="AA1546" s="67">
        <v>9.1200000000000003E-2</v>
      </c>
      <c r="AB1546" s="46"/>
    </row>
    <row r="1547" spans="1:28" ht="48.2" customHeight="1" x14ac:dyDescent="0.25">
      <c r="A1547" s="17" t="e">
        <f>VLOOKUP(C1547,[1]Werke!$A$1:$C$168,3,0)</f>
        <v>#N/A</v>
      </c>
      <c r="B1547" s="17" t="e">
        <f>VLOOKUP(C1547,[1]Werke!$A$1:$C$168,2,0)</f>
        <v>#N/A</v>
      </c>
      <c r="C1547" s="18"/>
      <c r="D1547" s="17" t="e">
        <f>VLOOKUP(C1547,[1]Maliteslimalan!$A$1:$B$210,2,0)</f>
        <v>#N/A</v>
      </c>
      <c r="E1547" s="19" t="e">
        <f>VLOOKUP(C1547,[1]Bestellnr.!$A$1:$B$174,2,0)</f>
        <v>#N/A</v>
      </c>
      <c r="F1547" s="20" t="e">
        <f t="shared" si="615"/>
        <v>#N/A</v>
      </c>
      <c r="G1547" s="17"/>
      <c r="H1547" s="17" t="e">
        <f t="shared" si="616"/>
        <v>#N/A</v>
      </c>
      <c r="I1547" s="20"/>
      <c r="J1547" s="17" t="e">
        <f t="shared" si="617"/>
        <v>#N/A</v>
      </c>
      <c r="K1547" s="17" t="e">
        <f t="shared" si="618"/>
        <v>#N/A</v>
      </c>
      <c r="L1547" s="22"/>
      <c r="M1547" s="22"/>
      <c r="N1547" s="22"/>
      <c r="O1547" s="22" t="e">
        <f t="shared" si="619"/>
        <v>#N/A</v>
      </c>
      <c r="P1547" s="22">
        <f t="shared" si="620"/>
        <v>0</v>
      </c>
      <c r="Q1547" s="22"/>
      <c r="R1547" s="23"/>
      <c r="S1547" s="22">
        <f t="shared" si="621"/>
        <v>0</v>
      </c>
      <c r="T1547" s="24" t="e">
        <f t="shared" si="622"/>
        <v>#N/A</v>
      </c>
      <c r="U1547" s="38">
        <v>100324800</v>
      </c>
      <c r="V1547" s="21" t="s">
        <v>846</v>
      </c>
      <c r="W1547" s="38">
        <v>100324800</v>
      </c>
      <c r="X1547" s="62">
        <v>2100</v>
      </c>
      <c r="Y1547" s="65" t="s">
        <v>847</v>
      </c>
      <c r="Z1547" s="69">
        <v>100324800</v>
      </c>
      <c r="AA1547" s="67">
        <v>7.0099999999999997E-3</v>
      </c>
      <c r="AB1547" s="46"/>
    </row>
    <row r="1548" spans="1:28" ht="48.2" customHeight="1" x14ac:dyDescent="0.25">
      <c r="A1548" s="17" t="e">
        <f>VLOOKUP(C1548,[1]Werke!$A$1:$C$168,3,0)</f>
        <v>#N/A</v>
      </c>
      <c r="B1548" s="17" t="e">
        <f>VLOOKUP(C1548,[1]Werke!$A$1:$C$168,2,0)</f>
        <v>#N/A</v>
      </c>
      <c r="C1548" s="18"/>
      <c r="D1548" s="17" t="e">
        <f>VLOOKUP(C1548,[1]Maliteslimalan!$A$1:$B$210,2,0)</f>
        <v>#N/A</v>
      </c>
      <c r="E1548" s="19" t="e">
        <f>VLOOKUP(C1548,[1]Bestellnr.!$A$1:$B$174,2,0)</f>
        <v>#N/A</v>
      </c>
      <c r="F1548" s="20" t="e">
        <f t="shared" si="615"/>
        <v>#N/A</v>
      </c>
      <c r="G1548" s="17"/>
      <c r="H1548" s="17" t="e">
        <f t="shared" si="616"/>
        <v>#N/A</v>
      </c>
      <c r="I1548" s="20"/>
      <c r="J1548" s="17" t="e">
        <f t="shared" si="617"/>
        <v>#N/A</v>
      </c>
      <c r="K1548" s="17" t="e">
        <f t="shared" si="618"/>
        <v>#N/A</v>
      </c>
      <c r="L1548" s="22"/>
      <c r="M1548" s="22"/>
      <c r="N1548" s="22"/>
      <c r="O1548" s="22" t="e">
        <f t="shared" si="619"/>
        <v>#N/A</v>
      </c>
      <c r="P1548" s="22">
        <f t="shared" si="620"/>
        <v>0</v>
      </c>
      <c r="Q1548" s="22"/>
      <c r="R1548" s="23"/>
      <c r="S1548" s="22">
        <f t="shared" si="621"/>
        <v>0</v>
      </c>
      <c r="T1548" s="24" t="e">
        <f t="shared" si="622"/>
        <v>#N/A</v>
      </c>
      <c r="U1548" s="38">
        <v>100324900</v>
      </c>
      <c r="V1548" s="21" t="s">
        <v>848</v>
      </c>
      <c r="W1548" s="38">
        <v>100324900</v>
      </c>
      <c r="X1548" s="62">
        <v>1250</v>
      </c>
      <c r="Y1548" s="65" t="s">
        <v>554</v>
      </c>
      <c r="Z1548" s="69">
        <v>100324900</v>
      </c>
      <c r="AA1548" s="67">
        <v>9.1199999999999996E-3</v>
      </c>
      <c r="AB1548" s="46"/>
    </row>
    <row r="1549" spans="1:28" ht="48.2" customHeight="1" x14ac:dyDescent="0.25">
      <c r="A1549" s="17" t="e">
        <f>VLOOKUP(C1549,[1]Werke!$A$1:$C$168,3,0)</f>
        <v>#N/A</v>
      </c>
      <c r="B1549" s="17" t="e">
        <f>VLOOKUP(C1549,[1]Werke!$A$1:$C$168,2,0)</f>
        <v>#N/A</v>
      </c>
      <c r="C1549" s="18"/>
      <c r="D1549" s="17" t="e">
        <f>VLOOKUP(C1549,[1]Maliteslimalan!$A$1:$B$210,2,0)</f>
        <v>#N/A</v>
      </c>
      <c r="E1549" s="19" t="e">
        <f>VLOOKUP(C1549,[1]Bestellnr.!$A$1:$B$174,2,0)</f>
        <v>#N/A</v>
      </c>
      <c r="F1549" s="20" t="e">
        <f t="shared" si="615"/>
        <v>#N/A</v>
      </c>
      <c r="G1549" s="17"/>
      <c r="H1549" s="17" t="e">
        <f t="shared" si="616"/>
        <v>#N/A</v>
      </c>
      <c r="I1549" s="20"/>
      <c r="J1549" s="17" t="e">
        <f t="shared" si="617"/>
        <v>#N/A</v>
      </c>
      <c r="K1549" s="17" t="e">
        <f t="shared" si="618"/>
        <v>#N/A</v>
      </c>
      <c r="L1549" s="22"/>
      <c r="M1549" s="22"/>
      <c r="N1549" s="22"/>
      <c r="O1549" s="22" t="e">
        <f t="shared" si="619"/>
        <v>#N/A</v>
      </c>
      <c r="P1549" s="22">
        <f t="shared" si="620"/>
        <v>0</v>
      </c>
      <c r="Q1549" s="22"/>
      <c r="R1549" s="23"/>
      <c r="S1549" s="22">
        <f t="shared" si="621"/>
        <v>0</v>
      </c>
      <c r="T1549" s="24" t="e">
        <f t="shared" si="622"/>
        <v>#N/A</v>
      </c>
      <c r="U1549" s="38">
        <v>100325000</v>
      </c>
      <c r="V1549" s="21" t="s">
        <v>849</v>
      </c>
      <c r="W1549" s="38">
        <v>100325000</v>
      </c>
      <c r="X1549" s="62">
        <v>1000</v>
      </c>
      <c r="Y1549" s="65" t="s">
        <v>850</v>
      </c>
      <c r="Z1549" s="69">
        <v>100325000</v>
      </c>
      <c r="AA1549" s="67">
        <v>1.068E-2</v>
      </c>
      <c r="AB1549" s="46"/>
    </row>
    <row r="1550" spans="1:28" ht="48.2" customHeight="1" x14ac:dyDescent="0.25">
      <c r="A1550" s="17" t="e">
        <f>VLOOKUP(C1550,[1]Werke!$A$1:$C$168,3,0)</f>
        <v>#N/A</v>
      </c>
      <c r="B1550" s="17" t="e">
        <f>VLOOKUP(C1550,[1]Werke!$A$1:$C$168,2,0)</f>
        <v>#N/A</v>
      </c>
      <c r="C1550" s="18"/>
      <c r="D1550" s="17" t="e">
        <f>VLOOKUP(C1550,[1]Maliteslimalan!$A$1:$B$210,2,0)</f>
        <v>#N/A</v>
      </c>
      <c r="E1550" s="19" t="e">
        <f>VLOOKUP(C1550,[1]Bestellnr.!$A$1:$B$174,2,0)</f>
        <v>#N/A</v>
      </c>
      <c r="F1550" s="20" t="e">
        <f t="shared" si="615"/>
        <v>#N/A</v>
      </c>
      <c r="G1550" s="17"/>
      <c r="H1550" s="17" t="e">
        <f t="shared" si="616"/>
        <v>#N/A</v>
      </c>
      <c r="I1550" s="20"/>
      <c r="J1550" s="17" t="e">
        <f t="shared" si="617"/>
        <v>#N/A</v>
      </c>
      <c r="K1550" s="17" t="e">
        <f t="shared" si="618"/>
        <v>#N/A</v>
      </c>
      <c r="L1550" s="22"/>
      <c r="M1550" s="22"/>
      <c r="N1550" s="22"/>
      <c r="O1550" s="22" t="e">
        <f t="shared" si="619"/>
        <v>#N/A</v>
      </c>
      <c r="P1550" s="22">
        <f t="shared" si="620"/>
        <v>0</v>
      </c>
      <c r="Q1550" s="22"/>
      <c r="R1550" s="23"/>
      <c r="S1550" s="22">
        <f t="shared" si="621"/>
        <v>0</v>
      </c>
      <c r="T1550" s="24" t="e">
        <f t="shared" si="622"/>
        <v>#N/A</v>
      </c>
      <c r="U1550" s="38">
        <v>100325100</v>
      </c>
      <c r="V1550" s="21" t="s">
        <v>851</v>
      </c>
      <c r="W1550" s="38">
        <v>100325100</v>
      </c>
      <c r="X1550" s="62">
        <v>1900</v>
      </c>
      <c r="Y1550" s="65" t="s">
        <v>714</v>
      </c>
      <c r="Z1550" s="69">
        <v>100325100</v>
      </c>
      <c r="AA1550" s="67">
        <v>7.3000000000000001E-3</v>
      </c>
      <c r="AB1550" s="46"/>
    </row>
    <row r="1551" spans="1:28" ht="48.2" customHeight="1" x14ac:dyDescent="0.25">
      <c r="A1551" s="17" t="e">
        <f>VLOOKUP(C1551,[1]Werke!$A$1:$C$168,3,0)</f>
        <v>#N/A</v>
      </c>
      <c r="B1551" s="17" t="e">
        <f>VLOOKUP(C1551,[1]Werke!$A$1:$C$168,2,0)</f>
        <v>#N/A</v>
      </c>
      <c r="C1551" s="18"/>
      <c r="D1551" s="17" t="e">
        <f>VLOOKUP(C1551,[1]Maliteslimalan!$A$1:$B$210,2,0)</f>
        <v>#N/A</v>
      </c>
      <c r="E1551" s="19" t="e">
        <f>VLOOKUP(C1551,[1]Bestellnr.!$A$1:$B$174,2,0)</f>
        <v>#N/A</v>
      </c>
      <c r="F1551" s="20" t="e">
        <f t="shared" si="615"/>
        <v>#N/A</v>
      </c>
      <c r="G1551" s="17"/>
      <c r="H1551" s="17" t="e">
        <f t="shared" si="616"/>
        <v>#N/A</v>
      </c>
      <c r="I1551" s="20"/>
      <c r="J1551" s="17" t="e">
        <f t="shared" si="617"/>
        <v>#N/A</v>
      </c>
      <c r="K1551" s="17" t="e">
        <f t="shared" si="618"/>
        <v>#N/A</v>
      </c>
      <c r="L1551" s="22"/>
      <c r="M1551" s="22"/>
      <c r="N1551" s="22"/>
      <c r="O1551" s="22" t="e">
        <f t="shared" si="619"/>
        <v>#N/A</v>
      </c>
      <c r="P1551" s="22">
        <f t="shared" si="620"/>
        <v>0</v>
      </c>
      <c r="Q1551" s="22"/>
      <c r="R1551" s="23"/>
      <c r="S1551" s="22">
        <f t="shared" si="621"/>
        <v>0</v>
      </c>
      <c r="T1551" s="24" t="e">
        <f t="shared" si="622"/>
        <v>#N/A</v>
      </c>
      <c r="U1551" s="38">
        <v>100325400</v>
      </c>
      <c r="V1551" s="21" t="s">
        <v>852</v>
      </c>
      <c r="W1551" s="38">
        <v>100325400</v>
      </c>
      <c r="X1551" s="62">
        <v>1500</v>
      </c>
      <c r="Y1551" s="65" t="s">
        <v>575</v>
      </c>
      <c r="Z1551" s="69">
        <v>100325400</v>
      </c>
      <c r="AA1551" s="67">
        <v>6.8399999999999997E-3</v>
      </c>
      <c r="AB1551" s="46"/>
    </row>
    <row r="1552" spans="1:28" ht="48.2" customHeight="1" x14ac:dyDescent="0.25">
      <c r="A1552" s="17" t="e">
        <f>VLOOKUP(C1552,[1]Werke!$A$1:$C$168,3,0)</f>
        <v>#N/A</v>
      </c>
      <c r="B1552" s="17" t="e">
        <f>VLOOKUP(C1552,[1]Werke!$A$1:$C$168,2,0)</f>
        <v>#N/A</v>
      </c>
      <c r="C1552" s="18"/>
      <c r="D1552" s="17" t="e">
        <f>VLOOKUP(C1552,[1]Maliteslimalan!$A$1:$B$210,2,0)</f>
        <v>#N/A</v>
      </c>
      <c r="E1552" s="19" t="e">
        <f>VLOOKUP(C1552,[1]Bestellnr.!$A$1:$B$174,2,0)</f>
        <v>#N/A</v>
      </c>
      <c r="F1552" s="20" t="e">
        <f t="shared" si="615"/>
        <v>#N/A</v>
      </c>
      <c r="G1552" s="17"/>
      <c r="H1552" s="17" t="e">
        <f t="shared" si="616"/>
        <v>#N/A</v>
      </c>
      <c r="I1552" s="20"/>
      <c r="J1552" s="17" t="e">
        <f t="shared" si="617"/>
        <v>#N/A</v>
      </c>
      <c r="K1552" s="17" t="e">
        <f t="shared" si="618"/>
        <v>#N/A</v>
      </c>
      <c r="L1552" s="22"/>
      <c r="M1552" s="22"/>
      <c r="N1552" s="22"/>
      <c r="O1552" s="22" t="e">
        <f t="shared" si="619"/>
        <v>#N/A</v>
      </c>
      <c r="P1552" s="22">
        <f t="shared" si="620"/>
        <v>0</v>
      </c>
      <c r="Q1552" s="22"/>
      <c r="R1552" s="23"/>
      <c r="S1552" s="22">
        <f t="shared" si="621"/>
        <v>0</v>
      </c>
      <c r="T1552" s="24" t="e">
        <f t="shared" si="622"/>
        <v>#N/A</v>
      </c>
      <c r="U1552" s="38">
        <v>100325500</v>
      </c>
      <c r="V1552" s="21" t="s">
        <v>853</v>
      </c>
      <c r="W1552" s="38">
        <v>100325500</v>
      </c>
      <c r="X1552" s="62">
        <v>1000</v>
      </c>
      <c r="Y1552" s="65" t="s">
        <v>854</v>
      </c>
      <c r="Z1552" s="69">
        <v>100325500</v>
      </c>
      <c r="AA1552" s="67">
        <v>1.064E-2</v>
      </c>
      <c r="AB1552" s="46"/>
    </row>
    <row r="1553" spans="1:28" ht="48.2" customHeight="1" x14ac:dyDescent="0.25">
      <c r="A1553" s="17" t="e">
        <f>VLOOKUP(C1553,[1]Werke!$A$1:$C$168,3,0)</f>
        <v>#N/A</v>
      </c>
      <c r="B1553" s="17" t="e">
        <f>VLOOKUP(C1553,[1]Werke!$A$1:$C$168,2,0)</f>
        <v>#N/A</v>
      </c>
      <c r="C1553" s="18"/>
      <c r="D1553" s="17" t="e">
        <f>VLOOKUP(C1553,[1]Maliteslimalan!$A$1:$B$210,2,0)</f>
        <v>#N/A</v>
      </c>
      <c r="E1553" s="19" t="e">
        <f>VLOOKUP(C1553,[1]Bestellnr.!$A$1:$B$174,2,0)</f>
        <v>#N/A</v>
      </c>
      <c r="F1553" s="20" t="e">
        <f t="shared" si="615"/>
        <v>#N/A</v>
      </c>
      <c r="G1553" s="17"/>
      <c r="H1553" s="17" t="e">
        <f t="shared" si="616"/>
        <v>#N/A</v>
      </c>
      <c r="I1553" s="20"/>
      <c r="J1553" s="17" t="e">
        <f t="shared" si="617"/>
        <v>#N/A</v>
      </c>
      <c r="K1553" s="17" t="e">
        <f t="shared" si="618"/>
        <v>#N/A</v>
      </c>
      <c r="L1553" s="22"/>
      <c r="M1553" s="22"/>
      <c r="N1553" s="22"/>
      <c r="O1553" s="22" t="e">
        <f t="shared" si="619"/>
        <v>#N/A</v>
      </c>
      <c r="P1553" s="22">
        <f t="shared" si="620"/>
        <v>0</v>
      </c>
      <c r="Q1553" s="22"/>
      <c r="R1553" s="23"/>
      <c r="S1553" s="22">
        <f t="shared" si="621"/>
        <v>0</v>
      </c>
      <c r="T1553" s="24" t="e">
        <f t="shared" si="622"/>
        <v>#N/A</v>
      </c>
      <c r="U1553" s="38">
        <v>100325600</v>
      </c>
      <c r="V1553" s="21" t="s">
        <v>855</v>
      </c>
      <c r="W1553" s="38">
        <v>100325600</v>
      </c>
      <c r="X1553" s="62">
        <v>300</v>
      </c>
      <c r="Y1553" s="65" t="s">
        <v>856</v>
      </c>
      <c r="Z1553" s="69">
        <v>100325600</v>
      </c>
      <c r="AA1553" s="67">
        <v>3.1649999999999998E-2</v>
      </c>
      <c r="AB1553" s="46"/>
    </row>
    <row r="1554" spans="1:28" ht="48.2" customHeight="1" x14ac:dyDescent="0.25">
      <c r="A1554" s="17" t="e">
        <f>VLOOKUP(C1554,[1]Werke!$A$1:$C$168,3,0)</f>
        <v>#N/A</v>
      </c>
      <c r="B1554" s="17" t="e">
        <f>VLOOKUP(C1554,[1]Werke!$A$1:$C$168,2,0)</f>
        <v>#N/A</v>
      </c>
      <c r="C1554" s="18"/>
      <c r="D1554" s="17" t="e">
        <f>VLOOKUP(C1554,[1]Maliteslimalan!$A$1:$B$210,2,0)</f>
        <v>#N/A</v>
      </c>
      <c r="E1554" s="19" t="e">
        <f>VLOOKUP(C1554,[1]Bestellnr.!$A$1:$B$174,2,0)</f>
        <v>#N/A</v>
      </c>
      <c r="F1554" s="20" t="e">
        <f t="shared" ref="F1554:F1606" si="623">VLOOKUP(G1554,$U$1:$V$1730,2,0)</f>
        <v>#N/A</v>
      </c>
      <c r="G1554" s="17"/>
      <c r="H1554" s="17" t="e">
        <f t="shared" ref="H1554:H1606" si="624">VLOOKUP(G1554,Z$2:AA$1905,2,FALSE)</f>
        <v>#N/A</v>
      </c>
      <c r="I1554" s="20"/>
      <c r="J1554" s="17" t="e">
        <f t="shared" ref="J1554:J1606" si="625">VLOOKUP(G1554,W$2:X$1905,2,FALSE)</f>
        <v>#N/A</v>
      </c>
      <c r="K1554" s="17" t="e">
        <f t="shared" ref="K1554:K1606" si="626">I1554/J1554</f>
        <v>#N/A</v>
      </c>
      <c r="L1554" s="22"/>
      <c r="M1554" s="22"/>
      <c r="N1554" s="22"/>
      <c r="O1554" s="22" t="e">
        <f t="shared" ref="O1554:O1606" si="627">VLOOKUP(N1554,$AL$1285:$AM$1310,2,FALSE)</f>
        <v>#N/A</v>
      </c>
      <c r="P1554" s="22">
        <f t="shared" ref="P1554:P1606" si="628">VLOOKUP(N1554,AC$2:AD$1905,2,FALSE)</f>
        <v>0</v>
      </c>
      <c r="Q1554" s="22"/>
      <c r="R1554" s="23"/>
      <c r="S1554" s="22">
        <f t="shared" ref="S1554:S1606" si="629">VLOOKUP(R1554,AC$2:AD$1905,2,FALSE)</f>
        <v>0</v>
      </c>
      <c r="T1554" s="24" t="e">
        <f t="shared" ref="T1554:T1606" si="630">(H1554*I1554)+P1554*Q1554+S1554*K1554</f>
        <v>#N/A</v>
      </c>
      <c r="U1554" s="38">
        <v>100325800</v>
      </c>
      <c r="V1554" s="21" t="s">
        <v>857</v>
      </c>
      <c r="W1554" s="38">
        <v>100325800</v>
      </c>
      <c r="X1554" s="62">
        <v>700</v>
      </c>
      <c r="Y1554" s="65" t="s">
        <v>858</v>
      </c>
      <c r="Z1554" s="69">
        <v>100325800</v>
      </c>
      <c r="AA1554" s="67">
        <v>1.805E-2</v>
      </c>
      <c r="AB1554" s="46"/>
    </row>
    <row r="1555" spans="1:28" ht="48.2" customHeight="1" x14ac:dyDescent="0.25">
      <c r="A1555" s="17" t="e">
        <f>VLOOKUP(C1555,[1]Werke!$A$1:$C$168,3,0)</f>
        <v>#N/A</v>
      </c>
      <c r="B1555" s="17" t="e">
        <f>VLOOKUP(C1555,[1]Werke!$A$1:$C$168,2,0)</f>
        <v>#N/A</v>
      </c>
      <c r="C1555" s="18"/>
      <c r="D1555" s="17" t="e">
        <f>VLOOKUP(C1555,[1]Maliteslimalan!$A$1:$B$210,2,0)</f>
        <v>#N/A</v>
      </c>
      <c r="E1555" s="19" t="e">
        <f>VLOOKUP(C1555,[1]Bestellnr.!$A$1:$B$174,2,0)</f>
        <v>#N/A</v>
      </c>
      <c r="F1555" s="20" t="e">
        <f t="shared" si="623"/>
        <v>#N/A</v>
      </c>
      <c r="G1555" s="17"/>
      <c r="H1555" s="17" t="e">
        <f t="shared" si="624"/>
        <v>#N/A</v>
      </c>
      <c r="I1555" s="20"/>
      <c r="J1555" s="17" t="e">
        <f t="shared" si="625"/>
        <v>#N/A</v>
      </c>
      <c r="K1555" s="17" t="e">
        <f t="shared" si="626"/>
        <v>#N/A</v>
      </c>
      <c r="L1555" s="22"/>
      <c r="M1555" s="22"/>
      <c r="N1555" s="22"/>
      <c r="O1555" s="22" t="e">
        <f t="shared" si="627"/>
        <v>#N/A</v>
      </c>
      <c r="P1555" s="22">
        <f t="shared" si="628"/>
        <v>0</v>
      </c>
      <c r="Q1555" s="22"/>
      <c r="R1555" s="23"/>
      <c r="S1555" s="22">
        <f t="shared" si="629"/>
        <v>0</v>
      </c>
      <c r="T1555" s="24" t="e">
        <f t="shared" si="630"/>
        <v>#N/A</v>
      </c>
      <c r="U1555" s="38">
        <v>100325900</v>
      </c>
      <c r="V1555" s="21" t="s">
        <v>859</v>
      </c>
      <c r="W1555" s="38">
        <v>100325900</v>
      </c>
      <c r="X1555" s="62">
        <v>1000</v>
      </c>
      <c r="Y1555" s="65" t="s">
        <v>860</v>
      </c>
      <c r="Z1555" s="69">
        <v>100325900</v>
      </c>
      <c r="AA1555" s="67">
        <v>1.013E-2</v>
      </c>
      <c r="AB1555" s="46"/>
    </row>
    <row r="1556" spans="1:28" ht="48.2" customHeight="1" x14ac:dyDescent="0.25">
      <c r="A1556" s="17" t="e">
        <f>VLOOKUP(C1556,[1]Werke!$A$1:$C$168,3,0)</f>
        <v>#N/A</v>
      </c>
      <c r="B1556" s="17" t="e">
        <f>VLOOKUP(C1556,[1]Werke!$A$1:$C$168,2,0)</f>
        <v>#N/A</v>
      </c>
      <c r="C1556" s="18"/>
      <c r="D1556" s="17" t="e">
        <f>VLOOKUP(C1556,[1]Maliteslimalan!$A$1:$B$210,2,0)</f>
        <v>#N/A</v>
      </c>
      <c r="E1556" s="19" t="e">
        <f>VLOOKUP(C1556,[1]Bestellnr.!$A$1:$B$174,2,0)</f>
        <v>#N/A</v>
      </c>
      <c r="F1556" s="20" t="e">
        <f t="shared" si="623"/>
        <v>#N/A</v>
      </c>
      <c r="G1556" s="17"/>
      <c r="H1556" s="17" t="e">
        <f t="shared" si="624"/>
        <v>#N/A</v>
      </c>
      <c r="I1556" s="20"/>
      <c r="J1556" s="17" t="e">
        <f t="shared" si="625"/>
        <v>#N/A</v>
      </c>
      <c r="K1556" s="17" t="e">
        <f t="shared" si="626"/>
        <v>#N/A</v>
      </c>
      <c r="L1556" s="22"/>
      <c r="M1556" s="22"/>
      <c r="N1556" s="22"/>
      <c r="O1556" s="22" t="e">
        <f t="shared" si="627"/>
        <v>#N/A</v>
      </c>
      <c r="P1556" s="22">
        <f t="shared" si="628"/>
        <v>0</v>
      </c>
      <c r="Q1556" s="22"/>
      <c r="R1556" s="23"/>
      <c r="S1556" s="22">
        <f t="shared" si="629"/>
        <v>0</v>
      </c>
      <c r="T1556" s="24" t="e">
        <f t="shared" si="630"/>
        <v>#N/A</v>
      </c>
      <c r="U1556" s="38">
        <v>100326000</v>
      </c>
      <c r="V1556" s="21" t="s">
        <v>861</v>
      </c>
      <c r="W1556" s="38">
        <v>100326000</v>
      </c>
      <c r="X1556" s="62">
        <v>200</v>
      </c>
      <c r="Y1556" s="65" t="s">
        <v>862</v>
      </c>
      <c r="Z1556" s="69">
        <v>100326000</v>
      </c>
      <c r="AA1556" s="67">
        <v>5.4109999999999998E-2</v>
      </c>
      <c r="AB1556" s="46"/>
    </row>
    <row r="1557" spans="1:28" ht="48.2" customHeight="1" x14ac:dyDescent="0.25">
      <c r="A1557" s="17" t="e">
        <f>VLOOKUP(C1557,[1]Werke!$A$1:$C$168,3,0)</f>
        <v>#N/A</v>
      </c>
      <c r="B1557" s="17" t="e">
        <f>VLOOKUP(C1557,[1]Werke!$A$1:$C$168,2,0)</f>
        <v>#N/A</v>
      </c>
      <c r="C1557" s="18"/>
      <c r="D1557" s="17" t="e">
        <f>VLOOKUP(C1557,[1]Maliteslimalan!$A$1:$B$210,2,0)</f>
        <v>#N/A</v>
      </c>
      <c r="E1557" s="19" t="e">
        <f>VLOOKUP(C1557,[1]Bestellnr.!$A$1:$B$174,2,0)</f>
        <v>#N/A</v>
      </c>
      <c r="F1557" s="20" t="e">
        <f t="shared" si="623"/>
        <v>#N/A</v>
      </c>
      <c r="G1557" s="17"/>
      <c r="H1557" s="17" t="e">
        <f t="shared" si="624"/>
        <v>#N/A</v>
      </c>
      <c r="I1557" s="20"/>
      <c r="J1557" s="17" t="e">
        <f t="shared" si="625"/>
        <v>#N/A</v>
      </c>
      <c r="K1557" s="17" t="e">
        <f t="shared" si="626"/>
        <v>#N/A</v>
      </c>
      <c r="L1557" s="22"/>
      <c r="M1557" s="22"/>
      <c r="N1557" s="22"/>
      <c r="O1557" s="22" t="e">
        <f t="shared" si="627"/>
        <v>#N/A</v>
      </c>
      <c r="P1557" s="22">
        <f t="shared" si="628"/>
        <v>0</v>
      </c>
      <c r="Q1557" s="22"/>
      <c r="R1557" s="23"/>
      <c r="S1557" s="22">
        <f t="shared" si="629"/>
        <v>0</v>
      </c>
      <c r="T1557" s="24" t="e">
        <f t="shared" si="630"/>
        <v>#N/A</v>
      </c>
      <c r="U1557" s="38">
        <v>100325700</v>
      </c>
      <c r="V1557" s="21" t="s">
        <v>863</v>
      </c>
      <c r="W1557" s="38">
        <v>100325700</v>
      </c>
      <c r="X1557" s="62">
        <v>2200</v>
      </c>
      <c r="Y1557" s="65" t="s">
        <v>361</v>
      </c>
      <c r="Z1557" s="69">
        <v>100325700</v>
      </c>
      <c r="AA1557" s="67">
        <v>6.3E-3</v>
      </c>
      <c r="AB1557" s="46"/>
    </row>
    <row r="1558" spans="1:28" ht="48.2" customHeight="1" x14ac:dyDescent="0.25">
      <c r="A1558" s="17" t="e">
        <f>VLOOKUP(C1558,[1]Werke!$A$1:$C$168,3,0)</f>
        <v>#N/A</v>
      </c>
      <c r="B1558" s="17" t="e">
        <f>VLOOKUP(C1558,[1]Werke!$A$1:$C$168,2,0)</f>
        <v>#N/A</v>
      </c>
      <c r="C1558" s="18"/>
      <c r="D1558" s="17" t="e">
        <f>VLOOKUP(C1558,[1]Maliteslimalan!$A$1:$B$210,2,0)</f>
        <v>#N/A</v>
      </c>
      <c r="E1558" s="19" t="e">
        <f>VLOOKUP(C1558,[1]Bestellnr.!$A$1:$B$174,2,0)</f>
        <v>#N/A</v>
      </c>
      <c r="F1558" s="20" t="e">
        <f t="shared" si="623"/>
        <v>#N/A</v>
      </c>
      <c r="G1558" s="17"/>
      <c r="H1558" s="17" t="e">
        <f t="shared" si="624"/>
        <v>#N/A</v>
      </c>
      <c r="I1558" s="20"/>
      <c r="J1558" s="17" t="e">
        <f t="shared" si="625"/>
        <v>#N/A</v>
      </c>
      <c r="K1558" s="17" t="e">
        <f t="shared" si="626"/>
        <v>#N/A</v>
      </c>
      <c r="L1558" s="22"/>
      <c r="M1558" s="22"/>
      <c r="N1558" s="22"/>
      <c r="O1558" s="22" t="e">
        <f t="shared" si="627"/>
        <v>#N/A</v>
      </c>
      <c r="P1558" s="22">
        <f t="shared" si="628"/>
        <v>0</v>
      </c>
      <c r="Q1558" s="22"/>
      <c r="R1558" s="23"/>
      <c r="S1558" s="22">
        <f t="shared" si="629"/>
        <v>0</v>
      </c>
      <c r="T1558" s="24" t="e">
        <f t="shared" si="630"/>
        <v>#N/A</v>
      </c>
      <c r="U1558" s="38">
        <v>100326400</v>
      </c>
      <c r="V1558" s="21" t="s">
        <v>864</v>
      </c>
      <c r="W1558" s="38">
        <v>100326400</v>
      </c>
      <c r="X1558" s="62">
        <v>800</v>
      </c>
      <c r="Y1558" s="65" t="s">
        <v>865</v>
      </c>
      <c r="Z1558" s="69">
        <v>100326400</v>
      </c>
      <c r="AA1558" s="67">
        <v>1.779E-2</v>
      </c>
      <c r="AB1558" s="46"/>
    </row>
    <row r="1559" spans="1:28" ht="48.2" customHeight="1" x14ac:dyDescent="0.25">
      <c r="A1559" s="17" t="e">
        <f>VLOOKUP(C1559,[1]Werke!$A$1:$C$168,3,0)</f>
        <v>#N/A</v>
      </c>
      <c r="B1559" s="17" t="e">
        <f>VLOOKUP(C1559,[1]Werke!$A$1:$C$168,2,0)</f>
        <v>#N/A</v>
      </c>
      <c r="C1559" s="18"/>
      <c r="D1559" s="17" t="e">
        <f>VLOOKUP(C1559,[1]Maliteslimalan!$A$1:$B$210,2,0)</f>
        <v>#N/A</v>
      </c>
      <c r="E1559" s="19" t="e">
        <f>VLOOKUP(C1559,[1]Bestellnr.!$A$1:$B$174,2,0)</f>
        <v>#N/A</v>
      </c>
      <c r="F1559" s="20" t="e">
        <f t="shared" si="623"/>
        <v>#N/A</v>
      </c>
      <c r="G1559" s="17"/>
      <c r="H1559" s="17" t="e">
        <f t="shared" si="624"/>
        <v>#N/A</v>
      </c>
      <c r="I1559" s="20"/>
      <c r="J1559" s="17" t="e">
        <f t="shared" si="625"/>
        <v>#N/A</v>
      </c>
      <c r="K1559" s="17" t="e">
        <f t="shared" si="626"/>
        <v>#N/A</v>
      </c>
      <c r="L1559" s="22"/>
      <c r="M1559" s="22"/>
      <c r="N1559" s="22"/>
      <c r="O1559" s="22" t="e">
        <f t="shared" si="627"/>
        <v>#N/A</v>
      </c>
      <c r="P1559" s="22">
        <f t="shared" si="628"/>
        <v>0</v>
      </c>
      <c r="Q1559" s="22"/>
      <c r="R1559" s="23"/>
      <c r="S1559" s="22">
        <f t="shared" si="629"/>
        <v>0</v>
      </c>
      <c r="T1559" s="24" t="e">
        <f t="shared" si="630"/>
        <v>#N/A</v>
      </c>
      <c r="U1559" s="38">
        <v>100326500</v>
      </c>
      <c r="V1559" s="21" t="s">
        <v>866</v>
      </c>
      <c r="W1559" s="38">
        <v>100326500</v>
      </c>
      <c r="X1559" s="62">
        <v>1000</v>
      </c>
      <c r="Y1559" s="65" t="s">
        <v>867</v>
      </c>
      <c r="Z1559" s="69">
        <v>100326500</v>
      </c>
      <c r="AA1559" s="67">
        <v>1.163E-2</v>
      </c>
      <c r="AB1559" s="46"/>
    </row>
    <row r="1560" spans="1:28" ht="48.2" customHeight="1" x14ac:dyDescent="0.25">
      <c r="A1560" s="17" t="e">
        <f>VLOOKUP(C1560,[1]Werke!$A$1:$C$168,3,0)</f>
        <v>#N/A</v>
      </c>
      <c r="B1560" s="17" t="e">
        <f>VLOOKUP(C1560,[1]Werke!$A$1:$C$168,2,0)</f>
        <v>#N/A</v>
      </c>
      <c r="C1560" s="18"/>
      <c r="D1560" s="17" t="e">
        <f>VLOOKUP(C1560,[1]Maliteslimalan!$A$1:$B$210,2,0)</f>
        <v>#N/A</v>
      </c>
      <c r="E1560" s="19" t="e">
        <f>VLOOKUP(C1560,[1]Bestellnr.!$A$1:$B$174,2,0)</f>
        <v>#N/A</v>
      </c>
      <c r="F1560" s="20" t="e">
        <f t="shared" si="623"/>
        <v>#N/A</v>
      </c>
      <c r="G1560" s="17"/>
      <c r="H1560" s="17" t="e">
        <f t="shared" si="624"/>
        <v>#N/A</v>
      </c>
      <c r="I1560" s="20"/>
      <c r="J1560" s="17" t="e">
        <f t="shared" si="625"/>
        <v>#N/A</v>
      </c>
      <c r="K1560" s="17" t="e">
        <f t="shared" si="626"/>
        <v>#N/A</v>
      </c>
      <c r="L1560" s="22"/>
      <c r="M1560" s="22"/>
      <c r="N1560" s="22"/>
      <c r="O1560" s="22" t="e">
        <f t="shared" si="627"/>
        <v>#N/A</v>
      </c>
      <c r="P1560" s="22">
        <f t="shared" si="628"/>
        <v>0</v>
      </c>
      <c r="Q1560" s="22"/>
      <c r="R1560" s="23"/>
      <c r="S1560" s="22">
        <f t="shared" si="629"/>
        <v>0</v>
      </c>
      <c r="T1560" s="24" t="e">
        <f t="shared" si="630"/>
        <v>#N/A</v>
      </c>
      <c r="U1560" s="38">
        <v>100326600</v>
      </c>
      <c r="V1560" s="21" t="s">
        <v>868</v>
      </c>
      <c r="W1560" s="38">
        <v>100326600</v>
      </c>
      <c r="X1560" s="62">
        <v>1500</v>
      </c>
      <c r="Y1560" s="65" t="s">
        <v>869</v>
      </c>
      <c r="Z1560" s="69">
        <v>100326600</v>
      </c>
      <c r="AA1560" s="67">
        <v>7.1399999999999996E-3</v>
      </c>
      <c r="AB1560" s="46"/>
    </row>
    <row r="1561" spans="1:28" ht="48.2" customHeight="1" x14ac:dyDescent="0.25">
      <c r="A1561" s="17" t="e">
        <f>VLOOKUP(C1561,[1]Werke!$A$1:$C$168,3,0)</f>
        <v>#N/A</v>
      </c>
      <c r="B1561" s="17" t="e">
        <f>VLOOKUP(C1561,[1]Werke!$A$1:$C$168,2,0)</f>
        <v>#N/A</v>
      </c>
      <c r="C1561" s="18"/>
      <c r="D1561" s="17" t="e">
        <f>VLOOKUP(C1561,[1]Maliteslimalan!$A$1:$B$210,2,0)</f>
        <v>#N/A</v>
      </c>
      <c r="E1561" s="19" t="e">
        <f>VLOOKUP(C1561,[1]Bestellnr.!$A$1:$B$174,2,0)</f>
        <v>#N/A</v>
      </c>
      <c r="F1561" s="20" t="e">
        <f t="shared" si="623"/>
        <v>#N/A</v>
      </c>
      <c r="G1561" s="17"/>
      <c r="H1561" s="17" t="e">
        <f t="shared" si="624"/>
        <v>#N/A</v>
      </c>
      <c r="I1561" s="20"/>
      <c r="J1561" s="17" t="e">
        <f t="shared" si="625"/>
        <v>#N/A</v>
      </c>
      <c r="K1561" s="17" t="e">
        <f t="shared" si="626"/>
        <v>#N/A</v>
      </c>
      <c r="L1561" s="22"/>
      <c r="M1561" s="22"/>
      <c r="N1561" s="22"/>
      <c r="O1561" s="22" t="e">
        <f t="shared" si="627"/>
        <v>#N/A</v>
      </c>
      <c r="P1561" s="22">
        <f t="shared" si="628"/>
        <v>0</v>
      </c>
      <c r="Q1561" s="22"/>
      <c r="R1561" s="23"/>
      <c r="S1561" s="22">
        <f t="shared" si="629"/>
        <v>0</v>
      </c>
      <c r="T1561" s="24" t="e">
        <f t="shared" si="630"/>
        <v>#N/A</v>
      </c>
      <c r="U1561" s="38">
        <v>100326700</v>
      </c>
      <c r="V1561" s="21" t="s">
        <v>870</v>
      </c>
      <c r="W1561" s="38">
        <v>100326700</v>
      </c>
      <c r="X1561" s="62">
        <v>900</v>
      </c>
      <c r="Y1561" s="65" t="s">
        <v>551</v>
      </c>
      <c r="Z1561" s="69">
        <v>100326700</v>
      </c>
      <c r="AA1561" s="67">
        <v>1.4670000000000001E-2</v>
      </c>
      <c r="AB1561" s="46"/>
    </row>
    <row r="1562" spans="1:28" ht="48.2" customHeight="1" x14ac:dyDescent="0.25">
      <c r="A1562" s="17" t="e">
        <f>VLOOKUP(C1562,[1]Werke!$A$1:$C$168,3,0)</f>
        <v>#N/A</v>
      </c>
      <c r="B1562" s="17" t="e">
        <f>VLOOKUP(C1562,[1]Werke!$A$1:$C$168,2,0)</f>
        <v>#N/A</v>
      </c>
      <c r="C1562" s="18"/>
      <c r="D1562" s="17" t="e">
        <f>VLOOKUP(C1562,[1]Maliteslimalan!$A$1:$B$210,2,0)</f>
        <v>#N/A</v>
      </c>
      <c r="E1562" s="19" t="e">
        <f>VLOOKUP(C1562,[1]Bestellnr.!$A$1:$B$174,2,0)</f>
        <v>#N/A</v>
      </c>
      <c r="F1562" s="20" t="e">
        <f t="shared" si="623"/>
        <v>#N/A</v>
      </c>
      <c r="G1562" s="17"/>
      <c r="H1562" s="17" t="e">
        <f t="shared" si="624"/>
        <v>#N/A</v>
      </c>
      <c r="I1562" s="20"/>
      <c r="J1562" s="17" t="e">
        <f t="shared" si="625"/>
        <v>#N/A</v>
      </c>
      <c r="K1562" s="17" t="e">
        <f t="shared" si="626"/>
        <v>#N/A</v>
      </c>
      <c r="L1562" s="22"/>
      <c r="M1562" s="22"/>
      <c r="N1562" s="22"/>
      <c r="O1562" s="22" t="e">
        <f t="shared" si="627"/>
        <v>#N/A</v>
      </c>
      <c r="P1562" s="22">
        <f t="shared" si="628"/>
        <v>0</v>
      </c>
      <c r="Q1562" s="22"/>
      <c r="R1562" s="23"/>
      <c r="S1562" s="22">
        <f t="shared" si="629"/>
        <v>0</v>
      </c>
      <c r="T1562" s="24" t="e">
        <f t="shared" si="630"/>
        <v>#N/A</v>
      </c>
      <c r="U1562" s="38">
        <v>100326800</v>
      </c>
      <c r="V1562" s="21" t="s">
        <v>871</v>
      </c>
      <c r="W1562" s="38">
        <v>100326800</v>
      </c>
      <c r="X1562" s="62">
        <v>900</v>
      </c>
      <c r="Y1562" s="65" t="s">
        <v>872</v>
      </c>
      <c r="Z1562" s="69">
        <v>100326800</v>
      </c>
      <c r="AA1562" s="67">
        <v>1.257E-2</v>
      </c>
      <c r="AB1562" s="46"/>
    </row>
    <row r="1563" spans="1:28" ht="48.2" customHeight="1" x14ac:dyDescent="0.25">
      <c r="A1563" s="17" t="e">
        <f>VLOOKUP(C1563,[1]Werke!$A$1:$C$168,3,0)</f>
        <v>#N/A</v>
      </c>
      <c r="B1563" s="17" t="e">
        <f>VLOOKUP(C1563,[1]Werke!$A$1:$C$168,2,0)</f>
        <v>#N/A</v>
      </c>
      <c r="C1563" s="18"/>
      <c r="D1563" s="17" t="e">
        <f>VLOOKUP(C1563,[1]Maliteslimalan!$A$1:$B$210,2,0)</f>
        <v>#N/A</v>
      </c>
      <c r="E1563" s="19" t="e">
        <f>VLOOKUP(C1563,[1]Bestellnr.!$A$1:$B$174,2,0)</f>
        <v>#N/A</v>
      </c>
      <c r="F1563" s="20" t="e">
        <f t="shared" si="623"/>
        <v>#N/A</v>
      </c>
      <c r="G1563" s="17"/>
      <c r="H1563" s="17" t="e">
        <f t="shared" si="624"/>
        <v>#N/A</v>
      </c>
      <c r="I1563" s="20"/>
      <c r="J1563" s="17" t="e">
        <f t="shared" si="625"/>
        <v>#N/A</v>
      </c>
      <c r="K1563" s="17" t="e">
        <f t="shared" si="626"/>
        <v>#N/A</v>
      </c>
      <c r="L1563" s="22"/>
      <c r="M1563" s="22"/>
      <c r="N1563" s="22"/>
      <c r="O1563" s="22" t="e">
        <f t="shared" si="627"/>
        <v>#N/A</v>
      </c>
      <c r="P1563" s="22">
        <f t="shared" si="628"/>
        <v>0</v>
      </c>
      <c r="Q1563" s="22"/>
      <c r="R1563" s="23"/>
      <c r="S1563" s="22">
        <f t="shared" si="629"/>
        <v>0</v>
      </c>
      <c r="T1563" s="24" t="e">
        <f t="shared" si="630"/>
        <v>#N/A</v>
      </c>
      <c r="U1563" s="38">
        <v>100326900</v>
      </c>
      <c r="V1563" s="21" t="s">
        <v>873</v>
      </c>
      <c r="W1563" s="38">
        <v>100326900</v>
      </c>
      <c r="X1563" s="62">
        <v>550</v>
      </c>
      <c r="Y1563" s="65" t="s">
        <v>874</v>
      </c>
      <c r="Z1563" s="69">
        <v>100326900</v>
      </c>
      <c r="AA1563" s="67">
        <v>2.0650000000000002E-2</v>
      </c>
      <c r="AB1563" s="46"/>
    </row>
    <row r="1564" spans="1:28" ht="48.2" customHeight="1" x14ac:dyDescent="0.25">
      <c r="A1564" s="17" t="e">
        <f>VLOOKUP(C1564,[1]Werke!$A$1:$C$168,3,0)</f>
        <v>#N/A</v>
      </c>
      <c r="B1564" s="17" t="e">
        <f>VLOOKUP(C1564,[1]Werke!$A$1:$C$168,2,0)</f>
        <v>#N/A</v>
      </c>
      <c r="C1564" s="18"/>
      <c r="D1564" s="17" t="e">
        <f>VLOOKUP(C1564,[1]Maliteslimalan!$A$1:$B$210,2,0)</f>
        <v>#N/A</v>
      </c>
      <c r="E1564" s="19" t="e">
        <f>VLOOKUP(C1564,[1]Bestellnr.!$A$1:$B$174,2,0)</f>
        <v>#N/A</v>
      </c>
      <c r="F1564" s="20" t="e">
        <f t="shared" si="623"/>
        <v>#N/A</v>
      </c>
      <c r="G1564" s="17"/>
      <c r="H1564" s="17" t="e">
        <f t="shared" si="624"/>
        <v>#N/A</v>
      </c>
      <c r="I1564" s="20"/>
      <c r="J1564" s="17" t="e">
        <f t="shared" si="625"/>
        <v>#N/A</v>
      </c>
      <c r="K1564" s="17" t="e">
        <f t="shared" si="626"/>
        <v>#N/A</v>
      </c>
      <c r="L1564" s="22"/>
      <c r="M1564" s="22"/>
      <c r="N1564" s="22"/>
      <c r="O1564" s="22" t="e">
        <f t="shared" si="627"/>
        <v>#N/A</v>
      </c>
      <c r="P1564" s="22">
        <f t="shared" si="628"/>
        <v>0</v>
      </c>
      <c r="Q1564" s="22"/>
      <c r="R1564" s="23"/>
      <c r="S1564" s="22">
        <f t="shared" si="629"/>
        <v>0</v>
      </c>
      <c r="T1564" s="24" t="e">
        <f t="shared" si="630"/>
        <v>#N/A</v>
      </c>
      <c r="U1564" s="38">
        <v>100327000</v>
      </c>
      <c r="V1564" s="21" t="s">
        <v>875</v>
      </c>
      <c r="W1564" s="38">
        <v>100327000</v>
      </c>
      <c r="X1564" s="62">
        <v>2100</v>
      </c>
      <c r="Y1564" s="65" t="s">
        <v>869</v>
      </c>
      <c r="Z1564" s="69">
        <v>100327000</v>
      </c>
      <c r="AA1564" s="67">
        <v>7.1399999999999996E-3</v>
      </c>
      <c r="AB1564" s="46"/>
    </row>
    <row r="1565" spans="1:28" ht="48.2" customHeight="1" x14ac:dyDescent="0.25">
      <c r="A1565" s="17" t="e">
        <f>VLOOKUP(C1565,[1]Werke!$A$1:$C$168,3,0)</f>
        <v>#N/A</v>
      </c>
      <c r="B1565" s="17" t="e">
        <f>VLOOKUP(C1565,[1]Werke!$A$1:$C$168,2,0)</f>
        <v>#N/A</v>
      </c>
      <c r="C1565" s="18"/>
      <c r="D1565" s="17" t="e">
        <f>VLOOKUP(C1565,[1]Maliteslimalan!$A$1:$B$210,2,0)</f>
        <v>#N/A</v>
      </c>
      <c r="E1565" s="19" t="e">
        <f>VLOOKUP(C1565,[1]Bestellnr.!$A$1:$B$174,2,0)</f>
        <v>#N/A</v>
      </c>
      <c r="F1565" s="20" t="e">
        <f t="shared" si="623"/>
        <v>#N/A</v>
      </c>
      <c r="G1565" s="17"/>
      <c r="H1565" s="17" t="e">
        <f t="shared" si="624"/>
        <v>#N/A</v>
      </c>
      <c r="I1565" s="20"/>
      <c r="J1565" s="17" t="e">
        <f t="shared" si="625"/>
        <v>#N/A</v>
      </c>
      <c r="K1565" s="17" t="e">
        <f t="shared" si="626"/>
        <v>#N/A</v>
      </c>
      <c r="L1565" s="22"/>
      <c r="M1565" s="22"/>
      <c r="N1565" s="22"/>
      <c r="O1565" s="22" t="e">
        <f t="shared" si="627"/>
        <v>#N/A</v>
      </c>
      <c r="P1565" s="22">
        <f t="shared" si="628"/>
        <v>0</v>
      </c>
      <c r="Q1565" s="22"/>
      <c r="R1565" s="23"/>
      <c r="S1565" s="22">
        <f t="shared" si="629"/>
        <v>0</v>
      </c>
      <c r="T1565" s="24" t="e">
        <f t="shared" si="630"/>
        <v>#N/A</v>
      </c>
      <c r="U1565" s="38">
        <v>100327800</v>
      </c>
      <c r="V1565" s="21" t="s">
        <v>876</v>
      </c>
      <c r="W1565" s="38">
        <v>100327800</v>
      </c>
      <c r="X1565" s="62">
        <v>2100</v>
      </c>
      <c r="Y1565" s="65" t="s">
        <v>361</v>
      </c>
      <c r="Z1565" s="69">
        <v>100327800</v>
      </c>
      <c r="AA1565" s="67">
        <v>7.1399999999999996E-3</v>
      </c>
      <c r="AB1565" s="46"/>
    </row>
    <row r="1566" spans="1:28" ht="48.2" customHeight="1" x14ac:dyDescent="0.25">
      <c r="A1566" s="17" t="e">
        <f>VLOOKUP(C1566,[1]Werke!$A$1:$C$168,3,0)</f>
        <v>#N/A</v>
      </c>
      <c r="B1566" s="17" t="e">
        <f>VLOOKUP(C1566,[1]Werke!$A$1:$C$168,2,0)</f>
        <v>#N/A</v>
      </c>
      <c r="C1566" s="18"/>
      <c r="D1566" s="17" t="e">
        <f>VLOOKUP(C1566,[1]Maliteslimalan!$A$1:$B$210,2,0)</f>
        <v>#N/A</v>
      </c>
      <c r="E1566" s="19" t="e">
        <f>VLOOKUP(C1566,[1]Bestellnr.!$A$1:$B$174,2,0)</f>
        <v>#N/A</v>
      </c>
      <c r="F1566" s="20" t="e">
        <f t="shared" si="623"/>
        <v>#N/A</v>
      </c>
      <c r="G1566" s="17"/>
      <c r="H1566" s="17" t="e">
        <f t="shared" si="624"/>
        <v>#N/A</v>
      </c>
      <c r="I1566" s="20"/>
      <c r="J1566" s="17" t="e">
        <f t="shared" si="625"/>
        <v>#N/A</v>
      </c>
      <c r="K1566" s="17" t="e">
        <f t="shared" si="626"/>
        <v>#N/A</v>
      </c>
      <c r="L1566" s="22"/>
      <c r="M1566" s="22"/>
      <c r="N1566" s="22"/>
      <c r="O1566" s="22" t="e">
        <f t="shared" si="627"/>
        <v>#N/A</v>
      </c>
      <c r="P1566" s="22">
        <f t="shared" si="628"/>
        <v>0</v>
      </c>
      <c r="Q1566" s="22"/>
      <c r="R1566" s="23"/>
      <c r="S1566" s="22">
        <f t="shared" si="629"/>
        <v>0</v>
      </c>
      <c r="T1566" s="24" t="e">
        <f t="shared" si="630"/>
        <v>#N/A</v>
      </c>
      <c r="U1566" s="38">
        <v>100327900</v>
      </c>
      <c r="V1566" s="21" t="s">
        <v>877</v>
      </c>
      <c r="W1566" s="38">
        <v>100327900</v>
      </c>
      <c r="X1566" s="62">
        <v>900</v>
      </c>
      <c r="Y1566" s="65" t="s">
        <v>878</v>
      </c>
      <c r="Z1566" s="69">
        <v>100327900</v>
      </c>
      <c r="AA1566" s="67">
        <v>1.3939999999999999E-2</v>
      </c>
      <c r="AB1566" s="46"/>
    </row>
    <row r="1567" spans="1:28" ht="48.2" customHeight="1" x14ac:dyDescent="0.25">
      <c r="A1567" s="17" t="e">
        <f>VLOOKUP(C1567,[1]Werke!$A$1:$C$168,3,0)</f>
        <v>#N/A</v>
      </c>
      <c r="B1567" s="17" t="e">
        <f>VLOOKUP(C1567,[1]Werke!$A$1:$C$168,2,0)</f>
        <v>#N/A</v>
      </c>
      <c r="C1567" s="18"/>
      <c r="D1567" s="17" t="e">
        <f>VLOOKUP(C1567,[1]Maliteslimalan!$A$1:$B$210,2,0)</f>
        <v>#N/A</v>
      </c>
      <c r="E1567" s="19" t="e">
        <f>VLOOKUP(C1567,[1]Bestellnr.!$A$1:$B$174,2,0)</f>
        <v>#N/A</v>
      </c>
      <c r="F1567" s="20" t="e">
        <f t="shared" si="623"/>
        <v>#N/A</v>
      </c>
      <c r="G1567" s="17"/>
      <c r="H1567" s="17" t="e">
        <f t="shared" si="624"/>
        <v>#N/A</v>
      </c>
      <c r="I1567" s="20"/>
      <c r="J1567" s="17" t="e">
        <f t="shared" si="625"/>
        <v>#N/A</v>
      </c>
      <c r="K1567" s="17" t="e">
        <f t="shared" si="626"/>
        <v>#N/A</v>
      </c>
      <c r="L1567" s="22"/>
      <c r="M1567" s="22"/>
      <c r="N1567" s="22"/>
      <c r="O1567" s="22" t="e">
        <f t="shared" si="627"/>
        <v>#N/A</v>
      </c>
      <c r="P1567" s="22">
        <f t="shared" si="628"/>
        <v>0</v>
      </c>
      <c r="Q1567" s="22"/>
      <c r="R1567" s="23"/>
      <c r="S1567" s="22">
        <f t="shared" si="629"/>
        <v>0</v>
      </c>
      <c r="T1567" s="24" t="e">
        <f t="shared" si="630"/>
        <v>#N/A</v>
      </c>
      <c r="U1567" s="38">
        <v>100328000</v>
      </c>
      <c r="V1567" s="21" t="s">
        <v>879</v>
      </c>
      <c r="W1567" s="38">
        <v>100328000</v>
      </c>
      <c r="X1567" s="62">
        <v>1000</v>
      </c>
      <c r="Y1567" s="65" t="s">
        <v>880</v>
      </c>
      <c r="Z1567" s="69">
        <v>100328000</v>
      </c>
      <c r="AA1567" s="67">
        <v>9.8899999999999995E-3</v>
      </c>
      <c r="AB1567" s="46"/>
    </row>
    <row r="1568" spans="1:28" ht="48.2" customHeight="1" x14ac:dyDescent="0.25">
      <c r="A1568" s="17" t="e">
        <f>VLOOKUP(C1568,[1]Werke!$A$1:$C$168,3,0)</f>
        <v>#N/A</v>
      </c>
      <c r="B1568" s="17" t="e">
        <f>VLOOKUP(C1568,[1]Werke!$A$1:$C$168,2,0)</f>
        <v>#N/A</v>
      </c>
      <c r="C1568" s="18"/>
      <c r="D1568" s="17" t="e">
        <f>VLOOKUP(C1568,[1]Maliteslimalan!$A$1:$B$210,2,0)</f>
        <v>#N/A</v>
      </c>
      <c r="E1568" s="19" t="e">
        <f>VLOOKUP(C1568,[1]Bestellnr.!$A$1:$B$174,2,0)</f>
        <v>#N/A</v>
      </c>
      <c r="F1568" s="20" t="e">
        <f t="shared" si="623"/>
        <v>#N/A</v>
      </c>
      <c r="G1568" s="17"/>
      <c r="H1568" s="17" t="e">
        <f t="shared" si="624"/>
        <v>#N/A</v>
      </c>
      <c r="I1568" s="20"/>
      <c r="J1568" s="17" t="e">
        <f t="shared" si="625"/>
        <v>#N/A</v>
      </c>
      <c r="K1568" s="17" t="e">
        <f t="shared" si="626"/>
        <v>#N/A</v>
      </c>
      <c r="L1568" s="22"/>
      <c r="M1568" s="22"/>
      <c r="N1568" s="22"/>
      <c r="O1568" s="22" t="e">
        <f t="shared" si="627"/>
        <v>#N/A</v>
      </c>
      <c r="P1568" s="22">
        <f t="shared" si="628"/>
        <v>0</v>
      </c>
      <c r="Q1568" s="22"/>
      <c r="R1568" s="23"/>
      <c r="S1568" s="22">
        <f t="shared" si="629"/>
        <v>0</v>
      </c>
      <c r="T1568" s="24" t="e">
        <f t="shared" si="630"/>
        <v>#N/A</v>
      </c>
      <c r="U1568" s="38">
        <v>100328100</v>
      </c>
      <c r="V1568" s="21" t="s">
        <v>881</v>
      </c>
      <c r="W1568" s="38">
        <v>100328100</v>
      </c>
      <c r="X1568" s="62">
        <v>300</v>
      </c>
      <c r="Y1568" s="65" t="s">
        <v>882</v>
      </c>
      <c r="Z1568" s="69">
        <v>100328100</v>
      </c>
      <c r="AA1568" s="67">
        <v>3.6929999999999998E-2</v>
      </c>
      <c r="AB1568" s="46"/>
    </row>
    <row r="1569" spans="1:28" ht="48.2" customHeight="1" x14ac:dyDescent="0.25">
      <c r="A1569" s="17" t="e">
        <f>VLOOKUP(C1569,[1]Werke!$A$1:$C$168,3,0)</f>
        <v>#N/A</v>
      </c>
      <c r="B1569" s="17" t="e">
        <f>VLOOKUP(C1569,[1]Werke!$A$1:$C$168,2,0)</f>
        <v>#N/A</v>
      </c>
      <c r="C1569" s="18"/>
      <c r="D1569" s="17" t="e">
        <f>VLOOKUP(C1569,[1]Maliteslimalan!$A$1:$B$210,2,0)</f>
        <v>#N/A</v>
      </c>
      <c r="E1569" s="19" t="e">
        <f>VLOOKUP(C1569,[1]Bestellnr.!$A$1:$B$174,2,0)</f>
        <v>#N/A</v>
      </c>
      <c r="F1569" s="20" t="e">
        <f t="shared" si="623"/>
        <v>#N/A</v>
      </c>
      <c r="G1569" s="17"/>
      <c r="H1569" s="17" t="e">
        <f t="shared" si="624"/>
        <v>#N/A</v>
      </c>
      <c r="I1569" s="20"/>
      <c r="J1569" s="17" t="e">
        <f t="shared" si="625"/>
        <v>#N/A</v>
      </c>
      <c r="K1569" s="17" t="e">
        <f t="shared" si="626"/>
        <v>#N/A</v>
      </c>
      <c r="L1569" s="22"/>
      <c r="M1569" s="22"/>
      <c r="N1569" s="22"/>
      <c r="O1569" s="22" t="e">
        <f t="shared" si="627"/>
        <v>#N/A</v>
      </c>
      <c r="P1569" s="22">
        <f t="shared" si="628"/>
        <v>0</v>
      </c>
      <c r="Q1569" s="22"/>
      <c r="R1569" s="23"/>
      <c r="S1569" s="22">
        <f t="shared" si="629"/>
        <v>0</v>
      </c>
      <c r="T1569" s="24" t="e">
        <f t="shared" si="630"/>
        <v>#N/A</v>
      </c>
      <c r="U1569" s="38">
        <v>100328200</v>
      </c>
      <c r="V1569" s="21" t="s">
        <v>883</v>
      </c>
      <c r="W1569" s="38">
        <v>100328200</v>
      </c>
      <c r="X1569" s="62">
        <v>400</v>
      </c>
      <c r="Y1569" s="65" t="s">
        <v>884</v>
      </c>
      <c r="Z1569" s="69">
        <v>100328200</v>
      </c>
      <c r="AA1569" s="67">
        <v>2.9510000000000002E-2</v>
      </c>
      <c r="AB1569" s="46"/>
    </row>
    <row r="1570" spans="1:28" ht="48.2" customHeight="1" x14ac:dyDescent="0.25">
      <c r="A1570" s="17" t="e">
        <f>VLOOKUP(C1570,[1]Werke!$A$1:$C$168,3,0)</f>
        <v>#N/A</v>
      </c>
      <c r="B1570" s="17" t="e">
        <f>VLOOKUP(C1570,[1]Werke!$A$1:$C$168,2,0)</f>
        <v>#N/A</v>
      </c>
      <c r="C1570" s="18"/>
      <c r="D1570" s="17" t="e">
        <f>VLOOKUP(C1570,[1]Maliteslimalan!$A$1:$B$210,2,0)</f>
        <v>#N/A</v>
      </c>
      <c r="E1570" s="19" t="e">
        <f>VLOOKUP(C1570,[1]Bestellnr.!$A$1:$B$174,2,0)</f>
        <v>#N/A</v>
      </c>
      <c r="F1570" s="20" t="e">
        <f t="shared" si="623"/>
        <v>#N/A</v>
      </c>
      <c r="G1570" s="17"/>
      <c r="H1570" s="17" t="e">
        <f t="shared" si="624"/>
        <v>#N/A</v>
      </c>
      <c r="I1570" s="20"/>
      <c r="J1570" s="17" t="e">
        <f t="shared" si="625"/>
        <v>#N/A</v>
      </c>
      <c r="K1570" s="17" t="e">
        <f t="shared" si="626"/>
        <v>#N/A</v>
      </c>
      <c r="L1570" s="22"/>
      <c r="M1570" s="22"/>
      <c r="N1570" s="22"/>
      <c r="O1570" s="22" t="e">
        <f t="shared" si="627"/>
        <v>#N/A</v>
      </c>
      <c r="P1570" s="22">
        <f t="shared" si="628"/>
        <v>0</v>
      </c>
      <c r="Q1570" s="22"/>
      <c r="R1570" s="23"/>
      <c r="S1570" s="22">
        <f t="shared" si="629"/>
        <v>0</v>
      </c>
      <c r="T1570" s="24" t="e">
        <f t="shared" si="630"/>
        <v>#N/A</v>
      </c>
      <c r="U1570" s="38">
        <v>100328300</v>
      </c>
      <c r="V1570" s="21" t="s">
        <v>885</v>
      </c>
      <c r="W1570" s="38">
        <v>100328300</v>
      </c>
      <c r="X1570" s="62">
        <v>1000</v>
      </c>
      <c r="Y1570" s="65" t="s">
        <v>886</v>
      </c>
      <c r="Z1570" s="69">
        <v>100328300</v>
      </c>
      <c r="AA1570" s="67">
        <v>1.1129999999999999E-2</v>
      </c>
      <c r="AB1570" s="46"/>
    </row>
    <row r="1571" spans="1:28" ht="48.2" customHeight="1" x14ac:dyDescent="0.25">
      <c r="A1571" s="17" t="e">
        <f>VLOOKUP(C1571,[1]Werke!$A$1:$C$168,3,0)</f>
        <v>#N/A</v>
      </c>
      <c r="B1571" s="17" t="e">
        <f>VLOOKUP(C1571,[1]Werke!$A$1:$C$168,2,0)</f>
        <v>#N/A</v>
      </c>
      <c r="C1571" s="18"/>
      <c r="D1571" s="17" t="e">
        <f>VLOOKUP(C1571,[1]Maliteslimalan!$A$1:$B$210,2,0)</f>
        <v>#N/A</v>
      </c>
      <c r="E1571" s="19" t="e">
        <f>VLOOKUP(C1571,[1]Bestellnr.!$A$1:$B$174,2,0)</f>
        <v>#N/A</v>
      </c>
      <c r="F1571" s="20" t="e">
        <f t="shared" si="623"/>
        <v>#N/A</v>
      </c>
      <c r="G1571" s="17"/>
      <c r="H1571" s="17" t="e">
        <f t="shared" si="624"/>
        <v>#N/A</v>
      </c>
      <c r="I1571" s="20"/>
      <c r="J1571" s="17" t="e">
        <f t="shared" si="625"/>
        <v>#N/A</v>
      </c>
      <c r="K1571" s="17" t="e">
        <f t="shared" si="626"/>
        <v>#N/A</v>
      </c>
      <c r="L1571" s="22"/>
      <c r="M1571" s="22"/>
      <c r="N1571" s="22"/>
      <c r="O1571" s="22" t="e">
        <f t="shared" si="627"/>
        <v>#N/A</v>
      </c>
      <c r="P1571" s="22">
        <f t="shared" si="628"/>
        <v>0</v>
      </c>
      <c r="Q1571" s="22"/>
      <c r="R1571" s="23"/>
      <c r="S1571" s="22">
        <f t="shared" si="629"/>
        <v>0</v>
      </c>
      <c r="T1571" s="24" t="e">
        <f t="shared" si="630"/>
        <v>#N/A</v>
      </c>
      <c r="U1571" s="38">
        <v>100331300</v>
      </c>
      <c r="V1571" s="21" t="s">
        <v>887</v>
      </c>
      <c r="W1571" s="38">
        <v>100331300</v>
      </c>
      <c r="X1571" s="62">
        <v>50</v>
      </c>
      <c r="Y1571" s="65" t="s">
        <v>888</v>
      </c>
      <c r="Z1571" s="69">
        <v>100331300</v>
      </c>
      <c r="AA1571" s="67">
        <v>0.24679999999999999</v>
      </c>
      <c r="AB1571" s="46"/>
    </row>
    <row r="1572" spans="1:28" ht="48.2" customHeight="1" x14ac:dyDescent="0.25">
      <c r="A1572" s="17" t="e">
        <f>VLOOKUP(C1572,[1]Werke!$A$1:$C$168,3,0)</f>
        <v>#N/A</v>
      </c>
      <c r="B1572" s="17" t="e">
        <f>VLOOKUP(C1572,[1]Werke!$A$1:$C$168,2,0)</f>
        <v>#N/A</v>
      </c>
      <c r="C1572" s="18"/>
      <c r="D1572" s="17" t="e">
        <f>VLOOKUP(C1572,[1]Maliteslimalan!$A$1:$B$210,2,0)</f>
        <v>#N/A</v>
      </c>
      <c r="E1572" s="19" t="e">
        <f>VLOOKUP(C1572,[1]Bestellnr.!$A$1:$B$174,2,0)</f>
        <v>#N/A</v>
      </c>
      <c r="F1572" s="20" t="e">
        <f t="shared" si="623"/>
        <v>#N/A</v>
      </c>
      <c r="G1572" s="17"/>
      <c r="H1572" s="17" t="e">
        <f t="shared" si="624"/>
        <v>#N/A</v>
      </c>
      <c r="I1572" s="20"/>
      <c r="J1572" s="17" t="e">
        <f t="shared" si="625"/>
        <v>#N/A</v>
      </c>
      <c r="K1572" s="17" t="e">
        <f t="shared" si="626"/>
        <v>#N/A</v>
      </c>
      <c r="L1572" s="22"/>
      <c r="M1572" s="22"/>
      <c r="N1572" s="22"/>
      <c r="O1572" s="22" t="e">
        <f t="shared" si="627"/>
        <v>#N/A</v>
      </c>
      <c r="P1572" s="22">
        <f t="shared" si="628"/>
        <v>0</v>
      </c>
      <c r="Q1572" s="22"/>
      <c r="R1572" s="23"/>
      <c r="S1572" s="22">
        <f t="shared" si="629"/>
        <v>0</v>
      </c>
      <c r="T1572" s="24" t="e">
        <f t="shared" si="630"/>
        <v>#N/A</v>
      </c>
      <c r="U1572" s="38">
        <v>100328400</v>
      </c>
      <c r="V1572" s="21" t="s">
        <v>889</v>
      </c>
      <c r="W1572" s="38">
        <v>100328400</v>
      </c>
      <c r="X1572" s="62">
        <v>1800</v>
      </c>
      <c r="Y1572" s="65" t="s">
        <v>890</v>
      </c>
      <c r="Z1572" s="69">
        <v>100328400</v>
      </c>
      <c r="AA1572" s="67">
        <v>6.7499999999999999E-3</v>
      </c>
      <c r="AB1572" s="46"/>
    </row>
    <row r="1573" spans="1:28" ht="48.2" customHeight="1" x14ac:dyDescent="0.25">
      <c r="A1573" s="17" t="e">
        <f>VLOOKUP(C1573,[1]Werke!$A$1:$C$168,3,0)</f>
        <v>#N/A</v>
      </c>
      <c r="B1573" s="17" t="e">
        <f>VLOOKUP(C1573,[1]Werke!$A$1:$C$168,2,0)</f>
        <v>#N/A</v>
      </c>
      <c r="C1573" s="18"/>
      <c r="D1573" s="17" t="e">
        <f>VLOOKUP(C1573,[1]Maliteslimalan!$A$1:$B$210,2,0)</f>
        <v>#N/A</v>
      </c>
      <c r="E1573" s="19" t="e">
        <f>VLOOKUP(C1573,[1]Bestellnr.!$A$1:$B$174,2,0)</f>
        <v>#N/A</v>
      </c>
      <c r="F1573" s="20" t="e">
        <f t="shared" si="623"/>
        <v>#N/A</v>
      </c>
      <c r="G1573" s="17"/>
      <c r="H1573" s="17" t="e">
        <f t="shared" si="624"/>
        <v>#N/A</v>
      </c>
      <c r="I1573" s="20"/>
      <c r="J1573" s="17" t="e">
        <f t="shared" si="625"/>
        <v>#N/A</v>
      </c>
      <c r="K1573" s="17" t="e">
        <f t="shared" si="626"/>
        <v>#N/A</v>
      </c>
      <c r="L1573" s="22"/>
      <c r="M1573" s="22"/>
      <c r="N1573" s="22"/>
      <c r="O1573" s="22" t="e">
        <f t="shared" si="627"/>
        <v>#N/A</v>
      </c>
      <c r="P1573" s="22">
        <f t="shared" si="628"/>
        <v>0</v>
      </c>
      <c r="Q1573" s="22"/>
      <c r="R1573" s="23"/>
      <c r="S1573" s="22">
        <f t="shared" si="629"/>
        <v>0</v>
      </c>
      <c r="T1573" s="24" t="e">
        <f t="shared" si="630"/>
        <v>#N/A</v>
      </c>
      <c r="U1573" s="38"/>
      <c r="V1573" s="21" t="s">
        <v>834</v>
      </c>
      <c r="W1573" s="38"/>
      <c r="X1573" s="62">
        <v>500</v>
      </c>
      <c r="Y1573" s="65" t="s">
        <v>835</v>
      </c>
      <c r="Z1573" s="69"/>
      <c r="AA1573" s="67"/>
      <c r="AB1573" s="46"/>
    </row>
    <row r="1574" spans="1:28" ht="48.2" customHeight="1" x14ac:dyDescent="0.25">
      <c r="A1574" s="17" t="e">
        <f>VLOOKUP(C1574,[1]Werke!$A$1:$C$168,3,0)</f>
        <v>#N/A</v>
      </c>
      <c r="B1574" s="17" t="e">
        <f>VLOOKUP(C1574,[1]Werke!$A$1:$C$168,2,0)</f>
        <v>#N/A</v>
      </c>
      <c r="C1574" s="18"/>
      <c r="D1574" s="17" t="e">
        <f>VLOOKUP(C1574,[1]Maliteslimalan!$A$1:$B$210,2,0)</f>
        <v>#N/A</v>
      </c>
      <c r="E1574" s="19" t="e">
        <f>VLOOKUP(C1574,[1]Bestellnr.!$A$1:$B$174,2,0)</f>
        <v>#N/A</v>
      </c>
      <c r="F1574" s="20" t="e">
        <f t="shared" si="623"/>
        <v>#N/A</v>
      </c>
      <c r="G1574" s="17"/>
      <c r="H1574" s="17" t="e">
        <f t="shared" si="624"/>
        <v>#N/A</v>
      </c>
      <c r="I1574" s="20"/>
      <c r="J1574" s="17" t="e">
        <f t="shared" si="625"/>
        <v>#N/A</v>
      </c>
      <c r="K1574" s="17" t="e">
        <f t="shared" si="626"/>
        <v>#N/A</v>
      </c>
      <c r="L1574" s="22"/>
      <c r="M1574" s="22"/>
      <c r="N1574" s="22"/>
      <c r="O1574" s="22" t="e">
        <f t="shared" si="627"/>
        <v>#N/A</v>
      </c>
      <c r="P1574" s="22">
        <f t="shared" si="628"/>
        <v>0</v>
      </c>
      <c r="Q1574" s="22"/>
      <c r="R1574" s="23"/>
      <c r="S1574" s="22">
        <f t="shared" si="629"/>
        <v>0</v>
      </c>
      <c r="T1574" s="24" t="e">
        <f t="shared" si="630"/>
        <v>#N/A</v>
      </c>
      <c r="U1574" s="38">
        <v>100355700</v>
      </c>
      <c r="V1574" s="21" t="s">
        <v>891</v>
      </c>
      <c r="W1574" s="38">
        <v>100355700</v>
      </c>
      <c r="X1574" s="62">
        <v>500</v>
      </c>
      <c r="Y1574" s="65" t="s">
        <v>892</v>
      </c>
      <c r="Z1574" s="69">
        <v>100355700</v>
      </c>
      <c r="AA1574" s="67">
        <v>2.4500000000000001E-2</v>
      </c>
      <c r="AB1574" s="46"/>
    </row>
    <row r="1575" spans="1:28" ht="48.2" customHeight="1" x14ac:dyDescent="0.25">
      <c r="A1575" s="17" t="e">
        <f>VLOOKUP(C1575,[1]Werke!$A$1:$C$168,3,0)</f>
        <v>#N/A</v>
      </c>
      <c r="B1575" s="17" t="e">
        <f>VLOOKUP(C1575,[1]Werke!$A$1:$C$168,2,0)</f>
        <v>#N/A</v>
      </c>
      <c r="C1575" s="18"/>
      <c r="D1575" s="17" t="e">
        <f>VLOOKUP(C1575,[1]Maliteslimalan!$A$1:$B$210,2,0)</f>
        <v>#N/A</v>
      </c>
      <c r="E1575" s="19" t="e">
        <f>VLOOKUP(C1575,[1]Bestellnr.!$A$1:$B$174,2,0)</f>
        <v>#N/A</v>
      </c>
      <c r="F1575" s="20" t="e">
        <f t="shared" si="623"/>
        <v>#N/A</v>
      </c>
      <c r="G1575" s="17"/>
      <c r="H1575" s="17" t="e">
        <f t="shared" si="624"/>
        <v>#N/A</v>
      </c>
      <c r="I1575" s="20"/>
      <c r="J1575" s="17" t="e">
        <f t="shared" si="625"/>
        <v>#N/A</v>
      </c>
      <c r="K1575" s="17" t="e">
        <f t="shared" si="626"/>
        <v>#N/A</v>
      </c>
      <c r="L1575" s="22"/>
      <c r="M1575" s="22"/>
      <c r="N1575" s="22"/>
      <c r="O1575" s="22" t="e">
        <f t="shared" si="627"/>
        <v>#N/A</v>
      </c>
      <c r="P1575" s="22">
        <f t="shared" si="628"/>
        <v>0</v>
      </c>
      <c r="Q1575" s="22"/>
      <c r="R1575" s="23"/>
      <c r="S1575" s="22">
        <f t="shared" si="629"/>
        <v>0</v>
      </c>
      <c r="T1575" s="24" t="e">
        <f t="shared" si="630"/>
        <v>#N/A</v>
      </c>
      <c r="U1575" s="38">
        <v>906281000</v>
      </c>
      <c r="V1575" s="21">
        <v>8914401404</v>
      </c>
      <c r="W1575" s="38">
        <v>906281000</v>
      </c>
      <c r="X1575" s="62">
        <v>150</v>
      </c>
      <c r="Y1575" s="65" t="s">
        <v>893</v>
      </c>
      <c r="Z1575" s="69">
        <v>906281000</v>
      </c>
      <c r="AA1575" s="67">
        <v>0.11799999999999999</v>
      </c>
      <c r="AB1575" s="46"/>
    </row>
    <row r="1576" spans="1:28" ht="48.2" customHeight="1" x14ac:dyDescent="0.25">
      <c r="A1576" s="17" t="e">
        <f>VLOOKUP(C1576,[1]Werke!$A$1:$C$168,3,0)</f>
        <v>#N/A</v>
      </c>
      <c r="B1576" s="17" t="e">
        <f>VLOOKUP(C1576,[1]Werke!$A$1:$C$168,2,0)</f>
        <v>#N/A</v>
      </c>
      <c r="C1576" s="18"/>
      <c r="D1576" s="17" t="e">
        <f>VLOOKUP(C1576,[1]Maliteslimalan!$A$1:$B$210,2,0)</f>
        <v>#N/A</v>
      </c>
      <c r="E1576" s="19" t="e">
        <f>VLOOKUP(C1576,[1]Bestellnr.!$A$1:$B$174,2,0)</f>
        <v>#N/A</v>
      </c>
      <c r="F1576" s="20" t="e">
        <f t="shared" si="623"/>
        <v>#N/A</v>
      </c>
      <c r="G1576" s="17"/>
      <c r="H1576" s="17" t="e">
        <f t="shared" si="624"/>
        <v>#N/A</v>
      </c>
      <c r="I1576" s="20"/>
      <c r="J1576" s="17" t="e">
        <f t="shared" si="625"/>
        <v>#N/A</v>
      </c>
      <c r="K1576" s="17" t="e">
        <f t="shared" si="626"/>
        <v>#N/A</v>
      </c>
      <c r="L1576" s="22"/>
      <c r="M1576" s="22"/>
      <c r="N1576" s="22"/>
      <c r="O1576" s="22" t="e">
        <f t="shared" si="627"/>
        <v>#N/A</v>
      </c>
      <c r="P1576" s="22">
        <f t="shared" si="628"/>
        <v>0</v>
      </c>
      <c r="Q1576" s="22"/>
      <c r="R1576" s="23"/>
      <c r="S1576" s="22">
        <f t="shared" si="629"/>
        <v>0</v>
      </c>
      <c r="T1576" s="24" t="e">
        <f t="shared" si="630"/>
        <v>#N/A</v>
      </c>
      <c r="U1576" s="38">
        <v>100476700</v>
      </c>
      <c r="V1576" s="21" t="s">
        <v>894</v>
      </c>
      <c r="W1576" s="38">
        <v>100476700</v>
      </c>
      <c r="X1576" s="62">
        <v>400</v>
      </c>
      <c r="Y1576" s="65" t="s">
        <v>895</v>
      </c>
      <c r="Z1576" s="69">
        <v>100476700</v>
      </c>
      <c r="AA1576" s="67">
        <v>2.5999999999999999E-2</v>
      </c>
      <c r="AB1576" s="46"/>
    </row>
    <row r="1577" spans="1:28" ht="48.2" customHeight="1" x14ac:dyDescent="0.25">
      <c r="A1577" s="17" t="e">
        <f>VLOOKUP(C1577,[1]Werke!$A$1:$C$168,3,0)</f>
        <v>#N/A</v>
      </c>
      <c r="B1577" s="17" t="e">
        <f>VLOOKUP(C1577,[1]Werke!$A$1:$C$168,2,0)</f>
        <v>#N/A</v>
      </c>
      <c r="C1577" s="18"/>
      <c r="D1577" s="17" t="e">
        <f>VLOOKUP(C1577,[1]Maliteslimalan!$A$1:$B$210,2,0)</f>
        <v>#N/A</v>
      </c>
      <c r="E1577" s="19" t="e">
        <f>VLOOKUP(C1577,[1]Bestellnr.!$A$1:$B$174,2,0)</f>
        <v>#N/A</v>
      </c>
      <c r="F1577" s="20" t="e">
        <f t="shared" si="623"/>
        <v>#N/A</v>
      </c>
      <c r="G1577" s="17"/>
      <c r="H1577" s="17" t="e">
        <f t="shared" si="624"/>
        <v>#N/A</v>
      </c>
      <c r="I1577" s="20"/>
      <c r="J1577" s="17" t="e">
        <f t="shared" si="625"/>
        <v>#N/A</v>
      </c>
      <c r="K1577" s="17" t="e">
        <f t="shared" si="626"/>
        <v>#N/A</v>
      </c>
      <c r="L1577" s="22"/>
      <c r="M1577" s="22"/>
      <c r="N1577" s="22"/>
      <c r="O1577" s="22" t="e">
        <f t="shared" si="627"/>
        <v>#N/A</v>
      </c>
      <c r="P1577" s="22">
        <f t="shared" si="628"/>
        <v>0</v>
      </c>
      <c r="Q1577" s="22"/>
      <c r="R1577" s="23"/>
      <c r="S1577" s="22">
        <f t="shared" si="629"/>
        <v>0</v>
      </c>
      <c r="T1577" s="24" t="e">
        <f t="shared" si="630"/>
        <v>#N/A</v>
      </c>
      <c r="U1577" s="38">
        <v>934310000</v>
      </c>
      <c r="V1577" s="21" t="s">
        <v>99</v>
      </c>
      <c r="W1577" s="38">
        <v>934310000</v>
      </c>
      <c r="X1577" s="62">
        <v>140</v>
      </c>
      <c r="Y1577" s="65" t="s">
        <v>639</v>
      </c>
      <c r="Z1577" s="69">
        <v>934310000</v>
      </c>
      <c r="AA1577" s="67">
        <v>8.2650000000000001E-2</v>
      </c>
      <c r="AB1577" s="46"/>
    </row>
    <row r="1578" spans="1:28" ht="48.2" customHeight="1" x14ac:dyDescent="0.25">
      <c r="A1578" s="17" t="e">
        <f>VLOOKUP(C1578,[1]Werke!$A$1:$C$168,3,0)</f>
        <v>#N/A</v>
      </c>
      <c r="B1578" s="17" t="e">
        <f>VLOOKUP(C1578,[1]Werke!$A$1:$C$168,2,0)</f>
        <v>#N/A</v>
      </c>
      <c r="C1578" s="18"/>
      <c r="D1578" s="17" t="e">
        <f>VLOOKUP(C1578,[1]Maliteslimalan!$A$1:$B$210,2,0)</f>
        <v>#N/A</v>
      </c>
      <c r="E1578" s="19" t="e">
        <f>VLOOKUP(C1578,[1]Bestellnr.!$A$1:$B$174,2,0)</f>
        <v>#N/A</v>
      </c>
      <c r="F1578" s="20" t="e">
        <f t="shared" si="623"/>
        <v>#N/A</v>
      </c>
      <c r="G1578" s="17"/>
      <c r="H1578" s="17" t="e">
        <f t="shared" si="624"/>
        <v>#N/A</v>
      </c>
      <c r="I1578" s="20"/>
      <c r="J1578" s="17" t="e">
        <f t="shared" si="625"/>
        <v>#N/A</v>
      </c>
      <c r="K1578" s="17" t="e">
        <f t="shared" si="626"/>
        <v>#N/A</v>
      </c>
      <c r="L1578" s="22"/>
      <c r="M1578" s="22"/>
      <c r="N1578" s="22"/>
      <c r="O1578" s="22" t="e">
        <f t="shared" si="627"/>
        <v>#N/A</v>
      </c>
      <c r="P1578" s="22">
        <f t="shared" si="628"/>
        <v>0</v>
      </c>
      <c r="Q1578" s="22"/>
      <c r="R1578" s="23"/>
      <c r="S1578" s="22">
        <f t="shared" si="629"/>
        <v>0</v>
      </c>
      <c r="T1578" s="24" t="e">
        <f t="shared" si="630"/>
        <v>#N/A</v>
      </c>
      <c r="U1578" s="38">
        <v>970697000</v>
      </c>
      <c r="V1578" s="21" t="s">
        <v>896</v>
      </c>
      <c r="W1578" s="38">
        <v>970697000</v>
      </c>
      <c r="X1578" s="62">
        <v>1550</v>
      </c>
      <c r="Y1578" s="65" t="s">
        <v>703</v>
      </c>
      <c r="Z1578" s="69">
        <v>970697000</v>
      </c>
      <c r="AA1578" s="67">
        <v>9.2599999999999991E-3</v>
      </c>
      <c r="AB1578" s="46"/>
    </row>
    <row r="1579" spans="1:28" ht="48.2" customHeight="1" x14ac:dyDescent="0.25">
      <c r="A1579" s="17" t="e">
        <f>VLOOKUP(C1579,[1]Werke!$A$1:$C$168,3,0)</f>
        <v>#N/A</v>
      </c>
      <c r="B1579" s="17" t="e">
        <f>VLOOKUP(C1579,[1]Werke!$A$1:$C$168,2,0)</f>
        <v>#N/A</v>
      </c>
      <c r="C1579" s="18"/>
      <c r="D1579" s="17" t="e">
        <f>VLOOKUP(C1579,[1]Maliteslimalan!$A$1:$B$210,2,0)</f>
        <v>#N/A</v>
      </c>
      <c r="E1579" s="19" t="e">
        <f>VLOOKUP(C1579,[1]Bestellnr.!$A$1:$B$174,2,0)</f>
        <v>#N/A</v>
      </c>
      <c r="F1579" s="20" t="e">
        <f t="shared" si="623"/>
        <v>#N/A</v>
      </c>
      <c r="G1579" s="17"/>
      <c r="H1579" s="17" t="e">
        <f t="shared" si="624"/>
        <v>#N/A</v>
      </c>
      <c r="I1579" s="20"/>
      <c r="J1579" s="17" t="e">
        <f t="shared" si="625"/>
        <v>#N/A</v>
      </c>
      <c r="K1579" s="17" t="e">
        <f t="shared" si="626"/>
        <v>#N/A</v>
      </c>
      <c r="L1579" s="22"/>
      <c r="M1579" s="22"/>
      <c r="N1579" s="22"/>
      <c r="O1579" s="22" t="e">
        <f t="shared" si="627"/>
        <v>#N/A</v>
      </c>
      <c r="P1579" s="22">
        <f t="shared" si="628"/>
        <v>0</v>
      </c>
      <c r="Q1579" s="22"/>
      <c r="R1579" s="23"/>
      <c r="S1579" s="22">
        <f t="shared" si="629"/>
        <v>0</v>
      </c>
      <c r="T1579" s="24" t="e">
        <f t="shared" si="630"/>
        <v>#N/A</v>
      </c>
      <c r="U1579" s="38">
        <v>100602000</v>
      </c>
      <c r="V1579" s="21" t="s">
        <v>897</v>
      </c>
      <c r="W1579" s="38">
        <v>100602000</v>
      </c>
      <c r="X1579" s="62">
        <v>1000</v>
      </c>
      <c r="Y1579" s="65" t="s">
        <v>850</v>
      </c>
      <c r="Z1579" s="70">
        <v>100602000</v>
      </c>
      <c r="AA1579" s="67">
        <v>1.068E-2</v>
      </c>
      <c r="AB1579" s="46"/>
    </row>
    <row r="1580" spans="1:28" ht="48.2" customHeight="1" x14ac:dyDescent="0.25">
      <c r="A1580" s="17" t="e">
        <f>VLOOKUP(C1580,[1]Werke!$A$1:$C$168,3,0)</f>
        <v>#N/A</v>
      </c>
      <c r="B1580" s="17" t="e">
        <f>VLOOKUP(C1580,[1]Werke!$A$1:$C$168,2,0)</f>
        <v>#N/A</v>
      </c>
      <c r="C1580" s="18"/>
      <c r="D1580" s="17" t="e">
        <f>VLOOKUP(C1580,[1]Maliteslimalan!$A$1:$B$210,2,0)</f>
        <v>#N/A</v>
      </c>
      <c r="E1580" s="19" t="e">
        <f>VLOOKUP(C1580,[1]Bestellnr.!$A$1:$B$174,2,0)</f>
        <v>#N/A</v>
      </c>
      <c r="F1580" s="20" t="e">
        <f t="shared" si="623"/>
        <v>#N/A</v>
      </c>
      <c r="G1580" s="17"/>
      <c r="H1580" s="17" t="e">
        <f t="shared" si="624"/>
        <v>#N/A</v>
      </c>
      <c r="I1580" s="20"/>
      <c r="J1580" s="17" t="e">
        <f t="shared" si="625"/>
        <v>#N/A</v>
      </c>
      <c r="K1580" s="17" t="e">
        <f t="shared" si="626"/>
        <v>#N/A</v>
      </c>
      <c r="L1580" s="22"/>
      <c r="M1580" s="22"/>
      <c r="N1580" s="22"/>
      <c r="O1580" s="22" t="e">
        <f t="shared" si="627"/>
        <v>#N/A</v>
      </c>
      <c r="P1580" s="22">
        <f t="shared" si="628"/>
        <v>0</v>
      </c>
      <c r="Q1580" s="22"/>
      <c r="R1580" s="23"/>
      <c r="S1580" s="22">
        <f t="shared" si="629"/>
        <v>0</v>
      </c>
      <c r="T1580" s="24" t="e">
        <f t="shared" si="630"/>
        <v>#N/A</v>
      </c>
      <c r="U1580" s="38">
        <v>100602000</v>
      </c>
      <c r="V1580" s="21" t="s">
        <v>898</v>
      </c>
      <c r="W1580" s="38">
        <v>100602000</v>
      </c>
      <c r="X1580" s="62">
        <v>1000</v>
      </c>
      <c r="Y1580" s="65" t="s">
        <v>850</v>
      </c>
      <c r="Z1580" s="70">
        <v>100602000</v>
      </c>
      <c r="AA1580" s="67">
        <v>1.068E-2</v>
      </c>
      <c r="AB1580" s="46"/>
    </row>
    <row r="1581" spans="1:28" ht="48.2" customHeight="1" x14ac:dyDescent="0.25">
      <c r="A1581" s="17" t="e">
        <f>VLOOKUP(C1581,[1]Werke!$A$1:$C$168,3,0)</f>
        <v>#N/A</v>
      </c>
      <c r="B1581" s="17" t="e">
        <f>VLOOKUP(C1581,[1]Werke!$A$1:$C$168,2,0)</f>
        <v>#N/A</v>
      </c>
      <c r="C1581" s="18"/>
      <c r="D1581" s="17" t="e">
        <f>VLOOKUP(C1581,[1]Maliteslimalan!$A$1:$B$210,2,0)</f>
        <v>#N/A</v>
      </c>
      <c r="E1581" s="19" t="e">
        <f>VLOOKUP(C1581,[1]Bestellnr.!$A$1:$B$174,2,0)</f>
        <v>#N/A</v>
      </c>
      <c r="F1581" s="20" t="e">
        <f t="shared" si="623"/>
        <v>#N/A</v>
      </c>
      <c r="G1581" s="17"/>
      <c r="H1581" s="17" t="e">
        <f t="shared" si="624"/>
        <v>#N/A</v>
      </c>
      <c r="I1581" s="20"/>
      <c r="J1581" s="17" t="e">
        <f t="shared" si="625"/>
        <v>#N/A</v>
      </c>
      <c r="K1581" s="17" t="e">
        <f t="shared" si="626"/>
        <v>#N/A</v>
      </c>
      <c r="L1581" s="22"/>
      <c r="M1581" s="22"/>
      <c r="N1581" s="22"/>
      <c r="O1581" s="22" t="e">
        <f t="shared" si="627"/>
        <v>#N/A</v>
      </c>
      <c r="P1581" s="22">
        <f t="shared" si="628"/>
        <v>0</v>
      </c>
      <c r="Q1581" s="22"/>
      <c r="R1581" s="23"/>
      <c r="S1581" s="22">
        <f t="shared" si="629"/>
        <v>0</v>
      </c>
      <c r="T1581" s="24" t="e">
        <f t="shared" si="630"/>
        <v>#N/A</v>
      </c>
      <c r="U1581" s="38">
        <v>939495000</v>
      </c>
      <c r="V1581" s="21" t="s">
        <v>899</v>
      </c>
      <c r="W1581" s="38">
        <v>939495000</v>
      </c>
      <c r="X1581" s="62">
        <v>1800</v>
      </c>
      <c r="Y1581" s="65" t="s">
        <v>618</v>
      </c>
      <c r="Z1581" s="69">
        <v>939495000</v>
      </c>
      <c r="AA1581" s="67">
        <v>8.0999999999999996E-3</v>
      </c>
      <c r="AB1581" s="46"/>
    </row>
    <row r="1582" spans="1:28" ht="48.2" customHeight="1" x14ac:dyDescent="0.25">
      <c r="A1582" s="17" t="e">
        <f>VLOOKUP(C1582,[1]Werke!$A$1:$C$168,3,0)</f>
        <v>#N/A</v>
      </c>
      <c r="B1582" s="17" t="e">
        <f>VLOOKUP(C1582,[1]Werke!$A$1:$C$168,2,0)</f>
        <v>#N/A</v>
      </c>
      <c r="C1582" s="18"/>
      <c r="D1582" s="17" t="e">
        <f>VLOOKUP(C1582,[1]Maliteslimalan!$A$1:$B$210,2,0)</f>
        <v>#N/A</v>
      </c>
      <c r="E1582" s="19" t="e">
        <f>VLOOKUP(C1582,[1]Bestellnr.!$A$1:$B$174,2,0)</f>
        <v>#N/A</v>
      </c>
      <c r="F1582" s="20" t="e">
        <f t="shared" si="623"/>
        <v>#N/A</v>
      </c>
      <c r="G1582" s="17"/>
      <c r="H1582" s="17" t="e">
        <f t="shared" si="624"/>
        <v>#N/A</v>
      </c>
      <c r="I1582" s="20"/>
      <c r="J1582" s="17" t="e">
        <f t="shared" si="625"/>
        <v>#N/A</v>
      </c>
      <c r="K1582" s="17" t="e">
        <f t="shared" si="626"/>
        <v>#N/A</v>
      </c>
      <c r="L1582" s="22"/>
      <c r="M1582" s="22"/>
      <c r="N1582" s="22"/>
      <c r="O1582" s="22" t="e">
        <f t="shared" si="627"/>
        <v>#N/A</v>
      </c>
      <c r="P1582" s="22">
        <f t="shared" si="628"/>
        <v>0</v>
      </c>
      <c r="Q1582" s="22"/>
      <c r="R1582" s="23"/>
      <c r="S1582" s="22">
        <f t="shared" si="629"/>
        <v>0</v>
      </c>
      <c r="T1582" s="24" t="e">
        <f t="shared" si="630"/>
        <v>#N/A</v>
      </c>
      <c r="U1582" s="38">
        <v>933880000</v>
      </c>
      <c r="V1582" s="21" t="s">
        <v>900</v>
      </c>
      <c r="W1582" s="38">
        <v>933880000</v>
      </c>
      <c r="X1582" s="62">
        <v>150</v>
      </c>
      <c r="Y1582" s="65" t="s">
        <v>487</v>
      </c>
      <c r="Z1582" s="69">
        <v>933880000</v>
      </c>
      <c r="AA1582" s="67">
        <v>9.1740000000000002E-2</v>
      </c>
      <c r="AB1582" s="46"/>
    </row>
    <row r="1583" spans="1:28" ht="48.2" customHeight="1" x14ac:dyDescent="0.25">
      <c r="A1583" s="17" t="e">
        <f>VLOOKUP(C1583,[1]Werke!$A$1:$C$168,3,0)</f>
        <v>#N/A</v>
      </c>
      <c r="B1583" s="17" t="e">
        <f>VLOOKUP(C1583,[1]Werke!$A$1:$C$168,2,0)</f>
        <v>#N/A</v>
      </c>
      <c r="C1583" s="18"/>
      <c r="D1583" s="17" t="e">
        <f>VLOOKUP(C1583,[1]Maliteslimalan!$A$1:$B$210,2,0)</f>
        <v>#N/A</v>
      </c>
      <c r="E1583" s="19" t="e">
        <f>VLOOKUP(C1583,[1]Bestellnr.!$A$1:$B$174,2,0)</f>
        <v>#N/A</v>
      </c>
      <c r="F1583" s="20" t="e">
        <f t="shared" si="623"/>
        <v>#N/A</v>
      </c>
      <c r="G1583" s="17"/>
      <c r="H1583" s="17" t="e">
        <f t="shared" si="624"/>
        <v>#N/A</v>
      </c>
      <c r="I1583" s="20"/>
      <c r="J1583" s="17" t="e">
        <f t="shared" si="625"/>
        <v>#N/A</v>
      </c>
      <c r="K1583" s="17" t="e">
        <f t="shared" si="626"/>
        <v>#N/A</v>
      </c>
      <c r="L1583" s="22"/>
      <c r="M1583" s="22"/>
      <c r="N1583" s="22"/>
      <c r="O1583" s="22" t="e">
        <f t="shared" si="627"/>
        <v>#N/A</v>
      </c>
      <c r="P1583" s="22">
        <f t="shared" si="628"/>
        <v>0</v>
      </c>
      <c r="Q1583" s="22"/>
      <c r="R1583" s="23"/>
      <c r="S1583" s="22">
        <f t="shared" si="629"/>
        <v>0</v>
      </c>
      <c r="T1583" s="24" t="e">
        <f t="shared" si="630"/>
        <v>#N/A</v>
      </c>
      <c r="U1583" s="38">
        <v>100326700</v>
      </c>
      <c r="V1583" s="21" t="s">
        <v>901</v>
      </c>
      <c r="W1583" s="38">
        <v>100326700</v>
      </c>
      <c r="X1583" s="62">
        <v>900</v>
      </c>
      <c r="Y1583" s="65" t="s">
        <v>551</v>
      </c>
      <c r="Z1583" s="69">
        <v>100326700</v>
      </c>
      <c r="AA1583" s="67">
        <v>1.4670000000000001E-2</v>
      </c>
      <c r="AB1583" s="46"/>
    </row>
    <row r="1584" spans="1:28" ht="48.2" customHeight="1" x14ac:dyDescent="0.25">
      <c r="A1584" s="17" t="e">
        <f>VLOOKUP(C1584,[1]Werke!$A$1:$C$168,3,0)</f>
        <v>#N/A</v>
      </c>
      <c r="B1584" s="17" t="e">
        <f>VLOOKUP(C1584,[1]Werke!$A$1:$C$168,2,0)</f>
        <v>#N/A</v>
      </c>
      <c r="C1584" s="18"/>
      <c r="D1584" s="17" t="e">
        <f>VLOOKUP(C1584,[1]Maliteslimalan!$A$1:$B$210,2,0)</f>
        <v>#N/A</v>
      </c>
      <c r="E1584" s="19" t="e">
        <f>VLOOKUP(C1584,[1]Bestellnr.!$A$1:$B$174,2,0)</f>
        <v>#N/A</v>
      </c>
      <c r="F1584" s="20" t="e">
        <f t="shared" si="623"/>
        <v>#N/A</v>
      </c>
      <c r="G1584" s="17"/>
      <c r="H1584" s="17" t="e">
        <f t="shared" si="624"/>
        <v>#N/A</v>
      </c>
      <c r="I1584" s="20"/>
      <c r="J1584" s="17" t="e">
        <f t="shared" si="625"/>
        <v>#N/A</v>
      </c>
      <c r="K1584" s="17" t="e">
        <f t="shared" si="626"/>
        <v>#N/A</v>
      </c>
      <c r="L1584" s="22"/>
      <c r="M1584" s="22"/>
      <c r="N1584" s="22"/>
      <c r="O1584" s="22" t="e">
        <f t="shared" si="627"/>
        <v>#N/A</v>
      </c>
      <c r="P1584" s="22">
        <f t="shared" si="628"/>
        <v>0</v>
      </c>
      <c r="Q1584" s="22"/>
      <c r="R1584" s="23"/>
      <c r="S1584" s="22">
        <f t="shared" si="629"/>
        <v>0</v>
      </c>
      <c r="T1584" s="24" t="e">
        <f t="shared" si="630"/>
        <v>#N/A</v>
      </c>
      <c r="U1584" s="38">
        <v>100326400</v>
      </c>
      <c r="V1584" s="21" t="s">
        <v>902</v>
      </c>
      <c r="W1584" s="38">
        <v>100326400</v>
      </c>
      <c r="X1584" s="62">
        <v>800</v>
      </c>
      <c r="Y1584" s="65" t="s">
        <v>865</v>
      </c>
      <c r="Z1584" s="69">
        <v>100326400</v>
      </c>
      <c r="AA1584" s="67">
        <v>1.779E-2</v>
      </c>
      <c r="AB1584" s="46"/>
    </row>
    <row r="1585" spans="1:28" ht="48.2" customHeight="1" x14ac:dyDescent="0.25">
      <c r="A1585" s="17" t="e">
        <f>VLOOKUP(C1585,[1]Werke!$A$1:$C$168,3,0)</f>
        <v>#N/A</v>
      </c>
      <c r="B1585" s="17" t="e">
        <f>VLOOKUP(C1585,[1]Werke!$A$1:$C$168,2,0)</f>
        <v>#N/A</v>
      </c>
      <c r="C1585" s="18"/>
      <c r="D1585" s="17" t="e">
        <f>VLOOKUP(C1585,[1]Maliteslimalan!$A$1:$B$210,2,0)</f>
        <v>#N/A</v>
      </c>
      <c r="E1585" s="19" t="e">
        <f>VLOOKUP(C1585,[1]Bestellnr.!$A$1:$B$174,2,0)</f>
        <v>#N/A</v>
      </c>
      <c r="F1585" s="20" t="e">
        <f t="shared" si="623"/>
        <v>#N/A</v>
      </c>
      <c r="G1585" s="17"/>
      <c r="H1585" s="17" t="e">
        <f t="shared" si="624"/>
        <v>#N/A</v>
      </c>
      <c r="I1585" s="20"/>
      <c r="J1585" s="17" t="e">
        <f t="shared" si="625"/>
        <v>#N/A</v>
      </c>
      <c r="K1585" s="17" t="e">
        <f t="shared" si="626"/>
        <v>#N/A</v>
      </c>
      <c r="L1585" s="22"/>
      <c r="M1585" s="22"/>
      <c r="N1585" s="22"/>
      <c r="O1585" s="22" t="e">
        <f t="shared" si="627"/>
        <v>#N/A</v>
      </c>
      <c r="P1585" s="22">
        <f t="shared" si="628"/>
        <v>0</v>
      </c>
      <c r="Q1585" s="22"/>
      <c r="R1585" s="23"/>
      <c r="S1585" s="22">
        <f t="shared" si="629"/>
        <v>0</v>
      </c>
      <c r="T1585" s="24" t="e">
        <f t="shared" si="630"/>
        <v>#N/A</v>
      </c>
      <c r="U1585" s="38">
        <v>969209000</v>
      </c>
      <c r="V1585" s="21" t="s">
        <v>67</v>
      </c>
      <c r="W1585" s="38">
        <v>969209000</v>
      </c>
      <c r="X1585" s="62">
        <v>500</v>
      </c>
      <c r="Y1585" s="65" t="s">
        <v>649</v>
      </c>
      <c r="Z1585" s="69">
        <v>969209000</v>
      </c>
      <c r="AA1585" s="67">
        <v>1.9900000000000001E-2</v>
      </c>
      <c r="AB1585" s="46"/>
    </row>
    <row r="1586" spans="1:28" ht="48.2" customHeight="1" x14ac:dyDescent="0.25">
      <c r="A1586" s="17" t="e">
        <f>VLOOKUP(C1586,[1]Werke!$A$1:$C$168,3,0)</f>
        <v>#N/A</v>
      </c>
      <c r="B1586" s="17" t="e">
        <f>VLOOKUP(C1586,[1]Werke!$A$1:$C$168,2,0)</f>
        <v>#N/A</v>
      </c>
      <c r="C1586" s="18"/>
      <c r="D1586" s="17" t="e">
        <f>VLOOKUP(C1586,[1]Maliteslimalan!$A$1:$B$210,2,0)</f>
        <v>#N/A</v>
      </c>
      <c r="E1586" s="19" t="e">
        <f>VLOOKUP(C1586,[1]Bestellnr.!$A$1:$B$174,2,0)</f>
        <v>#N/A</v>
      </c>
      <c r="F1586" s="20" t="e">
        <f t="shared" si="623"/>
        <v>#N/A</v>
      </c>
      <c r="G1586" s="17"/>
      <c r="H1586" s="17" t="e">
        <f t="shared" si="624"/>
        <v>#N/A</v>
      </c>
      <c r="I1586" s="20"/>
      <c r="J1586" s="17" t="e">
        <f t="shared" si="625"/>
        <v>#N/A</v>
      </c>
      <c r="K1586" s="17" t="e">
        <f t="shared" si="626"/>
        <v>#N/A</v>
      </c>
      <c r="L1586" s="22"/>
      <c r="M1586" s="22"/>
      <c r="N1586" s="22"/>
      <c r="O1586" s="22" t="e">
        <f t="shared" si="627"/>
        <v>#N/A</v>
      </c>
      <c r="P1586" s="22">
        <f t="shared" si="628"/>
        <v>0</v>
      </c>
      <c r="Q1586" s="22"/>
      <c r="R1586" s="23"/>
      <c r="S1586" s="22">
        <f t="shared" si="629"/>
        <v>0</v>
      </c>
      <c r="T1586" s="24" t="e">
        <f t="shared" si="630"/>
        <v>#N/A</v>
      </c>
      <c r="U1586" s="38">
        <v>970692000</v>
      </c>
      <c r="V1586" s="21" t="s">
        <v>903</v>
      </c>
      <c r="W1586" s="38">
        <v>970692000</v>
      </c>
      <c r="X1586" s="62">
        <v>950</v>
      </c>
      <c r="Y1586" s="65" t="s">
        <v>684</v>
      </c>
      <c r="Z1586" s="69">
        <v>970692000</v>
      </c>
      <c r="AA1586" s="67">
        <v>1.4800000000000001E-2</v>
      </c>
      <c r="AB1586" s="46"/>
    </row>
    <row r="1587" spans="1:28" ht="48.2" customHeight="1" x14ac:dyDescent="0.25">
      <c r="A1587" s="17" t="e">
        <f>VLOOKUP(C1587,[1]Werke!$A$1:$C$168,3,0)</f>
        <v>#N/A</v>
      </c>
      <c r="B1587" s="17" t="e">
        <f>VLOOKUP(C1587,[1]Werke!$A$1:$C$168,2,0)</f>
        <v>#N/A</v>
      </c>
      <c r="C1587" s="18"/>
      <c r="D1587" s="17" t="e">
        <f>VLOOKUP(C1587,[1]Maliteslimalan!$A$1:$B$210,2,0)</f>
        <v>#N/A</v>
      </c>
      <c r="E1587" s="19" t="e">
        <f>VLOOKUP(C1587,[1]Bestellnr.!$A$1:$B$174,2,0)</f>
        <v>#N/A</v>
      </c>
      <c r="F1587" s="20" t="e">
        <f t="shared" si="623"/>
        <v>#N/A</v>
      </c>
      <c r="G1587" s="17"/>
      <c r="H1587" s="17" t="e">
        <f t="shared" si="624"/>
        <v>#N/A</v>
      </c>
      <c r="I1587" s="20"/>
      <c r="J1587" s="17" t="e">
        <f t="shared" si="625"/>
        <v>#N/A</v>
      </c>
      <c r="K1587" s="17" t="e">
        <f t="shared" si="626"/>
        <v>#N/A</v>
      </c>
      <c r="L1587" s="22"/>
      <c r="M1587" s="22"/>
      <c r="N1587" s="22"/>
      <c r="O1587" s="22" t="e">
        <f t="shared" si="627"/>
        <v>#N/A</v>
      </c>
      <c r="P1587" s="22">
        <f t="shared" si="628"/>
        <v>0</v>
      </c>
      <c r="Q1587" s="22"/>
      <c r="R1587" s="23"/>
      <c r="S1587" s="22">
        <f t="shared" si="629"/>
        <v>0</v>
      </c>
      <c r="T1587" s="24" t="e">
        <f t="shared" si="630"/>
        <v>#N/A</v>
      </c>
      <c r="U1587" s="38">
        <v>970696000</v>
      </c>
      <c r="V1587" s="21" t="s">
        <v>904</v>
      </c>
      <c r="W1587" s="38">
        <v>970696000</v>
      </c>
      <c r="X1587" s="62">
        <v>700</v>
      </c>
      <c r="Y1587" s="65" t="s">
        <v>705</v>
      </c>
      <c r="Z1587" s="69">
        <v>970696000</v>
      </c>
      <c r="AA1587" s="67">
        <v>2.053E-2</v>
      </c>
      <c r="AB1587" s="46"/>
    </row>
    <row r="1588" spans="1:28" ht="48.2" customHeight="1" x14ac:dyDescent="0.25">
      <c r="A1588" s="17" t="e">
        <f>VLOOKUP(C1588,[1]Werke!$A$1:$C$168,3,0)</f>
        <v>#N/A</v>
      </c>
      <c r="B1588" s="17" t="e">
        <f>VLOOKUP(C1588,[1]Werke!$A$1:$C$168,2,0)</f>
        <v>#N/A</v>
      </c>
      <c r="C1588" s="18"/>
      <c r="D1588" s="17" t="e">
        <f>VLOOKUP(C1588,[1]Maliteslimalan!$A$1:$B$210,2,0)</f>
        <v>#N/A</v>
      </c>
      <c r="E1588" s="19" t="e">
        <f>VLOOKUP(C1588,[1]Bestellnr.!$A$1:$B$174,2,0)</f>
        <v>#N/A</v>
      </c>
      <c r="F1588" s="20" t="e">
        <f t="shared" si="623"/>
        <v>#N/A</v>
      </c>
      <c r="G1588" s="17"/>
      <c r="H1588" s="17" t="e">
        <f t="shared" si="624"/>
        <v>#N/A</v>
      </c>
      <c r="I1588" s="20"/>
      <c r="J1588" s="17" t="e">
        <f t="shared" si="625"/>
        <v>#N/A</v>
      </c>
      <c r="K1588" s="17" t="e">
        <f t="shared" si="626"/>
        <v>#N/A</v>
      </c>
      <c r="L1588" s="22"/>
      <c r="M1588" s="22"/>
      <c r="N1588" s="22"/>
      <c r="O1588" s="22" t="e">
        <f t="shared" si="627"/>
        <v>#N/A</v>
      </c>
      <c r="P1588" s="22">
        <f t="shared" si="628"/>
        <v>0</v>
      </c>
      <c r="Q1588" s="22"/>
      <c r="R1588" s="23"/>
      <c r="S1588" s="22">
        <f t="shared" si="629"/>
        <v>0</v>
      </c>
      <c r="T1588" s="24" t="e">
        <f t="shared" si="630"/>
        <v>#N/A</v>
      </c>
      <c r="U1588" s="38">
        <v>935846000</v>
      </c>
      <c r="V1588" s="21" t="s">
        <v>905</v>
      </c>
      <c r="W1588" s="38">
        <v>935846000</v>
      </c>
      <c r="X1588" s="62">
        <v>400</v>
      </c>
      <c r="Y1588" s="65" t="s">
        <v>475</v>
      </c>
      <c r="Z1588" s="69">
        <v>935846000</v>
      </c>
      <c r="AA1588" s="67">
        <v>2.614E-2</v>
      </c>
      <c r="AB1588" s="46"/>
    </row>
    <row r="1589" spans="1:28" ht="48.2" customHeight="1" x14ac:dyDescent="0.25">
      <c r="A1589" s="17" t="e">
        <f>VLOOKUP(C1589,[1]Werke!$A$1:$C$168,3,0)</f>
        <v>#N/A</v>
      </c>
      <c r="B1589" s="17" t="e">
        <f>VLOOKUP(C1589,[1]Werke!$A$1:$C$168,2,0)</f>
        <v>#N/A</v>
      </c>
      <c r="C1589" s="18"/>
      <c r="D1589" s="17" t="e">
        <f>VLOOKUP(C1589,[1]Maliteslimalan!$A$1:$B$210,2,0)</f>
        <v>#N/A</v>
      </c>
      <c r="E1589" s="19" t="e">
        <f>VLOOKUP(C1589,[1]Bestellnr.!$A$1:$B$174,2,0)</f>
        <v>#N/A</v>
      </c>
      <c r="F1589" s="20" t="e">
        <f t="shared" si="623"/>
        <v>#N/A</v>
      </c>
      <c r="G1589" s="17"/>
      <c r="H1589" s="17" t="e">
        <f t="shared" si="624"/>
        <v>#N/A</v>
      </c>
      <c r="I1589" s="20"/>
      <c r="J1589" s="17" t="e">
        <f t="shared" si="625"/>
        <v>#N/A</v>
      </c>
      <c r="K1589" s="17" t="e">
        <f t="shared" si="626"/>
        <v>#N/A</v>
      </c>
      <c r="L1589" s="22"/>
      <c r="M1589" s="22"/>
      <c r="N1589" s="22"/>
      <c r="O1589" s="22" t="e">
        <f t="shared" si="627"/>
        <v>#N/A</v>
      </c>
      <c r="P1589" s="22">
        <f t="shared" si="628"/>
        <v>0</v>
      </c>
      <c r="Q1589" s="22"/>
      <c r="R1589" s="23"/>
      <c r="S1589" s="22">
        <f t="shared" si="629"/>
        <v>0</v>
      </c>
      <c r="T1589" s="24" t="e">
        <f t="shared" si="630"/>
        <v>#N/A</v>
      </c>
      <c r="U1589" s="38">
        <v>932226000</v>
      </c>
      <c r="V1589" s="21" t="s">
        <v>906</v>
      </c>
      <c r="W1589" s="38">
        <v>932226000</v>
      </c>
      <c r="X1589" s="62">
        <v>800</v>
      </c>
      <c r="Y1589" s="65" t="s">
        <v>502</v>
      </c>
      <c r="Z1589" s="69">
        <v>932226000</v>
      </c>
      <c r="AA1589" s="67">
        <v>1.7319999999999999E-2</v>
      </c>
      <c r="AB1589" s="46"/>
    </row>
    <row r="1590" spans="1:28" ht="48.2" customHeight="1" x14ac:dyDescent="0.25">
      <c r="A1590" s="17" t="e">
        <f>VLOOKUP(C1590,[1]Werke!$A$1:$C$168,3,0)</f>
        <v>#N/A</v>
      </c>
      <c r="B1590" s="17" t="e">
        <f>VLOOKUP(C1590,[1]Werke!$A$1:$C$168,2,0)</f>
        <v>#N/A</v>
      </c>
      <c r="C1590" s="18"/>
      <c r="D1590" s="17" t="e">
        <f>VLOOKUP(C1590,[1]Maliteslimalan!$A$1:$B$210,2,0)</f>
        <v>#N/A</v>
      </c>
      <c r="E1590" s="19" t="e">
        <f>VLOOKUP(C1590,[1]Bestellnr.!$A$1:$B$174,2,0)</f>
        <v>#N/A</v>
      </c>
      <c r="F1590" s="20" t="e">
        <f t="shared" si="623"/>
        <v>#N/A</v>
      </c>
      <c r="G1590" s="17"/>
      <c r="H1590" s="17" t="e">
        <f t="shared" si="624"/>
        <v>#N/A</v>
      </c>
      <c r="I1590" s="20"/>
      <c r="J1590" s="17" t="e">
        <f t="shared" si="625"/>
        <v>#N/A</v>
      </c>
      <c r="K1590" s="17" t="e">
        <f t="shared" si="626"/>
        <v>#N/A</v>
      </c>
      <c r="L1590" s="22"/>
      <c r="M1590" s="22"/>
      <c r="N1590" s="22"/>
      <c r="O1590" s="22" t="e">
        <f t="shared" si="627"/>
        <v>#N/A</v>
      </c>
      <c r="P1590" s="22">
        <f t="shared" si="628"/>
        <v>0</v>
      </c>
      <c r="Q1590" s="22"/>
      <c r="R1590" s="23"/>
      <c r="S1590" s="22">
        <f t="shared" si="629"/>
        <v>0</v>
      </c>
      <c r="T1590" s="24" t="e">
        <f t="shared" si="630"/>
        <v>#N/A</v>
      </c>
      <c r="U1590" s="38">
        <v>934309000</v>
      </c>
      <c r="V1590" s="21" t="s">
        <v>98</v>
      </c>
      <c r="W1590" s="38">
        <v>934309000</v>
      </c>
      <c r="X1590" s="62">
        <v>170</v>
      </c>
      <c r="Y1590" s="65" t="s">
        <v>641</v>
      </c>
      <c r="Z1590" s="69">
        <v>934309000</v>
      </c>
      <c r="AA1590" s="67">
        <v>6.8010000000000001E-2</v>
      </c>
      <c r="AB1590" s="46"/>
    </row>
    <row r="1591" spans="1:28" ht="48.2" customHeight="1" x14ac:dyDescent="0.25">
      <c r="A1591" s="17" t="e">
        <f>VLOOKUP(C1591,[1]Werke!$A$1:$C$168,3,0)</f>
        <v>#N/A</v>
      </c>
      <c r="B1591" s="17" t="e">
        <f>VLOOKUP(C1591,[1]Werke!$A$1:$C$168,2,0)</f>
        <v>#N/A</v>
      </c>
      <c r="C1591" s="18"/>
      <c r="D1591" s="17" t="e">
        <f>VLOOKUP(C1591,[1]Maliteslimalan!$A$1:$B$210,2,0)</f>
        <v>#N/A</v>
      </c>
      <c r="E1591" s="19" t="e">
        <f>VLOOKUP(C1591,[1]Bestellnr.!$A$1:$B$174,2,0)</f>
        <v>#N/A</v>
      </c>
      <c r="F1591" s="20" t="e">
        <f t="shared" si="623"/>
        <v>#N/A</v>
      </c>
      <c r="G1591" s="17"/>
      <c r="H1591" s="17" t="e">
        <f t="shared" si="624"/>
        <v>#N/A</v>
      </c>
      <c r="I1591" s="20"/>
      <c r="J1591" s="17" t="e">
        <f t="shared" si="625"/>
        <v>#N/A</v>
      </c>
      <c r="K1591" s="17" t="e">
        <f t="shared" si="626"/>
        <v>#N/A</v>
      </c>
      <c r="L1591" s="22"/>
      <c r="M1591" s="22"/>
      <c r="N1591" s="22"/>
      <c r="O1591" s="22" t="e">
        <f t="shared" si="627"/>
        <v>#N/A</v>
      </c>
      <c r="P1591" s="22">
        <f t="shared" si="628"/>
        <v>0</v>
      </c>
      <c r="Q1591" s="22"/>
      <c r="R1591" s="23"/>
      <c r="S1591" s="22">
        <f t="shared" si="629"/>
        <v>0</v>
      </c>
      <c r="T1591" s="24" t="e">
        <f t="shared" si="630"/>
        <v>#N/A</v>
      </c>
      <c r="U1591" s="38">
        <v>933739000</v>
      </c>
      <c r="V1591" s="21" t="s">
        <v>907</v>
      </c>
      <c r="W1591" s="38">
        <v>933739000</v>
      </c>
      <c r="X1591" s="62">
        <v>110</v>
      </c>
      <c r="Y1591" s="65" t="s">
        <v>405</v>
      </c>
      <c r="Z1591" s="69">
        <v>933739000</v>
      </c>
      <c r="AA1591" s="67">
        <v>9.6629999999999994E-2</v>
      </c>
      <c r="AB1591" s="46"/>
    </row>
    <row r="1592" spans="1:28" ht="48.2" customHeight="1" x14ac:dyDescent="0.25">
      <c r="A1592" s="17" t="e">
        <f>VLOOKUP(C1592,[1]Werke!$A$1:$C$168,3,0)</f>
        <v>#N/A</v>
      </c>
      <c r="B1592" s="17" t="e">
        <f>VLOOKUP(C1592,[1]Werke!$A$1:$C$168,2,0)</f>
        <v>#N/A</v>
      </c>
      <c r="C1592" s="18"/>
      <c r="D1592" s="17" t="e">
        <f>VLOOKUP(C1592,[1]Maliteslimalan!$A$1:$B$210,2,0)</f>
        <v>#N/A</v>
      </c>
      <c r="E1592" s="19" t="e">
        <f>VLOOKUP(C1592,[1]Bestellnr.!$A$1:$B$174,2,0)</f>
        <v>#N/A</v>
      </c>
      <c r="F1592" s="20" t="e">
        <f t="shared" si="623"/>
        <v>#N/A</v>
      </c>
      <c r="G1592" s="17"/>
      <c r="H1592" s="17" t="e">
        <f t="shared" si="624"/>
        <v>#N/A</v>
      </c>
      <c r="I1592" s="20"/>
      <c r="J1592" s="17" t="e">
        <f t="shared" si="625"/>
        <v>#N/A</v>
      </c>
      <c r="K1592" s="17" t="e">
        <f t="shared" si="626"/>
        <v>#N/A</v>
      </c>
      <c r="L1592" s="22"/>
      <c r="M1592" s="22"/>
      <c r="N1592" s="22"/>
      <c r="O1592" s="22" t="e">
        <f t="shared" si="627"/>
        <v>#N/A</v>
      </c>
      <c r="P1592" s="22">
        <f t="shared" si="628"/>
        <v>0</v>
      </c>
      <c r="Q1592" s="22"/>
      <c r="R1592" s="23"/>
      <c r="S1592" s="22">
        <f t="shared" si="629"/>
        <v>0</v>
      </c>
      <c r="T1592" s="24" t="e">
        <f t="shared" si="630"/>
        <v>#N/A</v>
      </c>
      <c r="U1592" s="38">
        <v>935287000</v>
      </c>
      <c r="V1592" s="21" t="s">
        <v>908</v>
      </c>
      <c r="W1592" s="38">
        <v>935287000</v>
      </c>
      <c r="X1592" s="62">
        <v>360</v>
      </c>
      <c r="Y1592" s="65" t="s">
        <v>390</v>
      </c>
      <c r="Z1592" s="69">
        <v>935287000</v>
      </c>
      <c r="AA1592" s="67">
        <v>2.7390000000000001E-2</v>
      </c>
      <c r="AB1592" s="46"/>
    </row>
    <row r="1593" spans="1:28" ht="48.2" customHeight="1" x14ac:dyDescent="0.25">
      <c r="A1593" s="17" t="e">
        <f>VLOOKUP(C1593,[1]Werke!$A$1:$C$168,3,0)</f>
        <v>#N/A</v>
      </c>
      <c r="B1593" s="17" t="e">
        <f>VLOOKUP(C1593,[1]Werke!$A$1:$C$168,2,0)</f>
        <v>#N/A</v>
      </c>
      <c r="C1593" s="18"/>
      <c r="D1593" s="17" t="e">
        <f>VLOOKUP(C1593,[1]Maliteslimalan!$A$1:$B$210,2,0)</f>
        <v>#N/A</v>
      </c>
      <c r="E1593" s="19" t="e">
        <f>VLOOKUP(C1593,[1]Bestellnr.!$A$1:$B$174,2,0)</f>
        <v>#N/A</v>
      </c>
      <c r="F1593" s="20" t="e">
        <f t="shared" si="623"/>
        <v>#N/A</v>
      </c>
      <c r="G1593" s="17"/>
      <c r="H1593" s="17" t="e">
        <f t="shared" si="624"/>
        <v>#N/A</v>
      </c>
      <c r="I1593" s="20"/>
      <c r="J1593" s="17" t="e">
        <f t="shared" si="625"/>
        <v>#N/A</v>
      </c>
      <c r="K1593" s="17" t="e">
        <f t="shared" si="626"/>
        <v>#N/A</v>
      </c>
      <c r="L1593" s="22"/>
      <c r="M1593" s="22"/>
      <c r="N1593" s="22"/>
      <c r="O1593" s="22" t="e">
        <f t="shared" si="627"/>
        <v>#N/A</v>
      </c>
      <c r="P1593" s="22">
        <f t="shared" si="628"/>
        <v>0</v>
      </c>
      <c r="Q1593" s="22"/>
      <c r="R1593" s="23"/>
      <c r="S1593" s="22">
        <f t="shared" si="629"/>
        <v>0</v>
      </c>
      <c r="T1593" s="24" t="e">
        <f t="shared" si="630"/>
        <v>#N/A</v>
      </c>
      <c r="U1593" s="38">
        <v>970723000</v>
      </c>
      <c r="V1593" s="21" t="s">
        <v>909</v>
      </c>
      <c r="W1593" s="38">
        <v>970723000</v>
      </c>
      <c r="X1593" s="62">
        <v>4300</v>
      </c>
      <c r="Y1593" s="65" t="s">
        <v>697</v>
      </c>
      <c r="Z1593" s="69">
        <v>970723000</v>
      </c>
      <c r="AA1593" s="67">
        <v>3.3800000000000002E-3</v>
      </c>
      <c r="AB1593" s="46"/>
    </row>
    <row r="1594" spans="1:28" ht="48.2" customHeight="1" x14ac:dyDescent="0.25">
      <c r="A1594" s="17" t="e">
        <f>VLOOKUP(C1594,[1]Werke!$A$1:$C$168,3,0)</f>
        <v>#N/A</v>
      </c>
      <c r="B1594" s="17" t="e">
        <f>VLOOKUP(C1594,[1]Werke!$A$1:$C$168,2,0)</f>
        <v>#N/A</v>
      </c>
      <c r="C1594" s="18"/>
      <c r="D1594" s="17" t="e">
        <f>VLOOKUP(C1594,[1]Maliteslimalan!$A$1:$B$210,2,0)</f>
        <v>#N/A</v>
      </c>
      <c r="E1594" s="19" t="e">
        <f>VLOOKUP(C1594,[1]Bestellnr.!$A$1:$B$174,2,0)</f>
        <v>#N/A</v>
      </c>
      <c r="F1594" s="20" t="e">
        <f t="shared" si="623"/>
        <v>#N/A</v>
      </c>
      <c r="G1594" s="17"/>
      <c r="H1594" s="17" t="e">
        <f t="shared" si="624"/>
        <v>#N/A</v>
      </c>
      <c r="I1594" s="20"/>
      <c r="J1594" s="17" t="e">
        <f t="shared" si="625"/>
        <v>#N/A</v>
      </c>
      <c r="K1594" s="17" t="e">
        <f t="shared" si="626"/>
        <v>#N/A</v>
      </c>
      <c r="L1594" s="22"/>
      <c r="M1594" s="22"/>
      <c r="N1594" s="22"/>
      <c r="O1594" s="22" t="e">
        <f t="shared" si="627"/>
        <v>#N/A</v>
      </c>
      <c r="P1594" s="22">
        <f t="shared" si="628"/>
        <v>0</v>
      </c>
      <c r="Q1594" s="22"/>
      <c r="R1594" s="23"/>
      <c r="S1594" s="22">
        <f t="shared" si="629"/>
        <v>0</v>
      </c>
      <c r="T1594" s="24" t="e">
        <f t="shared" si="630"/>
        <v>#N/A</v>
      </c>
      <c r="U1594" s="38">
        <v>932125000</v>
      </c>
      <c r="V1594" s="21" t="s">
        <v>910</v>
      </c>
      <c r="W1594" s="38">
        <v>932125000</v>
      </c>
      <c r="X1594" s="62">
        <v>500</v>
      </c>
      <c r="Y1594" s="65" t="s">
        <v>596</v>
      </c>
      <c r="Z1594" s="69">
        <v>932125000</v>
      </c>
      <c r="AA1594" s="67">
        <v>1.9730000000000001E-2</v>
      </c>
      <c r="AB1594" s="46"/>
    </row>
    <row r="1595" spans="1:28" ht="48.2" customHeight="1" x14ac:dyDescent="0.25">
      <c r="A1595" s="17" t="e">
        <f>VLOOKUP(C1595,[1]Werke!$A$1:$C$168,3,0)</f>
        <v>#N/A</v>
      </c>
      <c r="B1595" s="17" t="e">
        <f>VLOOKUP(C1595,[1]Werke!$A$1:$C$168,2,0)</f>
        <v>#N/A</v>
      </c>
      <c r="C1595" s="18"/>
      <c r="D1595" s="17" t="e">
        <f>VLOOKUP(C1595,[1]Maliteslimalan!$A$1:$B$210,2,0)</f>
        <v>#N/A</v>
      </c>
      <c r="E1595" s="19" t="e">
        <f>VLOOKUP(C1595,[1]Bestellnr.!$A$1:$B$174,2,0)</f>
        <v>#N/A</v>
      </c>
      <c r="F1595" s="20" t="e">
        <f t="shared" si="623"/>
        <v>#N/A</v>
      </c>
      <c r="G1595" s="17"/>
      <c r="H1595" s="17" t="e">
        <f t="shared" si="624"/>
        <v>#N/A</v>
      </c>
      <c r="I1595" s="20"/>
      <c r="J1595" s="17" t="e">
        <f t="shared" si="625"/>
        <v>#N/A</v>
      </c>
      <c r="K1595" s="17" t="e">
        <f t="shared" si="626"/>
        <v>#N/A</v>
      </c>
      <c r="L1595" s="22"/>
      <c r="M1595" s="22"/>
      <c r="N1595" s="22"/>
      <c r="O1595" s="22" t="e">
        <f t="shared" si="627"/>
        <v>#N/A</v>
      </c>
      <c r="P1595" s="22">
        <f t="shared" si="628"/>
        <v>0</v>
      </c>
      <c r="Q1595" s="22"/>
      <c r="R1595" s="23"/>
      <c r="S1595" s="22">
        <f t="shared" si="629"/>
        <v>0</v>
      </c>
      <c r="T1595" s="24" t="e">
        <f t="shared" si="630"/>
        <v>#N/A</v>
      </c>
      <c r="U1595" s="38">
        <v>970693000</v>
      </c>
      <c r="V1595" s="21" t="s">
        <v>911</v>
      </c>
      <c r="W1595" s="38">
        <v>970693000</v>
      </c>
      <c r="X1595" s="62">
        <v>2100</v>
      </c>
      <c r="Y1595" s="65" t="s">
        <v>690</v>
      </c>
      <c r="Z1595" s="69">
        <v>970693000</v>
      </c>
      <c r="AA1595" s="67">
        <v>6.9199999999999999E-3</v>
      </c>
      <c r="AB1595" s="46"/>
    </row>
    <row r="1596" spans="1:28" ht="48.2" customHeight="1" x14ac:dyDescent="0.25">
      <c r="A1596" s="17" t="e">
        <f>VLOOKUP(C1596,[1]Werke!$A$1:$C$168,3,0)</f>
        <v>#N/A</v>
      </c>
      <c r="B1596" s="17" t="e">
        <f>VLOOKUP(C1596,[1]Werke!$A$1:$C$168,2,0)</f>
        <v>#N/A</v>
      </c>
      <c r="C1596" s="18"/>
      <c r="D1596" s="17" t="e">
        <f>VLOOKUP(C1596,[1]Maliteslimalan!$A$1:$B$210,2,0)</f>
        <v>#N/A</v>
      </c>
      <c r="E1596" s="19" t="e">
        <f>VLOOKUP(C1596,[1]Bestellnr.!$A$1:$B$174,2,0)</f>
        <v>#N/A</v>
      </c>
      <c r="F1596" s="20" t="e">
        <f t="shared" si="623"/>
        <v>#N/A</v>
      </c>
      <c r="G1596" s="17"/>
      <c r="H1596" s="17" t="e">
        <f t="shared" si="624"/>
        <v>#N/A</v>
      </c>
      <c r="I1596" s="20"/>
      <c r="J1596" s="17" t="e">
        <f t="shared" si="625"/>
        <v>#N/A</v>
      </c>
      <c r="K1596" s="17" t="e">
        <f t="shared" si="626"/>
        <v>#N/A</v>
      </c>
      <c r="L1596" s="22"/>
      <c r="M1596" s="22"/>
      <c r="N1596" s="22"/>
      <c r="O1596" s="22" t="e">
        <f t="shared" si="627"/>
        <v>#N/A</v>
      </c>
      <c r="P1596" s="22">
        <f t="shared" si="628"/>
        <v>0</v>
      </c>
      <c r="Q1596" s="22"/>
      <c r="R1596" s="23"/>
      <c r="S1596" s="22">
        <f t="shared" si="629"/>
        <v>0</v>
      </c>
      <c r="T1596" s="24" t="e">
        <f t="shared" si="630"/>
        <v>#N/A</v>
      </c>
      <c r="U1596" s="38">
        <v>967156000</v>
      </c>
      <c r="V1596" s="21" t="s">
        <v>912</v>
      </c>
      <c r="W1596" s="38">
        <v>967156000</v>
      </c>
      <c r="X1596" s="62">
        <v>1500</v>
      </c>
      <c r="Y1596" s="65" t="s">
        <v>455</v>
      </c>
      <c r="Z1596" s="69">
        <v>967156000</v>
      </c>
      <c r="AA1596" s="67">
        <v>9.0399999999999994E-3</v>
      </c>
      <c r="AB1596" s="46"/>
    </row>
    <row r="1597" spans="1:28" ht="48.2" customHeight="1" x14ac:dyDescent="0.25">
      <c r="A1597" s="17" t="e">
        <f>VLOOKUP(C1597,[1]Werke!$A$1:$C$168,3,0)</f>
        <v>#N/A</v>
      </c>
      <c r="B1597" s="17" t="e">
        <f>VLOOKUP(C1597,[1]Werke!$A$1:$C$168,2,0)</f>
        <v>#N/A</v>
      </c>
      <c r="C1597" s="18"/>
      <c r="D1597" s="17" t="e">
        <f>VLOOKUP(C1597,[1]Maliteslimalan!$A$1:$B$210,2,0)</f>
        <v>#N/A</v>
      </c>
      <c r="E1597" s="19" t="e">
        <f>VLOOKUP(C1597,[1]Bestellnr.!$A$1:$B$174,2,0)</f>
        <v>#N/A</v>
      </c>
      <c r="F1597" s="20" t="e">
        <f t="shared" si="623"/>
        <v>#N/A</v>
      </c>
      <c r="G1597" s="17"/>
      <c r="H1597" s="17" t="e">
        <f t="shared" si="624"/>
        <v>#N/A</v>
      </c>
      <c r="I1597" s="20"/>
      <c r="J1597" s="17" t="e">
        <f t="shared" si="625"/>
        <v>#N/A</v>
      </c>
      <c r="K1597" s="17" t="e">
        <f t="shared" si="626"/>
        <v>#N/A</v>
      </c>
      <c r="L1597" s="22"/>
      <c r="M1597" s="22"/>
      <c r="N1597" s="22"/>
      <c r="O1597" s="22" t="e">
        <f t="shared" si="627"/>
        <v>#N/A</v>
      </c>
      <c r="P1597" s="22">
        <f t="shared" si="628"/>
        <v>0</v>
      </c>
      <c r="Q1597" s="22"/>
      <c r="R1597" s="23"/>
      <c r="S1597" s="22">
        <f t="shared" si="629"/>
        <v>0</v>
      </c>
      <c r="T1597" s="24" t="e">
        <f t="shared" si="630"/>
        <v>#N/A</v>
      </c>
      <c r="U1597" s="38">
        <v>100327000</v>
      </c>
      <c r="V1597" s="21" t="s">
        <v>913</v>
      </c>
      <c r="W1597" s="38">
        <v>100327000</v>
      </c>
      <c r="X1597" s="62">
        <v>2100</v>
      </c>
      <c r="Y1597" s="65" t="s">
        <v>869</v>
      </c>
      <c r="Z1597" s="69">
        <v>100327000</v>
      </c>
      <c r="AA1597" s="67">
        <v>7.1399999999999996E-3</v>
      </c>
      <c r="AB1597" s="46"/>
    </row>
    <row r="1598" spans="1:28" ht="48.2" customHeight="1" x14ac:dyDescent="0.25">
      <c r="A1598" s="17" t="e">
        <f>VLOOKUP(C1598,[1]Werke!$A$1:$C$168,3,0)</f>
        <v>#N/A</v>
      </c>
      <c r="B1598" s="17" t="e">
        <f>VLOOKUP(C1598,[1]Werke!$A$1:$C$168,2,0)</f>
        <v>#N/A</v>
      </c>
      <c r="C1598" s="18"/>
      <c r="D1598" s="17" t="e">
        <f>VLOOKUP(C1598,[1]Maliteslimalan!$A$1:$B$210,2,0)</f>
        <v>#N/A</v>
      </c>
      <c r="E1598" s="19" t="e">
        <f>VLOOKUP(C1598,[1]Bestellnr.!$A$1:$B$174,2,0)</f>
        <v>#N/A</v>
      </c>
      <c r="F1598" s="20" t="e">
        <f t="shared" si="623"/>
        <v>#N/A</v>
      </c>
      <c r="G1598" s="17"/>
      <c r="H1598" s="17" t="e">
        <f t="shared" si="624"/>
        <v>#N/A</v>
      </c>
      <c r="I1598" s="20"/>
      <c r="J1598" s="17" t="e">
        <f t="shared" si="625"/>
        <v>#N/A</v>
      </c>
      <c r="K1598" s="17" t="e">
        <f t="shared" si="626"/>
        <v>#N/A</v>
      </c>
      <c r="L1598" s="22"/>
      <c r="M1598" s="22"/>
      <c r="N1598" s="22"/>
      <c r="O1598" s="22" t="e">
        <f t="shared" si="627"/>
        <v>#N/A</v>
      </c>
      <c r="P1598" s="22">
        <f t="shared" si="628"/>
        <v>0</v>
      </c>
      <c r="Q1598" s="22"/>
      <c r="R1598" s="23"/>
      <c r="S1598" s="22">
        <f t="shared" si="629"/>
        <v>0</v>
      </c>
      <c r="T1598" s="24" t="e">
        <f t="shared" si="630"/>
        <v>#N/A</v>
      </c>
      <c r="U1598" s="38">
        <v>969196000</v>
      </c>
      <c r="V1598" s="21" t="s">
        <v>914</v>
      </c>
      <c r="W1598" s="38">
        <v>969196000</v>
      </c>
      <c r="X1598" s="62">
        <v>2000</v>
      </c>
      <c r="Y1598" s="65" t="s">
        <v>620</v>
      </c>
      <c r="Z1598" s="69">
        <v>969196000</v>
      </c>
      <c r="AA1598" s="67">
        <v>5.7000000000000002E-3</v>
      </c>
      <c r="AB1598" s="46"/>
    </row>
    <row r="1599" spans="1:28" ht="48.2" customHeight="1" x14ac:dyDescent="0.25">
      <c r="A1599" s="17" t="e">
        <f>VLOOKUP(C1599,[1]Werke!$A$1:$C$168,3,0)</f>
        <v>#N/A</v>
      </c>
      <c r="B1599" s="17" t="e">
        <f>VLOOKUP(C1599,[1]Werke!$A$1:$C$168,2,0)</f>
        <v>#N/A</v>
      </c>
      <c r="C1599" s="18"/>
      <c r="D1599" s="17" t="e">
        <f>VLOOKUP(C1599,[1]Maliteslimalan!$A$1:$B$210,2,0)</f>
        <v>#N/A</v>
      </c>
      <c r="E1599" s="19" t="e">
        <f>VLOOKUP(C1599,[1]Bestellnr.!$A$1:$B$174,2,0)</f>
        <v>#N/A</v>
      </c>
      <c r="F1599" s="20" t="e">
        <f t="shared" si="623"/>
        <v>#N/A</v>
      </c>
      <c r="G1599" s="17"/>
      <c r="H1599" s="17" t="e">
        <f t="shared" si="624"/>
        <v>#N/A</v>
      </c>
      <c r="I1599" s="20"/>
      <c r="J1599" s="17" t="e">
        <f t="shared" si="625"/>
        <v>#N/A</v>
      </c>
      <c r="K1599" s="17" t="e">
        <f t="shared" si="626"/>
        <v>#N/A</v>
      </c>
      <c r="L1599" s="22"/>
      <c r="M1599" s="22"/>
      <c r="N1599" s="22"/>
      <c r="O1599" s="22" t="e">
        <f t="shared" si="627"/>
        <v>#N/A</v>
      </c>
      <c r="P1599" s="22">
        <f t="shared" si="628"/>
        <v>0</v>
      </c>
      <c r="Q1599" s="22"/>
      <c r="R1599" s="23"/>
      <c r="S1599" s="22">
        <f t="shared" si="629"/>
        <v>0</v>
      </c>
      <c r="T1599" s="24" t="e">
        <f t="shared" si="630"/>
        <v>#N/A</v>
      </c>
      <c r="U1599" s="38">
        <v>100326600</v>
      </c>
      <c r="V1599" s="21" t="s">
        <v>915</v>
      </c>
      <c r="W1599" s="38">
        <v>100326600</v>
      </c>
      <c r="X1599" s="62">
        <v>1500</v>
      </c>
      <c r="Y1599" s="65" t="s">
        <v>869</v>
      </c>
      <c r="Z1599" s="69">
        <v>100326600</v>
      </c>
      <c r="AA1599" s="67">
        <v>7.1399999999999996E-3</v>
      </c>
      <c r="AB1599" s="46"/>
    </row>
    <row r="1600" spans="1:28" ht="48.2" customHeight="1" x14ac:dyDescent="0.25">
      <c r="A1600" s="17" t="e">
        <f>VLOOKUP(C1600,[1]Werke!$A$1:$C$168,3,0)</f>
        <v>#N/A</v>
      </c>
      <c r="B1600" s="17" t="e">
        <f>VLOOKUP(C1600,[1]Werke!$A$1:$C$168,2,0)</f>
        <v>#N/A</v>
      </c>
      <c r="C1600" s="18"/>
      <c r="D1600" s="17" t="e">
        <f>VLOOKUP(C1600,[1]Maliteslimalan!$A$1:$B$210,2,0)</f>
        <v>#N/A</v>
      </c>
      <c r="E1600" s="19" t="e">
        <f>VLOOKUP(C1600,[1]Bestellnr.!$A$1:$B$174,2,0)</f>
        <v>#N/A</v>
      </c>
      <c r="F1600" s="20" t="e">
        <f t="shared" si="623"/>
        <v>#N/A</v>
      </c>
      <c r="G1600" s="17"/>
      <c r="H1600" s="17" t="e">
        <f t="shared" si="624"/>
        <v>#N/A</v>
      </c>
      <c r="I1600" s="20"/>
      <c r="J1600" s="17" t="e">
        <f t="shared" si="625"/>
        <v>#N/A</v>
      </c>
      <c r="K1600" s="17" t="e">
        <f t="shared" si="626"/>
        <v>#N/A</v>
      </c>
      <c r="L1600" s="22"/>
      <c r="M1600" s="22"/>
      <c r="N1600" s="22"/>
      <c r="O1600" s="22" t="e">
        <f t="shared" si="627"/>
        <v>#N/A</v>
      </c>
      <c r="P1600" s="22">
        <f t="shared" si="628"/>
        <v>0</v>
      </c>
      <c r="Q1600" s="22"/>
      <c r="R1600" s="23"/>
      <c r="S1600" s="22">
        <f t="shared" si="629"/>
        <v>0</v>
      </c>
      <c r="T1600" s="24" t="e">
        <f t="shared" si="630"/>
        <v>#N/A</v>
      </c>
      <c r="U1600" s="38">
        <v>926128000</v>
      </c>
      <c r="V1600" s="21" t="s">
        <v>916</v>
      </c>
      <c r="W1600" s="38">
        <v>926128000</v>
      </c>
      <c r="X1600" s="62">
        <v>800</v>
      </c>
      <c r="Y1600" s="65" t="s">
        <v>421</v>
      </c>
      <c r="Z1600" s="69">
        <v>926128000</v>
      </c>
      <c r="AA1600" s="67">
        <v>1.41E-2</v>
      </c>
      <c r="AB1600" s="46"/>
    </row>
    <row r="1601" spans="1:28" ht="48.2" customHeight="1" x14ac:dyDescent="0.25">
      <c r="A1601" s="17" t="e">
        <f>VLOOKUP(C1601,[1]Werke!$A$1:$C$168,3,0)</f>
        <v>#N/A</v>
      </c>
      <c r="B1601" s="17" t="e">
        <f>VLOOKUP(C1601,[1]Werke!$A$1:$C$168,2,0)</f>
        <v>#N/A</v>
      </c>
      <c r="C1601" s="18"/>
      <c r="D1601" s="17" t="e">
        <f>VLOOKUP(C1601,[1]Maliteslimalan!$A$1:$B$210,2,0)</f>
        <v>#N/A</v>
      </c>
      <c r="E1601" s="19" t="e">
        <f>VLOOKUP(C1601,[1]Bestellnr.!$A$1:$B$174,2,0)</f>
        <v>#N/A</v>
      </c>
      <c r="F1601" s="20" t="e">
        <f t="shared" si="623"/>
        <v>#N/A</v>
      </c>
      <c r="G1601" s="17"/>
      <c r="H1601" s="17" t="e">
        <f t="shared" si="624"/>
        <v>#N/A</v>
      </c>
      <c r="I1601" s="20"/>
      <c r="J1601" s="17" t="e">
        <f t="shared" si="625"/>
        <v>#N/A</v>
      </c>
      <c r="K1601" s="17" t="e">
        <f t="shared" si="626"/>
        <v>#N/A</v>
      </c>
      <c r="L1601" s="22"/>
      <c r="M1601" s="22"/>
      <c r="N1601" s="22"/>
      <c r="O1601" s="22" t="e">
        <f t="shared" si="627"/>
        <v>#N/A</v>
      </c>
      <c r="P1601" s="22">
        <f t="shared" si="628"/>
        <v>0</v>
      </c>
      <c r="Q1601" s="22"/>
      <c r="R1601" s="23"/>
      <c r="S1601" s="22">
        <f t="shared" si="629"/>
        <v>0</v>
      </c>
      <c r="T1601" s="24" t="e">
        <f t="shared" si="630"/>
        <v>#N/A</v>
      </c>
      <c r="U1601" s="38">
        <v>934379000</v>
      </c>
      <c r="V1601" s="21" t="s">
        <v>917</v>
      </c>
      <c r="W1601" s="38">
        <v>934379000</v>
      </c>
      <c r="X1601" s="62">
        <v>3500</v>
      </c>
      <c r="Y1601" s="65" t="s">
        <v>663</v>
      </c>
      <c r="Z1601" s="70">
        <v>934379000</v>
      </c>
      <c r="AA1601" s="67">
        <v>4.15E-3</v>
      </c>
      <c r="AB1601" s="46"/>
    </row>
    <row r="1602" spans="1:28" ht="48.2" customHeight="1" x14ac:dyDescent="0.25">
      <c r="A1602" s="17" t="e">
        <f>VLOOKUP(C1602,[1]Werke!$A$1:$C$168,3,0)</f>
        <v>#N/A</v>
      </c>
      <c r="B1602" s="17" t="e">
        <f>VLOOKUP(C1602,[1]Werke!$A$1:$C$168,2,0)</f>
        <v>#N/A</v>
      </c>
      <c r="C1602" s="18"/>
      <c r="D1602" s="17" t="e">
        <f>VLOOKUP(C1602,[1]Maliteslimalan!$A$1:$B$210,2,0)</f>
        <v>#N/A</v>
      </c>
      <c r="E1602" s="19" t="e">
        <f>VLOOKUP(C1602,[1]Bestellnr.!$A$1:$B$174,2,0)</f>
        <v>#N/A</v>
      </c>
      <c r="F1602" s="20" t="e">
        <f t="shared" si="623"/>
        <v>#N/A</v>
      </c>
      <c r="G1602" s="17"/>
      <c r="H1602" s="17" t="e">
        <f t="shared" si="624"/>
        <v>#N/A</v>
      </c>
      <c r="I1602" s="20"/>
      <c r="J1602" s="17" t="e">
        <f t="shared" si="625"/>
        <v>#N/A</v>
      </c>
      <c r="K1602" s="17" t="e">
        <f t="shared" si="626"/>
        <v>#N/A</v>
      </c>
      <c r="L1602" s="22"/>
      <c r="M1602" s="22"/>
      <c r="N1602" s="22"/>
      <c r="O1602" s="22" t="e">
        <f t="shared" si="627"/>
        <v>#N/A</v>
      </c>
      <c r="P1602" s="22">
        <f t="shared" si="628"/>
        <v>0</v>
      </c>
      <c r="Q1602" s="22"/>
      <c r="R1602" s="23"/>
      <c r="S1602" s="22">
        <f t="shared" si="629"/>
        <v>0</v>
      </c>
      <c r="T1602" s="24" t="e">
        <f t="shared" si="630"/>
        <v>#N/A</v>
      </c>
      <c r="U1602" s="38">
        <v>932227000</v>
      </c>
      <c r="V1602" s="21" t="s">
        <v>918</v>
      </c>
      <c r="W1602" s="38">
        <v>932227000</v>
      </c>
      <c r="X1602" s="62">
        <v>1000</v>
      </c>
      <c r="Y1602" s="65" t="s">
        <v>504</v>
      </c>
      <c r="Z1602" s="69">
        <v>932227000</v>
      </c>
      <c r="AA1602" s="67">
        <v>1.4279999999999999E-2</v>
      </c>
      <c r="AB1602" s="46"/>
    </row>
    <row r="1603" spans="1:28" ht="48.2" customHeight="1" x14ac:dyDescent="0.25">
      <c r="A1603" s="17" t="e">
        <f>VLOOKUP(C1603,[1]Werke!$A$1:$C$168,3,0)</f>
        <v>#N/A</v>
      </c>
      <c r="B1603" s="17" t="e">
        <f>VLOOKUP(C1603,[1]Werke!$A$1:$C$168,2,0)</f>
        <v>#N/A</v>
      </c>
      <c r="C1603" s="18"/>
      <c r="D1603" s="17" t="e">
        <f>VLOOKUP(C1603,[1]Maliteslimalan!$A$1:$B$210,2,0)</f>
        <v>#N/A</v>
      </c>
      <c r="E1603" s="19" t="e">
        <f>VLOOKUP(C1603,[1]Bestellnr.!$A$1:$B$174,2,0)</f>
        <v>#N/A</v>
      </c>
      <c r="F1603" s="20" t="e">
        <f t="shared" si="623"/>
        <v>#N/A</v>
      </c>
      <c r="G1603" s="17"/>
      <c r="H1603" s="17" t="e">
        <f t="shared" si="624"/>
        <v>#N/A</v>
      </c>
      <c r="I1603" s="20"/>
      <c r="J1603" s="17" t="e">
        <f t="shared" si="625"/>
        <v>#N/A</v>
      </c>
      <c r="K1603" s="17" t="e">
        <f t="shared" si="626"/>
        <v>#N/A</v>
      </c>
      <c r="L1603" s="22"/>
      <c r="M1603" s="22"/>
      <c r="N1603" s="22"/>
      <c r="O1603" s="22" t="e">
        <f t="shared" si="627"/>
        <v>#N/A</v>
      </c>
      <c r="P1603" s="22">
        <f t="shared" si="628"/>
        <v>0</v>
      </c>
      <c r="Q1603" s="22"/>
      <c r="R1603" s="23"/>
      <c r="S1603" s="22">
        <f t="shared" si="629"/>
        <v>0</v>
      </c>
      <c r="T1603" s="24" t="e">
        <f t="shared" si="630"/>
        <v>#N/A</v>
      </c>
      <c r="U1603" s="38">
        <v>100328300</v>
      </c>
      <c r="V1603" s="21" t="s">
        <v>919</v>
      </c>
      <c r="W1603" s="38">
        <v>100328300</v>
      </c>
      <c r="X1603" s="62">
        <v>1000</v>
      </c>
      <c r="Y1603" s="65" t="s">
        <v>886</v>
      </c>
      <c r="Z1603" s="69">
        <v>100328300</v>
      </c>
      <c r="AA1603" s="67">
        <v>1.1129999999999999E-2</v>
      </c>
      <c r="AB1603" s="46"/>
    </row>
    <row r="1604" spans="1:28" ht="48.2" customHeight="1" x14ac:dyDescent="0.25">
      <c r="A1604" s="17" t="e">
        <f>VLOOKUP(C1604,[1]Werke!$A$1:$C$168,3,0)</f>
        <v>#N/A</v>
      </c>
      <c r="B1604" s="17" t="e">
        <f>VLOOKUP(C1604,[1]Werke!$A$1:$C$168,2,0)</f>
        <v>#N/A</v>
      </c>
      <c r="C1604" s="18"/>
      <c r="D1604" s="17" t="e">
        <f>VLOOKUP(C1604,[1]Maliteslimalan!$A$1:$B$210,2,0)</f>
        <v>#N/A</v>
      </c>
      <c r="E1604" s="19" t="e">
        <f>VLOOKUP(C1604,[1]Bestellnr.!$A$1:$B$174,2,0)</f>
        <v>#N/A</v>
      </c>
      <c r="F1604" s="20" t="e">
        <f t="shared" si="623"/>
        <v>#N/A</v>
      </c>
      <c r="G1604" s="17"/>
      <c r="H1604" s="17" t="e">
        <f t="shared" si="624"/>
        <v>#N/A</v>
      </c>
      <c r="I1604" s="20"/>
      <c r="J1604" s="17" t="e">
        <f t="shared" si="625"/>
        <v>#N/A</v>
      </c>
      <c r="K1604" s="17" t="e">
        <f t="shared" si="626"/>
        <v>#N/A</v>
      </c>
      <c r="L1604" s="22"/>
      <c r="M1604" s="22"/>
      <c r="N1604" s="22"/>
      <c r="O1604" s="22" t="e">
        <f t="shared" si="627"/>
        <v>#N/A</v>
      </c>
      <c r="P1604" s="22">
        <f t="shared" si="628"/>
        <v>0</v>
      </c>
      <c r="Q1604" s="22"/>
      <c r="R1604" s="23"/>
      <c r="S1604" s="22">
        <f t="shared" si="629"/>
        <v>0</v>
      </c>
      <c r="T1604" s="24" t="e">
        <f t="shared" si="630"/>
        <v>#N/A</v>
      </c>
      <c r="U1604" s="27">
        <v>933738000</v>
      </c>
      <c r="V1604" s="42" t="s">
        <v>920</v>
      </c>
      <c r="W1604" s="27">
        <v>933738000</v>
      </c>
      <c r="X1604" s="47">
        <v>300</v>
      </c>
      <c r="Y1604" s="48" t="s">
        <v>921</v>
      </c>
      <c r="Z1604" s="46">
        <v>933738000</v>
      </c>
      <c r="AA1604" s="46">
        <v>3.2199999999999999E-2</v>
      </c>
      <c r="AB1604" s="46"/>
    </row>
    <row r="1605" spans="1:28" ht="48.2" customHeight="1" x14ac:dyDescent="0.25">
      <c r="A1605" s="17" t="e">
        <f>VLOOKUP(C1605,[1]Werke!$A$1:$C$168,3,0)</f>
        <v>#N/A</v>
      </c>
      <c r="B1605" s="17" t="e">
        <f>VLOOKUP(C1605,[1]Werke!$A$1:$C$168,2,0)</f>
        <v>#N/A</v>
      </c>
      <c r="C1605" s="18"/>
      <c r="D1605" s="17" t="e">
        <f>VLOOKUP(C1605,[1]Maliteslimalan!$A$1:$B$210,2,0)</f>
        <v>#N/A</v>
      </c>
      <c r="E1605" s="19" t="e">
        <f>VLOOKUP(C1605,[1]Bestellnr.!$A$1:$B$174,2,0)</f>
        <v>#N/A</v>
      </c>
      <c r="F1605" s="20" t="e">
        <f t="shared" si="623"/>
        <v>#N/A</v>
      </c>
      <c r="G1605" s="17"/>
      <c r="H1605" s="17" t="e">
        <f t="shared" si="624"/>
        <v>#N/A</v>
      </c>
      <c r="I1605" s="20"/>
      <c r="J1605" s="17" t="e">
        <f t="shared" si="625"/>
        <v>#N/A</v>
      </c>
      <c r="K1605" s="17" t="e">
        <f t="shared" si="626"/>
        <v>#N/A</v>
      </c>
      <c r="L1605" s="22"/>
      <c r="M1605" s="22"/>
      <c r="N1605" s="22"/>
      <c r="O1605" s="22" t="e">
        <f t="shared" si="627"/>
        <v>#N/A</v>
      </c>
      <c r="P1605" s="22">
        <f t="shared" si="628"/>
        <v>0</v>
      </c>
      <c r="Q1605" s="22"/>
      <c r="R1605" s="23"/>
      <c r="S1605" s="22">
        <f t="shared" si="629"/>
        <v>0</v>
      </c>
      <c r="T1605" s="24" t="e">
        <f t="shared" si="630"/>
        <v>#N/A</v>
      </c>
      <c r="U1605" s="27">
        <v>110151600</v>
      </c>
      <c r="V1605" s="42" t="s">
        <v>922</v>
      </c>
      <c r="W1605" s="27">
        <v>110151600</v>
      </c>
      <c r="X1605" s="46">
        <v>290</v>
      </c>
      <c r="Y1605" s="48" t="s">
        <v>923</v>
      </c>
      <c r="Z1605" s="46">
        <v>110151600</v>
      </c>
      <c r="AA1605" s="46">
        <v>4.4999999999999998E-2</v>
      </c>
      <c r="AB1605" s="46"/>
    </row>
    <row r="1606" spans="1:28" ht="48.2" customHeight="1" x14ac:dyDescent="0.25">
      <c r="A1606" s="17" t="e">
        <f>VLOOKUP(C1606,[1]Werke!$A$1:$C$168,3,0)</f>
        <v>#N/A</v>
      </c>
      <c r="B1606" s="17" t="e">
        <f>VLOOKUP(C1606,[1]Werke!$A$1:$C$168,2,0)</f>
        <v>#N/A</v>
      </c>
      <c r="C1606" s="18"/>
      <c r="D1606" s="17" t="e">
        <f>VLOOKUP(C1606,[1]Maliteslimalan!$A$1:$B$210,2,0)</f>
        <v>#N/A</v>
      </c>
      <c r="E1606" s="19" t="e">
        <f>VLOOKUP(C1606,[1]Bestellnr.!$A$1:$B$174,2,0)</f>
        <v>#N/A</v>
      </c>
      <c r="F1606" s="20" t="e">
        <f t="shared" si="623"/>
        <v>#N/A</v>
      </c>
      <c r="G1606" s="17"/>
      <c r="H1606" s="17" t="e">
        <f t="shared" si="624"/>
        <v>#N/A</v>
      </c>
      <c r="I1606" s="20"/>
      <c r="J1606" s="17" t="e">
        <f t="shared" si="625"/>
        <v>#N/A</v>
      </c>
      <c r="K1606" s="17" t="e">
        <f t="shared" si="626"/>
        <v>#N/A</v>
      </c>
      <c r="L1606" s="22"/>
      <c r="M1606" s="22"/>
      <c r="N1606" s="22"/>
      <c r="O1606" s="22" t="e">
        <f t="shared" si="627"/>
        <v>#N/A</v>
      </c>
      <c r="P1606" s="22">
        <f t="shared" si="628"/>
        <v>0</v>
      </c>
      <c r="Q1606" s="22"/>
      <c r="R1606" s="23"/>
      <c r="S1606" s="22">
        <f t="shared" si="629"/>
        <v>0</v>
      </c>
      <c r="T1606" s="24" t="e">
        <f t="shared" si="630"/>
        <v>#N/A</v>
      </c>
      <c r="U1606" s="27">
        <v>932225000</v>
      </c>
      <c r="V1606" s="42" t="s">
        <v>924</v>
      </c>
      <c r="W1606" s="27">
        <v>932225000</v>
      </c>
      <c r="X1606" s="46">
        <v>800</v>
      </c>
      <c r="Y1606" s="48" t="s">
        <v>925</v>
      </c>
      <c r="Z1606" s="46">
        <v>932225000</v>
      </c>
      <c r="AA1606" s="46">
        <v>1.323E-2</v>
      </c>
      <c r="AB1606" s="46"/>
    </row>
    <row r="1607" spans="1:28" ht="48.2" customHeight="1" x14ac:dyDescent="0.25">
      <c r="A1607" s="17"/>
      <c r="B1607" s="17"/>
      <c r="C1607" s="18"/>
      <c r="D1607" s="17"/>
      <c r="E1607" s="19"/>
      <c r="F1607" s="20"/>
      <c r="G1607" s="17"/>
      <c r="H1607" s="17"/>
      <c r="I1607" s="20"/>
      <c r="J1607" s="17"/>
      <c r="K1607" s="17"/>
      <c r="L1607" s="22"/>
      <c r="M1607" s="22"/>
      <c r="N1607" s="22"/>
      <c r="O1607" s="22"/>
      <c r="P1607" s="22"/>
      <c r="Q1607" s="22"/>
      <c r="R1607" s="23"/>
      <c r="S1607" s="22"/>
      <c r="T1607" s="71"/>
      <c r="U1607" s="27">
        <v>100548500</v>
      </c>
      <c r="V1607" s="42" t="s">
        <v>926</v>
      </c>
      <c r="W1607" s="27">
        <v>100548500</v>
      </c>
      <c r="X1607" s="46">
        <v>500</v>
      </c>
      <c r="Y1607" s="48" t="s">
        <v>927</v>
      </c>
      <c r="Z1607" s="46">
        <v>100548500</v>
      </c>
      <c r="AA1607" s="46">
        <v>2.3E-2</v>
      </c>
      <c r="AB1607" s="46"/>
    </row>
    <row r="1608" spans="1:28" ht="48.2" customHeight="1" x14ac:dyDescent="0.25">
      <c r="A1608" s="17"/>
      <c r="B1608" s="17"/>
      <c r="C1608" s="18"/>
      <c r="D1608" s="17"/>
      <c r="E1608" s="19"/>
      <c r="F1608" s="20"/>
      <c r="G1608" s="17"/>
      <c r="H1608" s="17"/>
      <c r="I1608" s="20"/>
      <c r="J1608" s="17"/>
      <c r="K1608" s="17"/>
      <c r="L1608" s="22"/>
      <c r="M1608" s="22"/>
      <c r="N1608" s="22"/>
      <c r="O1608" s="22"/>
      <c r="P1608" s="22"/>
      <c r="Q1608" s="22"/>
      <c r="R1608" s="23"/>
      <c r="S1608" s="22"/>
      <c r="T1608" s="71"/>
      <c r="U1608" s="27"/>
    </row>
    <row r="1609" spans="1:28" ht="48.2" customHeight="1" x14ac:dyDescent="0.25">
      <c r="A1609" s="17"/>
      <c r="B1609" s="17"/>
      <c r="C1609" s="18"/>
      <c r="D1609" s="17"/>
      <c r="E1609" s="19"/>
      <c r="F1609" s="20"/>
      <c r="G1609" s="17"/>
      <c r="H1609" s="17"/>
      <c r="I1609" s="20"/>
      <c r="J1609" s="17"/>
      <c r="K1609" s="17"/>
      <c r="L1609" s="22"/>
      <c r="M1609" s="22"/>
      <c r="N1609" s="22"/>
      <c r="O1609" s="22"/>
      <c r="P1609" s="22"/>
      <c r="Q1609" s="22"/>
      <c r="R1609" s="23"/>
      <c r="S1609" s="22"/>
      <c r="T1609" s="71"/>
      <c r="U1609" s="27"/>
    </row>
    <row r="1610" spans="1:28" ht="48.2" customHeight="1" x14ac:dyDescent="0.25">
      <c r="A1610" s="17"/>
      <c r="B1610" s="17"/>
      <c r="C1610" s="18"/>
      <c r="D1610" s="17"/>
      <c r="E1610" s="19"/>
      <c r="F1610" s="20"/>
      <c r="G1610" s="17"/>
      <c r="H1610" s="17"/>
      <c r="I1610" s="20"/>
      <c r="J1610" s="17"/>
      <c r="K1610" s="17"/>
      <c r="L1610" s="22"/>
      <c r="M1610" s="22"/>
      <c r="N1610" s="22"/>
      <c r="O1610" s="22"/>
      <c r="P1610" s="22"/>
      <c r="Q1610" s="22"/>
      <c r="R1610" s="23"/>
      <c r="S1610" s="22"/>
      <c r="T1610" s="71"/>
      <c r="U1610" s="37" t="s">
        <v>356</v>
      </c>
      <c r="V1610" s="42">
        <v>67806000</v>
      </c>
      <c r="W1610" s="37" t="s">
        <v>356</v>
      </c>
    </row>
    <row r="1611" spans="1:28" ht="48.2" customHeight="1" x14ac:dyDescent="0.25">
      <c r="A1611" s="17"/>
      <c r="B1611" s="17"/>
      <c r="C1611" s="18"/>
      <c r="D1611" s="17"/>
      <c r="E1611" s="19"/>
      <c r="F1611" s="20"/>
      <c r="G1611" s="17"/>
      <c r="H1611" s="17"/>
      <c r="I1611" s="20"/>
      <c r="J1611" s="17"/>
      <c r="K1611" s="17"/>
      <c r="L1611" s="22"/>
      <c r="M1611" s="22"/>
      <c r="N1611" s="22"/>
      <c r="O1611" s="22"/>
      <c r="P1611" s="22"/>
      <c r="Q1611" s="22"/>
      <c r="R1611" s="23"/>
      <c r="S1611" s="22"/>
      <c r="T1611" s="71"/>
      <c r="U1611" s="37" t="s">
        <v>928</v>
      </c>
      <c r="V1611" s="42">
        <v>35553000</v>
      </c>
      <c r="W1611" s="37" t="s">
        <v>928</v>
      </c>
    </row>
    <row r="1612" spans="1:28" ht="48.2" customHeight="1" x14ac:dyDescent="0.25">
      <c r="A1612" s="17"/>
      <c r="B1612" s="17"/>
      <c r="C1612" s="18"/>
      <c r="D1612" s="17"/>
      <c r="E1612" s="19"/>
      <c r="F1612" s="20"/>
      <c r="G1612" s="17"/>
      <c r="H1612" s="17"/>
      <c r="I1612" s="20"/>
      <c r="J1612" s="17"/>
      <c r="K1612" s="17"/>
      <c r="L1612" s="22"/>
      <c r="M1612" s="22"/>
      <c r="N1612" s="22"/>
      <c r="O1612" s="22"/>
      <c r="P1612" s="22"/>
      <c r="Q1612" s="22"/>
      <c r="R1612" s="23"/>
      <c r="S1612" s="22"/>
      <c r="T1612" s="71"/>
      <c r="U1612" s="37" t="s">
        <v>365</v>
      </c>
      <c r="V1612" s="42">
        <v>33191000</v>
      </c>
      <c r="W1612" s="37" t="s">
        <v>365</v>
      </c>
    </row>
    <row r="1613" spans="1:28" ht="48.2" customHeight="1" x14ac:dyDescent="0.25">
      <c r="A1613" s="17"/>
      <c r="B1613" s="17"/>
      <c r="C1613" s="18"/>
      <c r="D1613" s="17"/>
      <c r="E1613" s="19"/>
      <c r="F1613" s="20"/>
      <c r="G1613" s="17"/>
      <c r="H1613" s="17"/>
      <c r="I1613" s="20"/>
      <c r="J1613" s="17"/>
      <c r="K1613" s="17"/>
      <c r="L1613" s="22"/>
      <c r="M1613" s="22"/>
      <c r="N1613" s="22"/>
      <c r="O1613" s="22"/>
      <c r="P1613" s="22"/>
      <c r="Q1613" s="22"/>
      <c r="R1613" s="23"/>
      <c r="S1613" s="22"/>
      <c r="T1613" s="71"/>
      <c r="U1613" s="37" t="s">
        <v>368</v>
      </c>
      <c r="V1613" s="42">
        <v>28446000</v>
      </c>
      <c r="W1613" s="37" t="s">
        <v>368</v>
      </c>
    </row>
    <row r="1614" spans="1:28" ht="48.2" customHeight="1" x14ac:dyDescent="0.25">
      <c r="E1614" s="73"/>
      <c r="I1614" s="15"/>
      <c r="J1614" s="15"/>
      <c r="K1614" s="15"/>
      <c r="L1614" s="15"/>
      <c r="M1614" s="15"/>
      <c r="N1614" s="15"/>
      <c r="U1614" s="37" t="s">
        <v>371</v>
      </c>
      <c r="V1614" s="42">
        <v>25194000</v>
      </c>
      <c r="W1614" s="37" t="s">
        <v>371</v>
      </c>
    </row>
    <row r="1615" spans="1:28" ht="48.2" customHeight="1" x14ac:dyDescent="0.25">
      <c r="E1615" s="73"/>
      <c r="I1615" s="15"/>
      <c r="J1615" s="15"/>
      <c r="K1615" s="15"/>
      <c r="L1615" s="15"/>
      <c r="M1615" s="15"/>
      <c r="N1615" s="15"/>
      <c r="U1615" s="37" t="s">
        <v>929</v>
      </c>
      <c r="V1615" s="42">
        <v>25197000</v>
      </c>
      <c r="W1615" s="37" t="s">
        <v>929</v>
      </c>
    </row>
    <row r="1616" spans="1:28" ht="48.2" customHeight="1" x14ac:dyDescent="0.25">
      <c r="E1616" s="73"/>
      <c r="I1616" s="15"/>
      <c r="J1616" s="15"/>
      <c r="K1616" s="15"/>
      <c r="L1616" s="15"/>
      <c r="M1616" s="15"/>
      <c r="N1616" s="15"/>
      <c r="U1616" s="37" t="s">
        <v>377</v>
      </c>
      <c r="V1616" s="42">
        <v>68472001</v>
      </c>
      <c r="W1616" s="37" t="s">
        <v>377</v>
      </c>
    </row>
    <row r="1617" spans="5:25" ht="48.2" customHeight="1" x14ac:dyDescent="0.25">
      <c r="E1617" s="73"/>
      <c r="I1617" s="15"/>
      <c r="J1617" s="15"/>
      <c r="K1617" s="15"/>
      <c r="L1617" s="15"/>
      <c r="M1617" s="15"/>
      <c r="N1617" s="15"/>
      <c r="U1617" s="37" t="s">
        <v>379</v>
      </c>
      <c r="V1617" s="42">
        <v>34637000</v>
      </c>
      <c r="W1617" s="37" t="s">
        <v>379</v>
      </c>
    </row>
    <row r="1618" spans="5:25" ht="48.2" customHeight="1" x14ac:dyDescent="0.25">
      <c r="E1618" s="73"/>
      <c r="I1618" s="15"/>
      <c r="J1618" s="15"/>
      <c r="K1618" s="15"/>
      <c r="L1618" s="15"/>
      <c r="M1618" s="15"/>
      <c r="N1618" s="15"/>
      <c r="U1618" s="37" t="s">
        <v>382</v>
      </c>
      <c r="V1618" s="42">
        <v>24411000</v>
      </c>
      <c r="W1618" s="37" t="s">
        <v>382</v>
      </c>
      <c r="Y1618" s="75"/>
    </row>
    <row r="1619" spans="5:25" ht="48.2" customHeight="1" x14ac:dyDescent="0.25">
      <c r="E1619" s="73"/>
      <c r="I1619" s="15"/>
      <c r="J1619" s="15"/>
      <c r="K1619" s="15"/>
      <c r="L1619" s="15"/>
      <c r="M1619" s="15"/>
      <c r="N1619" s="15"/>
      <c r="U1619" s="37" t="s">
        <v>385</v>
      </c>
      <c r="V1619" s="42">
        <v>68867000</v>
      </c>
      <c r="W1619" s="37" t="s">
        <v>385</v>
      </c>
    </row>
    <row r="1620" spans="5:25" ht="48.2" customHeight="1" x14ac:dyDescent="0.25">
      <c r="E1620" s="73"/>
      <c r="I1620" s="15"/>
      <c r="J1620" s="15"/>
      <c r="K1620" s="15"/>
      <c r="L1620" s="15"/>
      <c r="M1620" s="15"/>
      <c r="N1620" s="15"/>
      <c r="U1620" s="37" t="s">
        <v>388</v>
      </c>
      <c r="V1620" s="42">
        <v>35287000</v>
      </c>
      <c r="W1620" s="37" t="s">
        <v>388</v>
      </c>
    </row>
    <row r="1621" spans="5:25" ht="48.2" customHeight="1" x14ac:dyDescent="0.25">
      <c r="E1621" s="73"/>
      <c r="I1621" s="15"/>
      <c r="J1621" s="15"/>
      <c r="K1621" s="15"/>
      <c r="L1621" s="15"/>
      <c r="M1621" s="15"/>
      <c r="N1621" s="15"/>
      <c r="U1621" s="37" t="s">
        <v>392</v>
      </c>
      <c r="V1621" s="42">
        <v>32240000</v>
      </c>
      <c r="W1621" s="37" t="s">
        <v>392</v>
      </c>
    </row>
    <row r="1622" spans="5:25" ht="48.2" customHeight="1" x14ac:dyDescent="0.25">
      <c r="E1622" s="73"/>
      <c r="I1622" s="15"/>
      <c r="J1622" s="15"/>
      <c r="K1622" s="15"/>
      <c r="L1622" s="15"/>
      <c r="M1622" s="15"/>
      <c r="N1622" s="15"/>
      <c r="U1622" s="37" t="s">
        <v>394</v>
      </c>
      <c r="V1622" s="42">
        <v>69060000</v>
      </c>
      <c r="W1622" s="37" t="s">
        <v>394</v>
      </c>
    </row>
    <row r="1623" spans="5:25" ht="48.2" customHeight="1" x14ac:dyDescent="0.25">
      <c r="E1623" s="73"/>
      <c r="I1623" s="15"/>
      <c r="J1623" s="15"/>
      <c r="K1623" s="15"/>
      <c r="L1623" s="15"/>
      <c r="M1623" s="15"/>
      <c r="N1623" s="15"/>
      <c r="U1623" s="37" t="s">
        <v>396</v>
      </c>
      <c r="V1623" s="42">
        <v>25949000</v>
      </c>
      <c r="W1623" s="37" t="s">
        <v>396</v>
      </c>
    </row>
    <row r="1624" spans="5:25" ht="48.2" customHeight="1" x14ac:dyDescent="0.25">
      <c r="E1624" s="73"/>
      <c r="I1624" s="15"/>
      <c r="J1624" s="15"/>
      <c r="K1624" s="15"/>
      <c r="L1624" s="15"/>
      <c r="M1624" s="15"/>
      <c r="N1624" s="15"/>
      <c r="U1624" s="37" t="s">
        <v>399</v>
      </c>
      <c r="V1624" s="42">
        <v>23520000</v>
      </c>
      <c r="W1624" s="37" t="s">
        <v>399</v>
      </c>
    </row>
    <row r="1625" spans="5:25" ht="48.2" customHeight="1" x14ac:dyDescent="0.25">
      <c r="E1625" s="73"/>
      <c r="I1625" s="15"/>
      <c r="J1625" s="15"/>
      <c r="K1625" s="15"/>
      <c r="L1625" s="15"/>
      <c r="M1625" s="15"/>
      <c r="N1625" s="15"/>
      <c r="U1625" s="37" t="s">
        <v>401</v>
      </c>
      <c r="V1625" s="42">
        <v>24546000</v>
      </c>
      <c r="W1625" s="37" t="s">
        <v>401</v>
      </c>
    </row>
    <row r="1626" spans="5:25" ht="48.2" customHeight="1" x14ac:dyDescent="0.25">
      <c r="E1626" s="73"/>
      <c r="I1626" s="15"/>
      <c r="J1626" s="15"/>
      <c r="K1626" s="15"/>
      <c r="L1626" s="15"/>
      <c r="M1626" s="15"/>
      <c r="N1626" s="15"/>
      <c r="U1626" s="37" t="s">
        <v>404</v>
      </c>
      <c r="V1626" s="42">
        <v>33739000</v>
      </c>
      <c r="W1626" s="37" t="s">
        <v>404</v>
      </c>
    </row>
    <row r="1627" spans="5:25" ht="48.2" customHeight="1" x14ac:dyDescent="0.25">
      <c r="E1627" s="73"/>
      <c r="I1627" s="15"/>
      <c r="J1627" s="15"/>
      <c r="K1627" s="15"/>
      <c r="L1627" s="15"/>
      <c r="M1627" s="15"/>
      <c r="N1627" s="15"/>
      <c r="U1627" s="37" t="s">
        <v>407</v>
      </c>
      <c r="V1627" s="42">
        <v>24151000</v>
      </c>
      <c r="W1627" s="37" t="s">
        <v>407</v>
      </c>
    </row>
    <row r="1628" spans="5:25" ht="48.2" customHeight="1" x14ac:dyDescent="0.25">
      <c r="E1628" s="73"/>
      <c r="I1628" s="15"/>
      <c r="J1628" s="15"/>
      <c r="K1628" s="15"/>
      <c r="L1628" s="15"/>
      <c r="M1628" s="15"/>
      <c r="N1628" s="15"/>
      <c r="U1628" s="37" t="s">
        <v>410</v>
      </c>
      <c r="V1628" s="42">
        <v>30802000</v>
      </c>
      <c r="W1628" s="37" t="s">
        <v>410</v>
      </c>
    </row>
    <row r="1629" spans="5:25" ht="48.2" customHeight="1" x14ac:dyDescent="0.25">
      <c r="E1629" s="73"/>
      <c r="I1629" s="15"/>
      <c r="J1629" s="15"/>
      <c r="K1629" s="15"/>
      <c r="L1629" s="15"/>
      <c r="M1629" s="15"/>
      <c r="N1629" s="15"/>
      <c r="U1629" s="37" t="s">
        <v>413</v>
      </c>
      <c r="V1629" s="42">
        <v>24840000</v>
      </c>
      <c r="W1629" s="37" t="s">
        <v>413</v>
      </c>
    </row>
    <row r="1630" spans="5:25" ht="48.2" customHeight="1" x14ac:dyDescent="0.25">
      <c r="E1630" s="73"/>
      <c r="I1630" s="15"/>
      <c r="J1630" s="15"/>
      <c r="K1630" s="15"/>
      <c r="L1630" s="15"/>
      <c r="M1630" s="15"/>
      <c r="N1630" s="15"/>
      <c r="U1630" s="37" t="s">
        <v>416</v>
      </c>
      <c r="V1630" s="42">
        <v>25668000</v>
      </c>
      <c r="W1630" s="37" t="s">
        <v>416</v>
      </c>
    </row>
    <row r="1631" spans="5:25" ht="48.2" customHeight="1" x14ac:dyDescent="0.25">
      <c r="E1631" s="73"/>
      <c r="I1631" s="15"/>
      <c r="J1631" s="15"/>
      <c r="K1631" s="15"/>
      <c r="L1631" s="15"/>
      <c r="M1631" s="15"/>
      <c r="N1631" s="15"/>
      <c r="U1631" s="37" t="s">
        <v>420</v>
      </c>
      <c r="V1631" s="42">
        <v>26128000</v>
      </c>
      <c r="W1631" s="37" t="s">
        <v>420</v>
      </c>
    </row>
    <row r="1632" spans="5:25" ht="48.2" customHeight="1" x14ac:dyDescent="0.25">
      <c r="E1632" s="73"/>
      <c r="I1632" s="15"/>
      <c r="J1632" s="15"/>
      <c r="K1632" s="15"/>
      <c r="L1632" s="15"/>
      <c r="M1632" s="15"/>
      <c r="N1632" s="15"/>
      <c r="U1632" s="37" t="s">
        <v>423</v>
      </c>
      <c r="V1632" s="42">
        <v>36101000</v>
      </c>
      <c r="W1632" s="37" t="s">
        <v>423</v>
      </c>
    </row>
    <row r="1633" spans="5:23" ht="48.2" customHeight="1" x14ac:dyDescent="0.25">
      <c r="E1633" s="73"/>
      <c r="I1633" s="15"/>
      <c r="J1633" s="15"/>
      <c r="K1633" s="15"/>
      <c r="L1633" s="15"/>
      <c r="M1633" s="15"/>
      <c r="N1633" s="15"/>
      <c r="U1633" s="37" t="s">
        <v>426</v>
      </c>
      <c r="V1633" s="42">
        <v>28032000</v>
      </c>
      <c r="W1633" s="37" t="s">
        <v>426</v>
      </c>
    </row>
    <row r="1634" spans="5:23" ht="48.2" customHeight="1" x14ac:dyDescent="0.25">
      <c r="E1634" s="73"/>
      <c r="I1634" s="15"/>
      <c r="J1634" s="15"/>
      <c r="K1634" s="15"/>
      <c r="L1634" s="15"/>
      <c r="M1634" s="15"/>
      <c r="N1634" s="15"/>
      <c r="U1634" s="37" t="s">
        <v>429</v>
      </c>
      <c r="V1634" s="42">
        <v>33879000</v>
      </c>
      <c r="W1634" s="37" t="s">
        <v>429</v>
      </c>
    </row>
    <row r="1635" spans="5:23" ht="48.2" customHeight="1" x14ac:dyDescent="0.25">
      <c r="E1635" s="73"/>
      <c r="I1635" s="15"/>
      <c r="J1635" s="15"/>
      <c r="K1635" s="15"/>
      <c r="L1635" s="15"/>
      <c r="M1635" s="15"/>
      <c r="N1635" s="15"/>
      <c r="U1635" s="37" t="s">
        <v>432</v>
      </c>
      <c r="V1635" s="42">
        <v>32883000</v>
      </c>
      <c r="W1635" s="37" t="s">
        <v>432</v>
      </c>
    </row>
    <row r="1636" spans="5:23" ht="48.2" customHeight="1" x14ac:dyDescent="0.25">
      <c r="E1636" s="73"/>
      <c r="I1636" s="15"/>
      <c r="J1636" s="15"/>
      <c r="K1636" s="15"/>
      <c r="L1636" s="15"/>
      <c r="M1636" s="15"/>
      <c r="N1636" s="15"/>
      <c r="U1636" s="37" t="s">
        <v>434</v>
      </c>
      <c r="V1636" s="42">
        <v>35958000</v>
      </c>
      <c r="W1636" s="37" t="s">
        <v>434</v>
      </c>
    </row>
    <row r="1637" spans="5:23" ht="48.2" customHeight="1" x14ac:dyDescent="0.25">
      <c r="E1637" s="73"/>
      <c r="I1637" s="15"/>
      <c r="J1637" s="15"/>
      <c r="K1637" s="15"/>
      <c r="L1637" s="15"/>
      <c r="M1637" s="15"/>
      <c r="N1637" s="15"/>
      <c r="U1637" s="37" t="s">
        <v>436</v>
      </c>
      <c r="V1637" s="42">
        <v>37627000</v>
      </c>
      <c r="W1637" s="37" t="s">
        <v>436</v>
      </c>
    </row>
    <row r="1638" spans="5:23" ht="48.2" customHeight="1" x14ac:dyDescent="0.25">
      <c r="E1638" s="73"/>
      <c r="I1638" s="15"/>
      <c r="J1638" s="15"/>
      <c r="K1638" s="15"/>
      <c r="L1638" s="15"/>
      <c r="M1638" s="15"/>
      <c r="N1638" s="15"/>
      <c r="U1638" s="37" t="s">
        <v>445</v>
      </c>
      <c r="V1638" s="42">
        <v>40315000</v>
      </c>
      <c r="W1638" s="37" t="s">
        <v>445</v>
      </c>
    </row>
    <row r="1639" spans="5:23" ht="48.2" customHeight="1" x14ac:dyDescent="0.25">
      <c r="E1639" s="73"/>
      <c r="I1639" s="15"/>
      <c r="J1639" s="15"/>
      <c r="K1639" s="15"/>
      <c r="L1639" s="15"/>
      <c r="M1639" s="15"/>
      <c r="N1639" s="15"/>
      <c r="U1639" s="37" t="s">
        <v>448</v>
      </c>
      <c r="V1639" s="42">
        <v>100149000</v>
      </c>
      <c r="W1639" s="37" t="s">
        <v>448</v>
      </c>
    </row>
    <row r="1640" spans="5:23" ht="48.2" customHeight="1" x14ac:dyDescent="0.25">
      <c r="E1640" s="73"/>
      <c r="I1640" s="15"/>
      <c r="J1640" s="15"/>
      <c r="K1640" s="15"/>
      <c r="L1640" s="15"/>
      <c r="M1640" s="15"/>
      <c r="N1640" s="15"/>
      <c r="U1640" s="37" t="s">
        <v>450</v>
      </c>
      <c r="V1640" s="42">
        <v>37273000</v>
      </c>
      <c r="W1640" s="37" t="s">
        <v>450</v>
      </c>
    </row>
    <row r="1641" spans="5:23" ht="48.2" customHeight="1" x14ac:dyDescent="0.25">
      <c r="E1641" s="73"/>
      <c r="I1641" s="15"/>
      <c r="J1641" s="15"/>
      <c r="K1641" s="15"/>
      <c r="L1641" s="15"/>
      <c r="M1641" s="15"/>
      <c r="N1641" s="15"/>
      <c r="U1641" s="37" t="s">
        <v>452</v>
      </c>
      <c r="V1641" s="42">
        <v>40328000</v>
      </c>
      <c r="W1641" s="37" t="s">
        <v>452</v>
      </c>
    </row>
    <row r="1642" spans="5:23" ht="48.2" customHeight="1" x14ac:dyDescent="0.25">
      <c r="E1642" s="73"/>
      <c r="I1642" s="15"/>
      <c r="J1642" s="15"/>
      <c r="K1642" s="15"/>
      <c r="L1642" s="15"/>
      <c r="M1642" s="15"/>
      <c r="N1642" s="15"/>
      <c r="U1642" s="37" t="s">
        <v>454</v>
      </c>
      <c r="V1642" s="42">
        <v>67156000</v>
      </c>
      <c r="W1642" s="37" t="s">
        <v>454</v>
      </c>
    </row>
    <row r="1643" spans="5:23" ht="48.2" customHeight="1" x14ac:dyDescent="0.25">
      <c r="E1643" s="73"/>
      <c r="I1643" s="15"/>
      <c r="J1643" s="15"/>
      <c r="K1643" s="15"/>
      <c r="L1643" s="15"/>
      <c r="M1643" s="15"/>
      <c r="N1643" s="15"/>
      <c r="U1643" s="37" t="s">
        <v>456</v>
      </c>
      <c r="V1643" s="42">
        <v>67230000</v>
      </c>
      <c r="W1643" s="37" t="s">
        <v>456</v>
      </c>
    </row>
    <row r="1644" spans="5:23" ht="48.2" customHeight="1" x14ac:dyDescent="0.25">
      <c r="E1644" s="73"/>
      <c r="I1644" s="15"/>
      <c r="J1644" s="15"/>
      <c r="K1644" s="15"/>
      <c r="L1644" s="15"/>
      <c r="M1644" s="15"/>
      <c r="N1644" s="15"/>
      <c r="U1644" s="37" t="s">
        <v>463</v>
      </c>
      <c r="V1644" s="42">
        <v>69061000</v>
      </c>
      <c r="W1644" s="37" t="s">
        <v>463</v>
      </c>
    </row>
    <row r="1645" spans="5:23" ht="48.2" customHeight="1" x14ac:dyDescent="0.25">
      <c r="E1645" s="73"/>
      <c r="I1645" s="15"/>
      <c r="J1645" s="15"/>
      <c r="K1645" s="15"/>
      <c r="L1645" s="15"/>
      <c r="M1645" s="15"/>
      <c r="N1645" s="15"/>
      <c r="U1645" s="37" t="s">
        <v>465</v>
      </c>
      <c r="V1645" s="42">
        <v>26080000</v>
      </c>
      <c r="W1645" s="37" t="s">
        <v>465</v>
      </c>
    </row>
    <row r="1646" spans="5:23" ht="48.2" customHeight="1" x14ac:dyDescent="0.25">
      <c r="E1646" s="73"/>
      <c r="I1646" s="15"/>
      <c r="J1646" s="15"/>
      <c r="K1646" s="15"/>
      <c r="L1646" s="15"/>
      <c r="M1646" s="15"/>
      <c r="N1646" s="15"/>
      <c r="U1646" s="37" t="s">
        <v>467</v>
      </c>
      <c r="V1646" s="42">
        <v>37292000</v>
      </c>
      <c r="W1646" s="37" t="s">
        <v>467</v>
      </c>
    </row>
    <row r="1647" spans="5:23" ht="48.2" customHeight="1" x14ac:dyDescent="0.25">
      <c r="E1647" s="73"/>
      <c r="I1647" s="15"/>
      <c r="J1647" s="15"/>
      <c r="K1647" s="15"/>
      <c r="L1647" s="15"/>
      <c r="M1647" s="15"/>
      <c r="N1647" s="15"/>
      <c r="U1647" s="37" t="s">
        <v>474</v>
      </c>
      <c r="V1647" s="42">
        <v>35846000</v>
      </c>
      <c r="W1647" s="37" t="s">
        <v>474</v>
      </c>
    </row>
    <row r="1648" spans="5:23" ht="48.2" customHeight="1" x14ac:dyDescent="0.25">
      <c r="E1648" s="73"/>
      <c r="I1648" s="15"/>
      <c r="J1648" s="15"/>
      <c r="K1648" s="15"/>
      <c r="L1648" s="15"/>
      <c r="M1648" s="15"/>
      <c r="N1648" s="15"/>
      <c r="U1648" s="37" t="s">
        <v>476</v>
      </c>
      <c r="V1648" s="42">
        <v>32972000</v>
      </c>
      <c r="W1648" s="37" t="s">
        <v>476</v>
      </c>
    </row>
    <row r="1649" spans="5:23" ht="48.2" customHeight="1" x14ac:dyDescent="0.25">
      <c r="E1649" s="73"/>
      <c r="I1649" s="15"/>
      <c r="J1649" s="15"/>
      <c r="K1649" s="15"/>
      <c r="L1649" s="15"/>
      <c r="M1649" s="15"/>
      <c r="N1649" s="15"/>
      <c r="U1649" s="37" t="s">
        <v>481</v>
      </c>
      <c r="V1649" s="42">
        <v>69062000</v>
      </c>
      <c r="W1649" s="37" t="s">
        <v>481</v>
      </c>
    </row>
    <row r="1650" spans="5:23" ht="48.2" customHeight="1" x14ac:dyDescent="0.25">
      <c r="E1650" s="73"/>
      <c r="I1650" s="15"/>
      <c r="J1650" s="15"/>
      <c r="K1650" s="15"/>
      <c r="L1650" s="15"/>
      <c r="M1650" s="15"/>
      <c r="N1650" s="15"/>
      <c r="U1650" s="37" t="s">
        <v>483</v>
      </c>
      <c r="V1650" s="42">
        <v>69063000</v>
      </c>
      <c r="W1650" s="37" t="s">
        <v>483</v>
      </c>
    </row>
    <row r="1651" spans="5:23" ht="48.2" customHeight="1" x14ac:dyDescent="0.25">
      <c r="E1651" s="73"/>
      <c r="I1651" s="15"/>
      <c r="J1651" s="15"/>
      <c r="K1651" s="15"/>
      <c r="L1651" s="15"/>
      <c r="M1651" s="15"/>
      <c r="N1651" s="15"/>
      <c r="U1651" s="37" t="s">
        <v>486</v>
      </c>
      <c r="V1651" s="42">
        <v>33880000</v>
      </c>
      <c r="W1651" s="37" t="s">
        <v>486</v>
      </c>
    </row>
    <row r="1652" spans="5:23" ht="48.2" customHeight="1" x14ac:dyDescent="0.25">
      <c r="E1652" s="73"/>
      <c r="I1652" s="15"/>
      <c r="J1652" s="15"/>
      <c r="K1652" s="15"/>
      <c r="L1652" s="15"/>
      <c r="M1652" s="15"/>
      <c r="N1652" s="15"/>
      <c r="U1652" s="37" t="s">
        <v>488</v>
      </c>
      <c r="V1652" s="42">
        <v>23518000</v>
      </c>
      <c r="W1652" s="37" t="s">
        <v>488</v>
      </c>
    </row>
    <row r="1653" spans="5:23" ht="48.2" customHeight="1" x14ac:dyDescent="0.25">
      <c r="E1653" s="73"/>
      <c r="I1653" s="15"/>
      <c r="J1653" s="15"/>
      <c r="K1653" s="15"/>
      <c r="L1653" s="15"/>
      <c r="M1653" s="15"/>
      <c r="N1653" s="15"/>
      <c r="U1653" s="37" t="s">
        <v>492</v>
      </c>
      <c r="V1653" s="42">
        <v>66796000</v>
      </c>
      <c r="W1653" s="37" t="s">
        <v>492</v>
      </c>
    </row>
    <row r="1654" spans="5:23" ht="48.2" customHeight="1" x14ac:dyDescent="0.25">
      <c r="E1654" s="73"/>
      <c r="I1654" s="15"/>
      <c r="J1654" s="15"/>
      <c r="K1654" s="15"/>
      <c r="L1654" s="15"/>
      <c r="M1654" s="15"/>
      <c r="N1654" s="15"/>
      <c r="U1654" s="37" t="s">
        <v>495</v>
      </c>
      <c r="V1654" s="42">
        <v>36539000</v>
      </c>
      <c r="W1654" s="37" t="s">
        <v>495</v>
      </c>
    </row>
    <row r="1655" spans="5:23" ht="48.2" customHeight="1" x14ac:dyDescent="0.25">
      <c r="E1655" s="73"/>
      <c r="I1655" s="15"/>
      <c r="J1655" s="15"/>
      <c r="K1655" s="15"/>
      <c r="L1655" s="15"/>
      <c r="M1655" s="15"/>
      <c r="N1655" s="15"/>
      <c r="U1655" s="37" t="s">
        <v>497</v>
      </c>
      <c r="V1655" s="42">
        <v>23519000</v>
      </c>
      <c r="W1655" s="37" t="s">
        <v>497</v>
      </c>
    </row>
    <row r="1656" spans="5:23" ht="48.2" customHeight="1" x14ac:dyDescent="0.25">
      <c r="E1656" s="73"/>
      <c r="I1656" s="15"/>
      <c r="J1656" s="15"/>
      <c r="K1656" s="15"/>
      <c r="L1656" s="15"/>
      <c r="M1656" s="15"/>
      <c r="N1656" s="15"/>
      <c r="U1656" s="37" t="s">
        <v>930</v>
      </c>
      <c r="V1656" s="42">
        <v>32337000</v>
      </c>
      <c r="W1656" s="37" t="s">
        <v>930</v>
      </c>
    </row>
    <row r="1657" spans="5:23" ht="48.2" customHeight="1" x14ac:dyDescent="0.25">
      <c r="E1657" s="73"/>
      <c r="I1657" s="15"/>
      <c r="J1657" s="15"/>
      <c r="K1657" s="15"/>
      <c r="L1657" s="15"/>
      <c r="M1657" s="15"/>
      <c r="N1657" s="15"/>
      <c r="U1657" s="37" t="s">
        <v>501</v>
      </c>
      <c r="V1657" s="42">
        <v>32226000</v>
      </c>
      <c r="W1657" s="37" t="s">
        <v>501</v>
      </c>
    </row>
    <row r="1658" spans="5:23" ht="48.2" customHeight="1" x14ac:dyDescent="0.25">
      <c r="E1658" s="73"/>
      <c r="I1658" s="15"/>
      <c r="J1658" s="15"/>
      <c r="K1658" s="15"/>
      <c r="L1658" s="15"/>
      <c r="M1658" s="15"/>
      <c r="N1658" s="15"/>
      <c r="U1658" s="37" t="s">
        <v>503</v>
      </c>
      <c r="V1658" s="42">
        <v>32227000</v>
      </c>
      <c r="W1658" s="37" t="s">
        <v>503</v>
      </c>
    </row>
    <row r="1659" spans="5:23" ht="48.2" customHeight="1" x14ac:dyDescent="0.25">
      <c r="E1659" s="73"/>
      <c r="I1659" s="15"/>
      <c r="J1659" s="15"/>
      <c r="K1659" s="15"/>
      <c r="L1659" s="15"/>
      <c r="M1659" s="15"/>
      <c r="N1659" s="15"/>
      <c r="U1659" s="37" t="s">
        <v>532</v>
      </c>
      <c r="V1659" s="42">
        <v>68138000</v>
      </c>
      <c r="W1659" s="37" t="s">
        <v>532</v>
      </c>
    </row>
    <row r="1660" spans="5:23" ht="48.2" customHeight="1" x14ac:dyDescent="0.25">
      <c r="E1660" s="73"/>
      <c r="I1660" s="15"/>
      <c r="J1660" s="15"/>
      <c r="K1660" s="15"/>
      <c r="L1660" s="15"/>
      <c r="M1660" s="15"/>
      <c r="N1660" s="15"/>
      <c r="U1660" s="37" t="s">
        <v>534</v>
      </c>
      <c r="V1660" s="42">
        <v>33036000</v>
      </c>
      <c r="W1660" s="37" t="s">
        <v>534</v>
      </c>
    </row>
    <row r="1661" spans="5:23" ht="48.2" customHeight="1" x14ac:dyDescent="0.25">
      <c r="E1661" s="73"/>
      <c r="I1661" s="15"/>
      <c r="J1661" s="15"/>
      <c r="K1661" s="15"/>
      <c r="L1661" s="15"/>
      <c r="M1661" s="15"/>
      <c r="N1661" s="15"/>
      <c r="U1661" s="37" t="s">
        <v>536</v>
      </c>
      <c r="V1661" s="42">
        <v>33025000</v>
      </c>
      <c r="W1661" s="37" t="s">
        <v>536</v>
      </c>
    </row>
    <row r="1662" spans="5:23" ht="48.2" customHeight="1" x14ac:dyDescent="0.25">
      <c r="E1662" s="73"/>
      <c r="I1662" s="15"/>
      <c r="J1662" s="15"/>
      <c r="K1662" s="15"/>
      <c r="L1662" s="15"/>
      <c r="M1662" s="15"/>
      <c r="N1662" s="15"/>
      <c r="U1662" s="37" t="s">
        <v>538</v>
      </c>
      <c r="V1662" s="42">
        <v>32228000</v>
      </c>
      <c r="W1662" s="37" t="s">
        <v>538</v>
      </c>
    </row>
    <row r="1663" spans="5:23" ht="48.2" customHeight="1" x14ac:dyDescent="0.25">
      <c r="E1663" s="73"/>
      <c r="I1663" s="15"/>
      <c r="J1663" s="15"/>
      <c r="K1663" s="15"/>
      <c r="L1663" s="15"/>
      <c r="M1663" s="15"/>
      <c r="N1663" s="15"/>
      <c r="U1663" s="37" t="s">
        <v>540</v>
      </c>
      <c r="V1663" s="42">
        <v>25198000</v>
      </c>
      <c r="W1663" s="37" t="s">
        <v>540</v>
      </c>
    </row>
    <row r="1664" spans="5:23" ht="48.2" customHeight="1" x14ac:dyDescent="0.25">
      <c r="E1664" s="73"/>
      <c r="I1664" s="15"/>
      <c r="J1664" s="15"/>
      <c r="K1664" s="15"/>
      <c r="L1664" s="15"/>
      <c r="M1664" s="15"/>
      <c r="N1664" s="15"/>
      <c r="U1664" s="37" t="s">
        <v>542</v>
      </c>
      <c r="V1664" s="42">
        <v>35956000</v>
      </c>
      <c r="W1664" s="37" t="s">
        <v>542</v>
      </c>
    </row>
    <row r="1665" spans="5:23" ht="48.2" customHeight="1" x14ac:dyDescent="0.25">
      <c r="E1665" s="73"/>
      <c r="I1665" s="15"/>
      <c r="J1665" s="15"/>
      <c r="K1665" s="15"/>
      <c r="L1665" s="15"/>
      <c r="M1665" s="15"/>
      <c r="N1665" s="15"/>
      <c r="U1665" s="37" t="s">
        <v>586</v>
      </c>
      <c r="V1665" s="42">
        <v>32803000</v>
      </c>
      <c r="W1665" s="37" t="s">
        <v>586</v>
      </c>
    </row>
    <row r="1666" spans="5:23" ht="48.2" customHeight="1" x14ac:dyDescent="0.25">
      <c r="E1666" s="73"/>
      <c r="I1666" s="15"/>
      <c r="J1666" s="15"/>
      <c r="K1666" s="15"/>
      <c r="L1666" s="15"/>
      <c r="M1666" s="15"/>
      <c r="N1666" s="15"/>
      <c r="U1666" s="37" t="s">
        <v>588</v>
      </c>
      <c r="V1666" s="42">
        <v>30730000</v>
      </c>
      <c r="W1666" s="37" t="s">
        <v>588</v>
      </c>
    </row>
    <row r="1667" spans="5:23" ht="48.2" customHeight="1" x14ac:dyDescent="0.25">
      <c r="E1667" s="73"/>
      <c r="I1667" s="15"/>
      <c r="J1667" s="15"/>
      <c r="K1667" s="15"/>
      <c r="L1667" s="15"/>
      <c r="M1667" s="15"/>
      <c r="N1667" s="15"/>
      <c r="U1667" s="37" t="s">
        <v>590</v>
      </c>
      <c r="V1667" s="42">
        <v>30789003</v>
      </c>
      <c r="W1667" s="37" t="s">
        <v>590</v>
      </c>
    </row>
    <row r="1668" spans="5:23" ht="48.2" customHeight="1" x14ac:dyDescent="0.25">
      <c r="E1668" s="73"/>
      <c r="I1668" s="15"/>
      <c r="J1668" s="15"/>
      <c r="K1668" s="15"/>
      <c r="L1668" s="15"/>
      <c r="M1668" s="15"/>
      <c r="N1668" s="15"/>
      <c r="U1668" s="37" t="s">
        <v>517</v>
      </c>
      <c r="V1668" s="42">
        <v>31781000</v>
      </c>
      <c r="W1668" s="37" t="s">
        <v>517</v>
      </c>
    </row>
    <row r="1669" spans="5:23" ht="48.2" customHeight="1" x14ac:dyDescent="0.25">
      <c r="E1669" s="73"/>
      <c r="I1669" s="15"/>
      <c r="J1669" s="15"/>
      <c r="K1669" s="15"/>
      <c r="L1669" s="15"/>
      <c r="M1669" s="15"/>
      <c r="N1669" s="15"/>
      <c r="U1669" s="37" t="s">
        <v>593</v>
      </c>
      <c r="V1669" s="42">
        <v>36769000</v>
      </c>
      <c r="W1669" s="37" t="s">
        <v>593</v>
      </c>
    </row>
    <row r="1670" spans="5:23" ht="48.2" customHeight="1" x14ac:dyDescent="0.25">
      <c r="E1670" s="73"/>
      <c r="I1670" s="15"/>
      <c r="J1670" s="15"/>
      <c r="K1670" s="15"/>
      <c r="L1670" s="15"/>
      <c r="M1670" s="15"/>
      <c r="N1670" s="15"/>
      <c r="U1670" s="37" t="s">
        <v>595</v>
      </c>
      <c r="V1670" s="42">
        <v>32125000</v>
      </c>
      <c r="W1670" s="37" t="s">
        <v>595</v>
      </c>
    </row>
    <row r="1671" spans="5:23" ht="48.2" customHeight="1" x14ac:dyDescent="0.25">
      <c r="E1671" s="73"/>
      <c r="I1671" s="15"/>
      <c r="J1671" s="15"/>
      <c r="K1671" s="15"/>
      <c r="L1671" s="15"/>
      <c r="M1671" s="15"/>
      <c r="N1671" s="15"/>
      <c r="U1671" s="37" t="s">
        <v>597</v>
      </c>
      <c r="V1671" s="42">
        <v>68160000</v>
      </c>
      <c r="W1671" s="37" t="s">
        <v>597</v>
      </c>
    </row>
    <row r="1672" spans="5:23" ht="48.2" customHeight="1" x14ac:dyDescent="0.25">
      <c r="E1672" s="73"/>
      <c r="I1672" s="15"/>
      <c r="J1672" s="15"/>
      <c r="K1672" s="15"/>
      <c r="L1672" s="15"/>
      <c r="M1672" s="15"/>
      <c r="N1672" s="15"/>
      <c r="U1672" s="37" t="s">
        <v>599</v>
      </c>
      <c r="V1672" s="42">
        <v>32595000</v>
      </c>
      <c r="W1672" s="37" t="s">
        <v>599</v>
      </c>
    </row>
    <row r="1673" spans="5:23" ht="48.2" customHeight="1" x14ac:dyDescent="0.25">
      <c r="E1673" s="73"/>
      <c r="I1673" s="15"/>
      <c r="J1673" s="15"/>
      <c r="K1673" s="15"/>
      <c r="L1673" s="15"/>
      <c r="M1673" s="15"/>
      <c r="N1673" s="15"/>
      <c r="U1673" s="37" t="s">
        <v>601</v>
      </c>
      <c r="V1673" s="42">
        <v>32764000</v>
      </c>
      <c r="W1673" s="37" t="s">
        <v>601</v>
      </c>
    </row>
    <row r="1674" spans="5:23" ht="48.2" customHeight="1" x14ac:dyDescent="0.25">
      <c r="E1674" s="73"/>
      <c r="I1674" s="15"/>
      <c r="J1674" s="15"/>
      <c r="K1674" s="15"/>
      <c r="L1674" s="15"/>
      <c r="M1674" s="15"/>
      <c r="N1674" s="15"/>
      <c r="U1674" s="37" t="s">
        <v>603</v>
      </c>
      <c r="V1674" s="42">
        <v>39633000</v>
      </c>
      <c r="W1674" s="37" t="s">
        <v>603</v>
      </c>
    </row>
    <row r="1675" spans="5:23" ht="48.2" customHeight="1" x14ac:dyDescent="0.25">
      <c r="E1675" s="73"/>
      <c r="I1675" s="15"/>
      <c r="J1675" s="15"/>
      <c r="K1675" s="15"/>
      <c r="L1675" s="15"/>
      <c r="M1675" s="15"/>
      <c r="N1675" s="15"/>
      <c r="U1675" s="37" t="s">
        <v>605</v>
      </c>
      <c r="V1675" s="42">
        <v>32885000</v>
      </c>
      <c r="W1675" s="37" t="s">
        <v>605</v>
      </c>
    </row>
    <row r="1676" spans="5:23" ht="48.2" customHeight="1" x14ac:dyDescent="0.25">
      <c r="E1676" s="73"/>
      <c r="I1676" s="15"/>
      <c r="J1676" s="15"/>
      <c r="K1676" s="15"/>
      <c r="L1676" s="15"/>
      <c r="M1676" s="15"/>
      <c r="N1676" s="15"/>
      <c r="U1676" s="37" t="s">
        <v>607</v>
      </c>
      <c r="V1676" s="42">
        <v>32765000</v>
      </c>
      <c r="W1676" s="37" t="s">
        <v>607</v>
      </c>
    </row>
    <row r="1677" spans="5:23" ht="48.2" customHeight="1" x14ac:dyDescent="0.25">
      <c r="E1677" s="73"/>
      <c r="I1677" s="15"/>
      <c r="J1677" s="15"/>
      <c r="K1677" s="15"/>
      <c r="L1677" s="15"/>
      <c r="M1677" s="15"/>
      <c r="N1677" s="15"/>
      <c r="U1677" s="37" t="s">
        <v>609</v>
      </c>
      <c r="V1677" s="42">
        <v>34590000</v>
      </c>
      <c r="W1677" s="37" t="s">
        <v>609</v>
      </c>
    </row>
    <row r="1678" spans="5:23" ht="48.2" customHeight="1" x14ac:dyDescent="0.25">
      <c r="E1678" s="73"/>
      <c r="I1678" s="15"/>
      <c r="J1678" s="15"/>
      <c r="K1678" s="15"/>
      <c r="L1678" s="15"/>
      <c r="M1678" s="15"/>
      <c r="N1678" s="15"/>
      <c r="U1678" s="37" t="s">
        <v>611</v>
      </c>
      <c r="V1678" s="42">
        <v>36010001</v>
      </c>
      <c r="W1678" s="37" t="s">
        <v>611</v>
      </c>
    </row>
    <row r="1679" spans="5:23" ht="48.2" customHeight="1" x14ac:dyDescent="0.25">
      <c r="E1679" s="73"/>
      <c r="I1679" s="15"/>
      <c r="J1679" s="15"/>
      <c r="K1679" s="15"/>
      <c r="L1679" s="15"/>
      <c r="M1679" s="15"/>
      <c r="N1679" s="15"/>
      <c r="U1679" s="37" t="s">
        <v>613</v>
      </c>
      <c r="V1679" s="42">
        <v>36428000</v>
      </c>
      <c r="W1679" s="37" t="s">
        <v>613</v>
      </c>
    </row>
    <row r="1680" spans="5:23" ht="48.2" customHeight="1" x14ac:dyDescent="0.25">
      <c r="E1680" s="73"/>
      <c r="I1680" s="15"/>
      <c r="J1680" s="15"/>
      <c r="K1680" s="15"/>
      <c r="L1680" s="15"/>
      <c r="M1680" s="15"/>
      <c r="N1680" s="15"/>
      <c r="U1680" s="37" t="s">
        <v>616</v>
      </c>
      <c r="V1680" s="42">
        <v>39495000</v>
      </c>
      <c r="W1680" s="37" t="s">
        <v>616</v>
      </c>
    </row>
    <row r="1681" spans="5:23" ht="48.2" customHeight="1" x14ac:dyDescent="0.25">
      <c r="E1681" s="73"/>
      <c r="I1681" s="15"/>
      <c r="J1681" s="15"/>
      <c r="K1681" s="15"/>
      <c r="L1681" s="15"/>
      <c r="M1681" s="15"/>
      <c r="N1681" s="15"/>
      <c r="U1681" s="37" t="s">
        <v>619</v>
      </c>
      <c r="V1681" s="42">
        <v>69196000</v>
      </c>
      <c r="W1681" s="37" t="s">
        <v>619</v>
      </c>
    </row>
    <row r="1682" spans="5:23" ht="48.2" customHeight="1" x14ac:dyDescent="0.25">
      <c r="E1682" s="73"/>
      <c r="I1682" s="15"/>
      <c r="J1682" s="15"/>
      <c r="K1682" s="15"/>
      <c r="L1682" s="15"/>
      <c r="M1682" s="15"/>
      <c r="N1682" s="15"/>
      <c r="U1682" s="37" t="s">
        <v>621</v>
      </c>
      <c r="V1682" s="42">
        <v>36562000</v>
      </c>
      <c r="W1682" s="37" t="s">
        <v>621</v>
      </c>
    </row>
    <row r="1683" spans="5:23" ht="48.2" customHeight="1" x14ac:dyDescent="0.25">
      <c r="E1683" s="73"/>
      <c r="I1683" s="15"/>
      <c r="J1683" s="15"/>
      <c r="K1683" s="15"/>
      <c r="L1683" s="15"/>
      <c r="M1683" s="15"/>
      <c r="N1683" s="15"/>
      <c r="U1683" s="37" t="s">
        <v>624</v>
      </c>
      <c r="V1683" s="42">
        <v>36809000</v>
      </c>
      <c r="W1683" s="37" t="s">
        <v>624</v>
      </c>
    </row>
    <row r="1684" spans="5:23" ht="48.2" customHeight="1" x14ac:dyDescent="0.25">
      <c r="E1684" s="73"/>
      <c r="I1684" s="15"/>
      <c r="J1684" s="15"/>
      <c r="K1684" s="15"/>
      <c r="L1684" s="15"/>
      <c r="M1684" s="15"/>
      <c r="N1684" s="15"/>
      <c r="U1684" s="37" t="s">
        <v>626</v>
      </c>
      <c r="V1684" s="42">
        <v>36982000</v>
      </c>
      <c r="W1684" s="37" t="s">
        <v>626</v>
      </c>
    </row>
    <row r="1685" spans="5:23" ht="48.2" customHeight="1" x14ac:dyDescent="0.25">
      <c r="E1685" s="73"/>
      <c r="I1685" s="15"/>
      <c r="J1685" s="15"/>
      <c r="K1685" s="15"/>
      <c r="L1685" s="15"/>
      <c r="M1685" s="15"/>
      <c r="N1685" s="15"/>
      <c r="U1685" s="37" t="s">
        <v>628</v>
      </c>
      <c r="V1685" s="42">
        <v>37371000</v>
      </c>
      <c r="W1685" s="37" t="s">
        <v>628</v>
      </c>
    </row>
    <row r="1686" spans="5:23" ht="48.2" customHeight="1" x14ac:dyDescent="0.25">
      <c r="E1686" s="73"/>
      <c r="I1686" s="15"/>
      <c r="J1686" s="15"/>
      <c r="K1686" s="15"/>
      <c r="L1686" s="15"/>
      <c r="M1686" s="15"/>
      <c r="N1686" s="15"/>
      <c r="U1686" s="37" t="s">
        <v>630</v>
      </c>
      <c r="V1686" s="42">
        <v>30387000</v>
      </c>
      <c r="W1686" s="37" t="s">
        <v>630</v>
      </c>
    </row>
    <row r="1687" spans="5:23" ht="48.2" customHeight="1" x14ac:dyDescent="0.25">
      <c r="E1687" s="73"/>
      <c r="I1687" s="15"/>
      <c r="J1687" s="15"/>
      <c r="K1687" s="15"/>
      <c r="L1687" s="15"/>
      <c r="M1687" s="15"/>
      <c r="N1687" s="15"/>
      <c r="U1687" s="37" t="s">
        <v>632</v>
      </c>
      <c r="V1687" s="42">
        <v>33881000</v>
      </c>
      <c r="W1687" s="37" t="s">
        <v>632</v>
      </c>
    </row>
    <row r="1688" spans="5:23" ht="48.2" customHeight="1" x14ac:dyDescent="0.25">
      <c r="E1688" s="73"/>
      <c r="I1688" s="15"/>
      <c r="J1688" s="15"/>
      <c r="K1688" s="15"/>
      <c r="L1688" s="15"/>
      <c r="M1688" s="15"/>
      <c r="N1688" s="15"/>
      <c r="U1688" s="37" t="s">
        <v>634</v>
      </c>
      <c r="V1688" s="42">
        <v>32016000</v>
      </c>
      <c r="W1688" s="37" t="s">
        <v>634</v>
      </c>
    </row>
    <row r="1689" spans="5:23" ht="48.2" customHeight="1" x14ac:dyDescent="0.25">
      <c r="E1689" s="73"/>
      <c r="I1689" s="15"/>
      <c r="J1689" s="15"/>
      <c r="K1689" s="15"/>
      <c r="L1689" s="15"/>
      <c r="M1689" s="15"/>
      <c r="N1689" s="15"/>
      <c r="U1689" s="37" t="s">
        <v>636</v>
      </c>
      <c r="V1689" s="42">
        <v>32822000</v>
      </c>
      <c r="W1689" s="37" t="s">
        <v>636</v>
      </c>
    </row>
    <row r="1690" spans="5:23" ht="48.2" customHeight="1" x14ac:dyDescent="0.25">
      <c r="E1690" s="73"/>
      <c r="I1690" s="15"/>
      <c r="J1690" s="15"/>
      <c r="K1690" s="15"/>
      <c r="L1690" s="15"/>
      <c r="M1690" s="15"/>
      <c r="N1690" s="15"/>
      <c r="U1690" s="37" t="s">
        <v>638</v>
      </c>
      <c r="V1690" s="42">
        <v>34310000</v>
      </c>
      <c r="W1690" s="37" t="s">
        <v>638</v>
      </c>
    </row>
    <row r="1691" spans="5:23" ht="48.2" customHeight="1" x14ac:dyDescent="0.25">
      <c r="E1691" s="73"/>
      <c r="I1691" s="15"/>
      <c r="J1691" s="15"/>
      <c r="K1691" s="15"/>
      <c r="L1691" s="15"/>
      <c r="M1691" s="15"/>
      <c r="N1691" s="15"/>
      <c r="U1691" s="37" t="s">
        <v>640</v>
      </c>
      <c r="V1691" s="42">
        <v>34309000</v>
      </c>
      <c r="W1691" s="37" t="s">
        <v>640</v>
      </c>
    </row>
    <row r="1692" spans="5:23" ht="48.2" customHeight="1" x14ac:dyDescent="0.25">
      <c r="E1692" s="73"/>
      <c r="I1692" s="15"/>
      <c r="J1692" s="15"/>
      <c r="K1692" s="15"/>
      <c r="L1692" s="15"/>
      <c r="M1692" s="15"/>
      <c r="N1692" s="15"/>
      <c r="U1692" s="37" t="s">
        <v>642</v>
      </c>
      <c r="V1692" s="42">
        <v>36171000</v>
      </c>
      <c r="W1692" s="37" t="s">
        <v>642</v>
      </c>
    </row>
    <row r="1693" spans="5:23" ht="48.2" customHeight="1" x14ac:dyDescent="0.25">
      <c r="E1693" s="73"/>
      <c r="I1693" s="15"/>
      <c r="J1693" s="15"/>
      <c r="K1693" s="15"/>
      <c r="L1693" s="15"/>
      <c r="M1693" s="15"/>
      <c r="N1693" s="15"/>
      <c r="U1693" s="37" t="s">
        <v>644</v>
      </c>
      <c r="V1693" s="42">
        <v>33890000</v>
      </c>
      <c r="W1693" s="37" t="s">
        <v>644</v>
      </c>
    </row>
    <row r="1694" spans="5:23" ht="48.2" customHeight="1" x14ac:dyDescent="0.25">
      <c r="E1694" s="73"/>
      <c r="I1694" s="15"/>
      <c r="J1694" s="15"/>
      <c r="K1694" s="15"/>
      <c r="L1694" s="15"/>
      <c r="M1694" s="15"/>
      <c r="N1694" s="15"/>
      <c r="U1694" s="37" t="s">
        <v>646</v>
      </c>
      <c r="V1694" s="42">
        <v>34742000</v>
      </c>
      <c r="W1694" s="37" t="s">
        <v>646</v>
      </c>
    </row>
    <row r="1695" spans="5:23" ht="48.2" customHeight="1" x14ac:dyDescent="0.25">
      <c r="E1695" s="73"/>
      <c r="I1695" s="15"/>
      <c r="J1695" s="15"/>
      <c r="K1695" s="15"/>
      <c r="L1695" s="15"/>
      <c r="M1695" s="15"/>
      <c r="N1695" s="15"/>
      <c r="U1695" s="37" t="s">
        <v>648</v>
      </c>
      <c r="V1695" s="42">
        <v>69209000</v>
      </c>
      <c r="W1695" s="37" t="s">
        <v>648</v>
      </c>
    </row>
    <row r="1696" spans="5:23" ht="48.2" customHeight="1" x14ac:dyDescent="0.25">
      <c r="E1696" s="73"/>
      <c r="I1696" s="15"/>
      <c r="J1696" s="15"/>
      <c r="K1696" s="15"/>
      <c r="L1696" s="15"/>
      <c r="M1696" s="15"/>
      <c r="N1696" s="15"/>
      <c r="U1696" s="37" t="s">
        <v>650</v>
      </c>
      <c r="V1696" s="42">
        <v>37557000</v>
      </c>
      <c r="W1696" s="37" t="s">
        <v>650</v>
      </c>
    </row>
    <row r="1697" spans="5:23" ht="48.2" customHeight="1" x14ac:dyDescent="0.25">
      <c r="E1697" s="73"/>
      <c r="I1697" s="15"/>
      <c r="J1697" s="15"/>
      <c r="K1697" s="15"/>
      <c r="L1697" s="15"/>
      <c r="M1697" s="15"/>
      <c r="N1697" s="15"/>
      <c r="U1697" s="37" t="s">
        <v>652</v>
      </c>
      <c r="V1697" s="26">
        <v>35809000</v>
      </c>
      <c r="W1697" s="37" t="s">
        <v>652</v>
      </c>
    </row>
    <row r="1698" spans="5:23" ht="48.2" customHeight="1" x14ac:dyDescent="0.25">
      <c r="E1698" s="73"/>
      <c r="I1698" s="15"/>
      <c r="J1698" s="15"/>
      <c r="K1698" s="15"/>
      <c r="L1698" s="15"/>
      <c r="M1698" s="15"/>
      <c r="N1698" s="15"/>
      <c r="U1698" s="37" t="s">
        <v>654</v>
      </c>
      <c r="V1698" s="26">
        <v>25195000</v>
      </c>
      <c r="W1698" s="37" t="s">
        <v>654</v>
      </c>
    </row>
    <row r="1699" spans="5:23" ht="48.2" customHeight="1" x14ac:dyDescent="0.25">
      <c r="E1699" s="73"/>
      <c r="I1699" s="15"/>
      <c r="J1699" s="15"/>
      <c r="K1699" s="15"/>
      <c r="L1699" s="15"/>
      <c r="M1699" s="15"/>
      <c r="N1699" s="15"/>
      <c r="U1699" s="37" t="s">
        <v>656</v>
      </c>
      <c r="V1699" s="26">
        <v>34702000</v>
      </c>
      <c r="W1699" s="37" t="s">
        <v>656</v>
      </c>
    </row>
    <row r="1700" spans="5:23" ht="48.2" customHeight="1" x14ac:dyDescent="0.25">
      <c r="E1700" s="73"/>
      <c r="I1700" s="15"/>
      <c r="J1700" s="15"/>
      <c r="K1700" s="15"/>
      <c r="L1700" s="15"/>
      <c r="M1700" s="15"/>
      <c r="N1700" s="15"/>
      <c r="U1700" s="37" t="s">
        <v>658</v>
      </c>
      <c r="V1700" s="26">
        <v>33877000</v>
      </c>
      <c r="W1700" s="37" t="s">
        <v>658</v>
      </c>
    </row>
    <row r="1701" spans="5:23" ht="48.2" customHeight="1" x14ac:dyDescent="0.25">
      <c r="E1701" s="73"/>
      <c r="I1701" s="15"/>
      <c r="J1701" s="15"/>
      <c r="K1701" s="15"/>
      <c r="L1701" s="15"/>
      <c r="M1701" s="15"/>
      <c r="N1701" s="15"/>
      <c r="U1701" s="37" t="s">
        <v>660</v>
      </c>
      <c r="V1701" s="26">
        <v>33878000</v>
      </c>
      <c r="W1701" s="37" t="s">
        <v>660</v>
      </c>
    </row>
    <row r="1702" spans="5:23" ht="48.2" customHeight="1" x14ac:dyDescent="0.25">
      <c r="E1702" s="73"/>
      <c r="I1702" s="15"/>
      <c r="J1702" s="15"/>
      <c r="K1702" s="15"/>
      <c r="L1702" s="15"/>
      <c r="M1702" s="15"/>
      <c r="N1702" s="15"/>
      <c r="U1702" s="37" t="s">
        <v>931</v>
      </c>
      <c r="V1702" s="26">
        <v>34379000</v>
      </c>
      <c r="W1702" s="37" t="s">
        <v>931</v>
      </c>
    </row>
    <row r="1703" spans="5:23" ht="48.2" customHeight="1" x14ac:dyDescent="0.25">
      <c r="E1703" s="73"/>
      <c r="I1703" s="15"/>
      <c r="J1703" s="15"/>
      <c r="K1703" s="15"/>
      <c r="L1703" s="15"/>
      <c r="M1703" s="15"/>
      <c r="N1703" s="15"/>
      <c r="U1703" s="37" t="s">
        <v>932</v>
      </c>
      <c r="V1703" s="26">
        <v>36369000</v>
      </c>
      <c r="W1703" s="37" t="s">
        <v>932</v>
      </c>
    </row>
    <row r="1704" spans="5:23" ht="48.2" customHeight="1" x14ac:dyDescent="0.25">
      <c r="E1704" s="73"/>
      <c r="I1704" s="15"/>
      <c r="J1704" s="15"/>
      <c r="K1704" s="15"/>
      <c r="L1704" s="15"/>
      <c r="M1704" s="15"/>
      <c r="N1704" s="15"/>
      <c r="U1704" s="37" t="s">
        <v>933</v>
      </c>
      <c r="V1704" s="26">
        <v>36754000</v>
      </c>
      <c r="W1704" s="37" t="s">
        <v>933</v>
      </c>
    </row>
    <row r="1705" spans="5:23" ht="48.2" customHeight="1" x14ac:dyDescent="0.25">
      <c r="E1705" s="73"/>
      <c r="I1705" s="15"/>
      <c r="J1705" s="15"/>
      <c r="K1705" s="15"/>
      <c r="L1705" s="15"/>
      <c r="M1705" s="15"/>
      <c r="N1705" s="15"/>
      <c r="U1705" s="37" t="s">
        <v>668</v>
      </c>
      <c r="V1705" s="26">
        <v>33740000</v>
      </c>
      <c r="W1705" s="37" t="s">
        <v>668</v>
      </c>
    </row>
    <row r="1706" spans="5:23" ht="48.2" customHeight="1" x14ac:dyDescent="0.25">
      <c r="E1706" s="73"/>
      <c r="I1706" s="15"/>
      <c r="J1706" s="15"/>
      <c r="K1706" s="15"/>
      <c r="L1706" s="15"/>
      <c r="M1706" s="15"/>
      <c r="N1706" s="15"/>
      <c r="U1706" s="37" t="s">
        <v>934</v>
      </c>
      <c r="V1706" s="26">
        <v>70677000</v>
      </c>
      <c r="W1706" s="37" t="s">
        <v>934</v>
      </c>
    </row>
    <row r="1707" spans="5:23" ht="48.2" customHeight="1" x14ac:dyDescent="0.25">
      <c r="E1707" s="73"/>
      <c r="I1707" s="15"/>
      <c r="J1707" s="15"/>
      <c r="K1707" s="15"/>
      <c r="L1707" s="15"/>
      <c r="M1707" s="15"/>
      <c r="N1707" s="15"/>
      <c r="U1707" s="37" t="s">
        <v>677</v>
      </c>
      <c r="V1707" s="26">
        <v>40724000</v>
      </c>
      <c r="W1707" s="37" t="s">
        <v>677</v>
      </c>
    </row>
    <row r="1708" spans="5:23" ht="48.2" customHeight="1" x14ac:dyDescent="0.25">
      <c r="E1708" s="73"/>
      <c r="I1708" s="15"/>
      <c r="J1708" s="15"/>
      <c r="K1708" s="15"/>
      <c r="L1708" s="15"/>
      <c r="M1708" s="15"/>
      <c r="N1708" s="15"/>
      <c r="U1708" s="37" t="s">
        <v>679</v>
      </c>
      <c r="V1708" s="26">
        <v>40993000</v>
      </c>
      <c r="W1708" s="37" t="s">
        <v>679</v>
      </c>
    </row>
    <row r="1709" spans="5:23" ht="48.2" customHeight="1" x14ac:dyDescent="0.25">
      <c r="E1709" s="73"/>
      <c r="I1709" s="15"/>
      <c r="J1709" s="15"/>
      <c r="K1709" s="15"/>
      <c r="L1709" s="15"/>
      <c r="M1709" s="15"/>
      <c r="N1709" s="15"/>
      <c r="U1709" s="37" t="s">
        <v>681</v>
      </c>
      <c r="V1709" s="26">
        <v>70512000</v>
      </c>
      <c r="W1709" s="37" t="s">
        <v>681</v>
      </c>
    </row>
    <row r="1710" spans="5:23" ht="48.2" customHeight="1" x14ac:dyDescent="0.25">
      <c r="E1710" s="73"/>
      <c r="I1710" s="15"/>
      <c r="J1710" s="15"/>
      <c r="K1710" s="15"/>
      <c r="L1710" s="15"/>
      <c r="M1710" s="15"/>
      <c r="N1710" s="15"/>
      <c r="U1710" s="37" t="s">
        <v>683</v>
      </c>
      <c r="V1710" s="26">
        <v>70692000</v>
      </c>
      <c r="W1710" s="37" t="s">
        <v>683</v>
      </c>
    </row>
    <row r="1711" spans="5:23" ht="48.2" customHeight="1" x14ac:dyDescent="0.25">
      <c r="E1711" s="73"/>
      <c r="I1711" s="15"/>
      <c r="J1711" s="15"/>
      <c r="K1711" s="15"/>
      <c r="L1711" s="15"/>
      <c r="M1711" s="15"/>
      <c r="N1711" s="15"/>
      <c r="U1711" s="37" t="s">
        <v>685</v>
      </c>
      <c r="V1711" s="26">
        <v>70691000</v>
      </c>
      <c r="W1711" s="37" t="s">
        <v>685</v>
      </c>
    </row>
    <row r="1712" spans="5:23" ht="48.2" customHeight="1" x14ac:dyDescent="0.25">
      <c r="E1712" s="73"/>
      <c r="I1712" s="15"/>
      <c r="J1712" s="15"/>
      <c r="K1712" s="15"/>
      <c r="L1712" s="15"/>
      <c r="M1712" s="15"/>
      <c r="N1712" s="15"/>
      <c r="U1712" s="37" t="s">
        <v>687</v>
      </c>
      <c r="V1712" s="26">
        <v>70694000</v>
      </c>
      <c r="W1712" s="37" t="s">
        <v>687</v>
      </c>
    </row>
    <row r="1713" spans="5:23" ht="48.2" customHeight="1" x14ac:dyDescent="0.25">
      <c r="E1713" s="73"/>
      <c r="I1713" s="15"/>
      <c r="J1713" s="15"/>
      <c r="K1713" s="15"/>
      <c r="L1713" s="15"/>
      <c r="M1713" s="15"/>
      <c r="N1713" s="15"/>
      <c r="U1713" s="37" t="s">
        <v>689</v>
      </c>
      <c r="V1713" s="26">
        <v>70693000</v>
      </c>
      <c r="W1713" s="37" t="s">
        <v>689</v>
      </c>
    </row>
    <row r="1714" spans="5:23" ht="48.2" customHeight="1" x14ac:dyDescent="0.25">
      <c r="E1714" s="73"/>
      <c r="I1714" s="15"/>
      <c r="J1714" s="15"/>
      <c r="K1714" s="15"/>
      <c r="L1714" s="15"/>
      <c r="M1714" s="15"/>
      <c r="N1714" s="15"/>
      <c r="U1714" s="37" t="s">
        <v>693</v>
      </c>
      <c r="V1714" s="26">
        <v>70698000</v>
      </c>
      <c r="W1714" s="37" t="s">
        <v>693</v>
      </c>
    </row>
    <row r="1715" spans="5:23" ht="48.2" customHeight="1" x14ac:dyDescent="0.25">
      <c r="E1715" s="73"/>
      <c r="I1715" s="15"/>
      <c r="J1715" s="15"/>
      <c r="K1715" s="15"/>
      <c r="L1715" s="15"/>
      <c r="M1715" s="15"/>
      <c r="N1715" s="15"/>
      <c r="U1715" s="37" t="s">
        <v>695</v>
      </c>
      <c r="V1715" s="26">
        <v>70695000</v>
      </c>
      <c r="W1715" s="37" t="s">
        <v>695</v>
      </c>
    </row>
    <row r="1716" spans="5:23" ht="48.2" customHeight="1" x14ac:dyDescent="0.25">
      <c r="E1716" s="73"/>
      <c r="I1716" s="15"/>
      <c r="J1716" s="15"/>
      <c r="K1716" s="15"/>
      <c r="L1716" s="15"/>
      <c r="M1716" s="15"/>
      <c r="N1716" s="15"/>
      <c r="U1716" s="37" t="s">
        <v>519</v>
      </c>
      <c r="V1716" s="26">
        <v>70723000</v>
      </c>
      <c r="W1716" s="37" t="s">
        <v>519</v>
      </c>
    </row>
    <row r="1717" spans="5:23" ht="48.2" customHeight="1" x14ac:dyDescent="0.25">
      <c r="E1717" s="73"/>
      <c r="I1717" s="15"/>
      <c r="J1717" s="15"/>
      <c r="K1717" s="15"/>
      <c r="L1717" s="15"/>
      <c r="M1717" s="15"/>
      <c r="N1717" s="15"/>
      <c r="U1717" s="37" t="s">
        <v>691</v>
      </c>
      <c r="V1717" s="26">
        <v>70652000</v>
      </c>
      <c r="W1717" s="37" t="s">
        <v>691</v>
      </c>
    </row>
    <row r="1718" spans="5:23" ht="48.2" customHeight="1" x14ac:dyDescent="0.25">
      <c r="E1718" s="73"/>
      <c r="I1718" s="15"/>
      <c r="J1718" s="15"/>
      <c r="K1718" s="15"/>
      <c r="L1718" s="15"/>
      <c r="M1718" s="15"/>
      <c r="N1718" s="15"/>
      <c r="U1718" s="37" t="s">
        <v>698</v>
      </c>
      <c r="V1718" s="26">
        <v>40893000</v>
      </c>
      <c r="W1718" s="37" t="s">
        <v>698</v>
      </c>
    </row>
    <row r="1719" spans="5:23" ht="48.2" customHeight="1" x14ac:dyDescent="0.25">
      <c r="E1719" s="73"/>
      <c r="I1719" s="15"/>
      <c r="J1719" s="15"/>
      <c r="K1719" s="15"/>
      <c r="L1719" s="15"/>
      <c r="M1719" s="15"/>
      <c r="N1719" s="15"/>
      <c r="U1719" s="37" t="s">
        <v>702</v>
      </c>
      <c r="V1719" s="26">
        <v>70697000</v>
      </c>
      <c r="W1719" s="37" t="s">
        <v>702</v>
      </c>
    </row>
    <row r="1720" spans="5:23" ht="48.2" customHeight="1" x14ac:dyDescent="0.25">
      <c r="E1720" s="73"/>
      <c r="I1720" s="15"/>
      <c r="J1720" s="15"/>
      <c r="K1720" s="15"/>
      <c r="L1720" s="15"/>
      <c r="M1720" s="15"/>
      <c r="N1720" s="15"/>
      <c r="U1720" s="37" t="s">
        <v>700</v>
      </c>
      <c r="V1720" s="26">
        <v>110000100</v>
      </c>
      <c r="W1720" s="37" t="s">
        <v>700</v>
      </c>
    </row>
    <row r="1721" spans="5:23" ht="48.2" customHeight="1" x14ac:dyDescent="0.25">
      <c r="E1721" s="73"/>
      <c r="I1721" s="15"/>
      <c r="J1721" s="15"/>
      <c r="K1721" s="15"/>
      <c r="L1721" s="15"/>
      <c r="M1721" s="15"/>
      <c r="N1721" s="15"/>
      <c r="U1721" s="37" t="s">
        <v>704</v>
      </c>
      <c r="V1721" s="26">
        <v>70696000</v>
      </c>
      <c r="W1721" s="37" t="s">
        <v>704</v>
      </c>
    </row>
    <row r="1722" spans="5:23" ht="48.2" customHeight="1" x14ac:dyDescent="0.25">
      <c r="E1722" s="73"/>
      <c r="I1722" s="15"/>
      <c r="J1722" s="15"/>
      <c r="K1722" s="15"/>
      <c r="L1722" s="15"/>
      <c r="M1722" s="15"/>
      <c r="N1722" s="15"/>
      <c r="U1722" s="37" t="s">
        <v>706</v>
      </c>
      <c r="V1722" s="26">
        <v>110021500</v>
      </c>
      <c r="W1722" s="37" t="s">
        <v>706</v>
      </c>
    </row>
    <row r="1723" spans="5:23" ht="48.2" customHeight="1" x14ac:dyDescent="0.25">
      <c r="E1723" s="73"/>
      <c r="I1723" s="15"/>
      <c r="J1723" s="15"/>
      <c r="K1723" s="15"/>
      <c r="L1723" s="15"/>
      <c r="M1723" s="15"/>
      <c r="N1723" s="15"/>
      <c r="U1723" s="37" t="s">
        <v>523</v>
      </c>
      <c r="V1723" s="26">
        <v>70829000</v>
      </c>
      <c r="W1723" s="37" t="s">
        <v>523</v>
      </c>
    </row>
    <row r="1724" spans="5:23" ht="48.2" customHeight="1" x14ac:dyDescent="0.25">
      <c r="E1724" s="73"/>
      <c r="I1724" s="15"/>
      <c r="J1724" s="15"/>
      <c r="K1724" s="15"/>
      <c r="L1724" s="15"/>
      <c r="M1724" s="15"/>
      <c r="N1724" s="15"/>
      <c r="U1724" s="37" t="s">
        <v>709</v>
      </c>
      <c r="V1724" s="26">
        <v>110004700</v>
      </c>
      <c r="W1724" s="37" t="s">
        <v>709</v>
      </c>
    </row>
    <row r="1725" spans="5:23" ht="48.2" customHeight="1" x14ac:dyDescent="0.25">
      <c r="E1725" s="73"/>
      <c r="I1725" s="15"/>
      <c r="J1725" s="15"/>
      <c r="K1725" s="15"/>
      <c r="L1725" s="15"/>
      <c r="M1725" s="15"/>
      <c r="N1725" s="15"/>
      <c r="U1725" s="37" t="s">
        <v>711</v>
      </c>
      <c r="V1725" s="26">
        <v>100048600</v>
      </c>
      <c r="W1725" s="37" t="s">
        <v>711</v>
      </c>
    </row>
    <row r="1726" spans="5:23" ht="48.2" customHeight="1" x14ac:dyDescent="0.25">
      <c r="E1726" s="73"/>
      <c r="I1726" s="15"/>
      <c r="J1726" s="15"/>
      <c r="K1726" s="15"/>
      <c r="L1726" s="15"/>
      <c r="M1726" s="15"/>
      <c r="N1726" s="15"/>
      <c r="U1726" s="37" t="s">
        <v>713</v>
      </c>
      <c r="V1726" s="26">
        <v>100122200</v>
      </c>
      <c r="W1726" s="37" t="s">
        <v>713</v>
      </c>
    </row>
    <row r="1727" spans="5:23" ht="48.2" customHeight="1" x14ac:dyDescent="0.25">
      <c r="E1727" s="73"/>
      <c r="I1727" s="15"/>
      <c r="J1727" s="15"/>
      <c r="K1727" s="15"/>
      <c r="L1727" s="15"/>
      <c r="M1727" s="15"/>
      <c r="N1727" s="15"/>
      <c r="U1727" s="37" t="s">
        <v>715</v>
      </c>
      <c r="V1727" s="26">
        <v>100147700</v>
      </c>
      <c r="W1727" s="37" t="s">
        <v>715</v>
      </c>
    </row>
    <row r="1728" spans="5:23" ht="48.2" customHeight="1" x14ac:dyDescent="0.25">
      <c r="E1728" s="73"/>
      <c r="I1728" s="15"/>
      <c r="J1728" s="15"/>
      <c r="K1728" s="15"/>
      <c r="L1728" s="15"/>
      <c r="M1728" s="15"/>
      <c r="N1728" s="15"/>
      <c r="U1728" s="37" t="s">
        <v>935</v>
      </c>
      <c r="V1728" s="26">
        <v>100197200</v>
      </c>
      <c r="W1728" s="37" t="s">
        <v>935</v>
      </c>
    </row>
    <row r="1729" spans="5:23" ht="48.2" customHeight="1" x14ac:dyDescent="0.25">
      <c r="E1729" s="73"/>
      <c r="I1729" s="15"/>
      <c r="J1729" s="15"/>
      <c r="K1729" s="15"/>
      <c r="L1729" s="15"/>
      <c r="M1729" s="15"/>
      <c r="N1729" s="15"/>
      <c r="U1729" s="37" t="s">
        <v>718</v>
      </c>
      <c r="V1729" s="26">
        <v>31828000</v>
      </c>
      <c r="W1729" s="37" t="s">
        <v>718</v>
      </c>
    </row>
    <row r="1730" spans="5:23" ht="48.2" customHeight="1" x14ac:dyDescent="0.25">
      <c r="E1730" s="73"/>
      <c r="I1730" s="15"/>
      <c r="J1730" s="15"/>
      <c r="K1730" s="15"/>
      <c r="L1730" s="15"/>
      <c r="M1730" s="15"/>
      <c r="N1730" s="15"/>
      <c r="U1730" s="37" t="s">
        <v>920</v>
      </c>
      <c r="V1730" s="26">
        <v>33738000</v>
      </c>
      <c r="W1730" s="37" t="s">
        <v>920</v>
      </c>
    </row>
    <row r="1731" spans="5:23" ht="48.2" customHeight="1" x14ac:dyDescent="0.25">
      <c r="E1731" s="73"/>
      <c r="I1731" s="15"/>
      <c r="J1731" s="15"/>
      <c r="K1731" s="15"/>
      <c r="L1731" s="15"/>
      <c r="M1731" s="15"/>
      <c r="N1731" s="15"/>
    </row>
    <row r="1732" spans="5:23" ht="48.2" customHeight="1" x14ac:dyDescent="0.25">
      <c r="E1732" s="73"/>
      <c r="I1732" s="15"/>
      <c r="J1732" s="15"/>
      <c r="K1732" s="15"/>
      <c r="L1732" s="15"/>
      <c r="M1732" s="15"/>
      <c r="N1732" s="15"/>
    </row>
    <row r="1733" spans="5:23" ht="48.2" customHeight="1" x14ac:dyDescent="0.25">
      <c r="E1733" s="73"/>
      <c r="I1733" s="15"/>
      <c r="J1733" s="15"/>
      <c r="K1733" s="15"/>
      <c r="L1733" s="15"/>
      <c r="M1733" s="15"/>
      <c r="N1733" s="15"/>
    </row>
    <row r="1734" spans="5:23" ht="48.2" customHeight="1" x14ac:dyDescent="0.25">
      <c r="I1734" s="15"/>
      <c r="J1734" s="15"/>
      <c r="K1734" s="15"/>
      <c r="L1734" s="15"/>
      <c r="M1734" s="15"/>
      <c r="N1734" s="15"/>
    </row>
    <row r="1735" spans="5:23" ht="48.2" customHeight="1" x14ac:dyDescent="0.25">
      <c r="I1735" s="15"/>
      <c r="J1735" s="15"/>
      <c r="K1735" s="15"/>
      <c r="L1735" s="15"/>
      <c r="M1735" s="15"/>
      <c r="N1735" s="15"/>
    </row>
    <row r="1736" spans="5:23" ht="48.2" customHeight="1" x14ac:dyDescent="0.25">
      <c r="I1736" s="15"/>
      <c r="J1736" s="15"/>
      <c r="K1736" s="15"/>
      <c r="L1736" s="15"/>
      <c r="M1736" s="15"/>
      <c r="N1736" s="15"/>
    </row>
    <row r="1737" spans="5:23" ht="48.2" customHeight="1" x14ac:dyDescent="0.25">
      <c r="I1737" s="15"/>
      <c r="J1737" s="15"/>
      <c r="K1737" s="15"/>
      <c r="L1737" s="15"/>
      <c r="M1737" s="15"/>
      <c r="N1737" s="15"/>
    </row>
    <row r="1738" spans="5:23" ht="48.2" customHeight="1" x14ac:dyDescent="0.25">
      <c r="I1738" s="15"/>
      <c r="J1738" s="15"/>
      <c r="K1738" s="15"/>
      <c r="L1738" s="15"/>
      <c r="M1738" s="15"/>
      <c r="N1738" s="15"/>
    </row>
    <row r="1739" spans="5:23" ht="48.2" customHeight="1" x14ac:dyDescent="0.25">
      <c r="I1739" s="15"/>
      <c r="J1739" s="15"/>
      <c r="K1739" s="15"/>
      <c r="L1739" s="15"/>
      <c r="M1739" s="15"/>
      <c r="N1739" s="15"/>
    </row>
    <row r="1740" spans="5:23" ht="48.2" customHeight="1" x14ac:dyDescent="0.25">
      <c r="I1740" s="15"/>
      <c r="J1740" s="15"/>
      <c r="K1740" s="15"/>
      <c r="L1740" s="15"/>
      <c r="M1740" s="15"/>
      <c r="N1740" s="15"/>
    </row>
    <row r="1741" spans="5:23" ht="48.2" customHeight="1" x14ac:dyDescent="0.25">
      <c r="I1741" s="15"/>
      <c r="J1741" s="15"/>
      <c r="K1741" s="15"/>
      <c r="L1741" s="15"/>
      <c r="M1741" s="15"/>
      <c r="N1741" s="15"/>
    </row>
    <row r="1742" spans="5:23" ht="48.2" customHeight="1" x14ac:dyDescent="0.25">
      <c r="I1742" s="15"/>
      <c r="J1742" s="15"/>
      <c r="K1742" s="15"/>
      <c r="L1742" s="15"/>
      <c r="M1742" s="15"/>
      <c r="N1742" s="15"/>
    </row>
    <row r="1743" spans="5:23" ht="48.2" customHeight="1" x14ac:dyDescent="0.25">
      <c r="I1743" s="15"/>
      <c r="J1743" s="15"/>
      <c r="K1743" s="15"/>
      <c r="L1743" s="15"/>
      <c r="M1743" s="15"/>
      <c r="N1743" s="15"/>
    </row>
    <row r="1744" spans="5:23" ht="48.2" customHeight="1" x14ac:dyDescent="0.25">
      <c r="I1744" s="15"/>
      <c r="J1744" s="15"/>
      <c r="K1744" s="15"/>
      <c r="L1744" s="15"/>
      <c r="M1744" s="15"/>
      <c r="N1744" s="15"/>
    </row>
    <row r="1745" spans="9:14" ht="48.2" customHeight="1" x14ac:dyDescent="0.25">
      <c r="I1745" s="15"/>
      <c r="J1745" s="15"/>
      <c r="K1745" s="15"/>
      <c r="L1745" s="15"/>
      <c r="M1745" s="15"/>
      <c r="N1745" s="15"/>
    </row>
    <row r="1746" spans="9:14" ht="48.2" customHeight="1" x14ac:dyDescent="0.25">
      <c r="I1746" s="15"/>
      <c r="J1746" s="15"/>
      <c r="K1746" s="15"/>
      <c r="L1746" s="15"/>
      <c r="M1746" s="15"/>
      <c r="N1746" s="15"/>
    </row>
    <row r="1747" spans="9:14" ht="48.2" customHeight="1" x14ac:dyDescent="0.25">
      <c r="I1747" s="15"/>
      <c r="J1747" s="15"/>
      <c r="K1747" s="15"/>
      <c r="L1747" s="15"/>
      <c r="M1747" s="15"/>
      <c r="N1747" s="15"/>
    </row>
    <row r="1748" spans="9:14" ht="48.2" customHeight="1" x14ac:dyDescent="0.25">
      <c r="I1748" s="15"/>
      <c r="J1748" s="15"/>
      <c r="K1748" s="15"/>
      <c r="L1748" s="15"/>
      <c r="M1748" s="15"/>
      <c r="N1748" s="15"/>
    </row>
    <row r="1749" spans="9:14" ht="48.2" customHeight="1" x14ac:dyDescent="0.25">
      <c r="I1749" s="15"/>
      <c r="J1749" s="15"/>
      <c r="K1749" s="15"/>
      <c r="L1749" s="15"/>
      <c r="M1749" s="15"/>
      <c r="N1749" s="15"/>
    </row>
    <row r="1750" spans="9:14" ht="48.2" customHeight="1" x14ac:dyDescent="0.25">
      <c r="I1750" s="15"/>
      <c r="J1750" s="15"/>
      <c r="K1750" s="15"/>
      <c r="L1750" s="15"/>
      <c r="M1750" s="15"/>
      <c r="N1750" s="15"/>
    </row>
    <row r="1751" spans="9:14" ht="48.2" customHeight="1" x14ac:dyDescent="0.25">
      <c r="I1751" s="15"/>
      <c r="J1751" s="15"/>
      <c r="K1751" s="15"/>
      <c r="L1751" s="15"/>
      <c r="M1751" s="15"/>
      <c r="N1751" s="15"/>
    </row>
    <row r="1752" spans="9:14" ht="48.2" customHeight="1" x14ac:dyDescent="0.25">
      <c r="I1752" s="15"/>
      <c r="J1752" s="15"/>
      <c r="K1752" s="15"/>
      <c r="L1752" s="15"/>
      <c r="M1752" s="15"/>
      <c r="N1752" s="15"/>
    </row>
    <row r="1753" spans="9:14" ht="48.2" customHeight="1" x14ac:dyDescent="0.25">
      <c r="I1753" s="15"/>
      <c r="J1753" s="15"/>
      <c r="K1753" s="15"/>
      <c r="L1753" s="15"/>
      <c r="M1753" s="15"/>
      <c r="N1753" s="15"/>
    </row>
    <row r="1754" spans="9:14" ht="48.2" customHeight="1" x14ac:dyDescent="0.25">
      <c r="I1754" s="15"/>
      <c r="J1754" s="15"/>
      <c r="K1754" s="15"/>
      <c r="L1754" s="15"/>
      <c r="M1754" s="15"/>
      <c r="N1754" s="15"/>
    </row>
    <row r="1755" spans="9:14" ht="48.2" customHeight="1" x14ac:dyDescent="0.25">
      <c r="I1755" s="15"/>
      <c r="J1755" s="15"/>
      <c r="K1755" s="15"/>
      <c r="L1755" s="15"/>
      <c r="M1755" s="15"/>
      <c r="N1755" s="15"/>
    </row>
    <row r="1756" spans="9:14" ht="48.2" customHeight="1" x14ac:dyDescent="0.25">
      <c r="I1756" s="15"/>
      <c r="J1756" s="15"/>
      <c r="K1756" s="15"/>
      <c r="L1756" s="15"/>
      <c r="M1756" s="15"/>
      <c r="N1756" s="15"/>
    </row>
    <row r="1757" spans="9:14" ht="48.2" customHeight="1" x14ac:dyDescent="0.25">
      <c r="I1757" s="15"/>
      <c r="J1757" s="15"/>
      <c r="K1757" s="15"/>
      <c r="L1757" s="15"/>
      <c r="M1757" s="15"/>
      <c r="N1757" s="15"/>
    </row>
    <row r="1758" spans="9:14" ht="48.2" customHeight="1" x14ac:dyDescent="0.25">
      <c r="I1758" s="15"/>
      <c r="J1758" s="15"/>
      <c r="K1758" s="15"/>
      <c r="L1758" s="15"/>
      <c r="M1758" s="15"/>
      <c r="N1758" s="15"/>
    </row>
    <row r="1759" spans="9:14" ht="48.2" customHeight="1" x14ac:dyDescent="0.25">
      <c r="I1759" s="15"/>
      <c r="J1759" s="15"/>
      <c r="K1759" s="15"/>
      <c r="L1759" s="15"/>
      <c r="M1759" s="15"/>
      <c r="N1759" s="15"/>
    </row>
    <row r="1760" spans="9:14" ht="48.2" customHeight="1" x14ac:dyDescent="0.25">
      <c r="I1760" s="15"/>
      <c r="J1760" s="15"/>
      <c r="K1760" s="15"/>
      <c r="L1760" s="15"/>
      <c r="M1760" s="15"/>
      <c r="N1760" s="15"/>
    </row>
    <row r="1761" spans="9:14" ht="48.2" customHeight="1" x14ac:dyDescent="0.25">
      <c r="I1761" s="15"/>
      <c r="J1761" s="15"/>
      <c r="K1761" s="15"/>
      <c r="L1761" s="15"/>
      <c r="M1761" s="15"/>
      <c r="N1761" s="15"/>
    </row>
    <row r="1762" spans="9:14" ht="48.2" customHeight="1" x14ac:dyDescent="0.25">
      <c r="I1762" s="15"/>
      <c r="J1762" s="15"/>
      <c r="K1762" s="15"/>
      <c r="L1762" s="15"/>
      <c r="M1762" s="15"/>
      <c r="N1762" s="15"/>
    </row>
    <row r="1763" spans="9:14" ht="48.2" customHeight="1" x14ac:dyDescent="0.25">
      <c r="I1763" s="15"/>
      <c r="J1763" s="15"/>
      <c r="K1763" s="15"/>
      <c r="L1763" s="15"/>
      <c r="M1763" s="15"/>
      <c r="N1763" s="15"/>
    </row>
    <row r="1764" spans="9:14" ht="48.2" customHeight="1" x14ac:dyDescent="0.25">
      <c r="I1764" s="15"/>
      <c r="J1764" s="15"/>
      <c r="K1764" s="15"/>
      <c r="L1764" s="15"/>
      <c r="M1764" s="15"/>
      <c r="N1764" s="15"/>
    </row>
    <row r="1765" spans="9:14" ht="48.2" customHeight="1" x14ac:dyDescent="0.25">
      <c r="I1765" s="15"/>
      <c r="J1765" s="15"/>
      <c r="K1765" s="15"/>
      <c r="L1765" s="15"/>
      <c r="M1765" s="15"/>
      <c r="N1765" s="15"/>
    </row>
    <row r="1766" spans="9:14" ht="48.2" customHeight="1" x14ac:dyDescent="0.25">
      <c r="I1766" s="15"/>
      <c r="J1766" s="15"/>
      <c r="K1766" s="15"/>
      <c r="L1766" s="15"/>
      <c r="M1766" s="15"/>
      <c r="N1766" s="15"/>
    </row>
    <row r="1767" spans="9:14" ht="48.2" customHeight="1" x14ac:dyDescent="0.25">
      <c r="I1767" s="15"/>
      <c r="J1767" s="15"/>
      <c r="K1767" s="15"/>
      <c r="L1767" s="15"/>
      <c r="M1767" s="15"/>
      <c r="N1767" s="15"/>
    </row>
    <row r="1768" spans="9:14" ht="48.2" customHeight="1" x14ac:dyDescent="0.25">
      <c r="I1768" s="15"/>
      <c r="J1768" s="15"/>
      <c r="K1768" s="15"/>
      <c r="L1768" s="15"/>
      <c r="M1768" s="15"/>
      <c r="N1768" s="15"/>
    </row>
    <row r="1769" spans="9:14" ht="48.2" customHeight="1" x14ac:dyDescent="0.25">
      <c r="I1769" s="15"/>
      <c r="J1769" s="15"/>
      <c r="K1769" s="15"/>
      <c r="L1769" s="15"/>
      <c r="M1769" s="15"/>
      <c r="N1769" s="15"/>
    </row>
    <row r="1770" spans="9:14" ht="48.2" customHeight="1" x14ac:dyDescent="0.25">
      <c r="I1770" s="15"/>
      <c r="J1770" s="15"/>
      <c r="K1770" s="15"/>
      <c r="L1770" s="15"/>
      <c r="M1770" s="15"/>
      <c r="N1770" s="15"/>
    </row>
    <row r="1771" spans="9:14" ht="48.2" customHeight="1" x14ac:dyDescent="0.25">
      <c r="I1771" s="15"/>
      <c r="J1771" s="15"/>
      <c r="K1771" s="15"/>
      <c r="L1771" s="15"/>
      <c r="M1771" s="15"/>
      <c r="N1771" s="15"/>
    </row>
    <row r="1772" spans="9:14" ht="48.2" customHeight="1" x14ac:dyDescent="0.25">
      <c r="I1772" s="15"/>
      <c r="J1772" s="15"/>
      <c r="K1772" s="15"/>
      <c r="L1772" s="15"/>
      <c r="M1772" s="15"/>
      <c r="N1772" s="15"/>
    </row>
    <row r="1773" spans="9:14" ht="48.2" customHeight="1" x14ac:dyDescent="0.25">
      <c r="I1773" s="15"/>
      <c r="J1773" s="15"/>
      <c r="K1773" s="15"/>
      <c r="L1773" s="15"/>
      <c r="M1773" s="15"/>
      <c r="N1773" s="15"/>
    </row>
    <row r="1774" spans="9:14" ht="48.2" customHeight="1" x14ac:dyDescent="0.25">
      <c r="I1774" s="15"/>
      <c r="J1774" s="15"/>
      <c r="K1774" s="15"/>
      <c r="L1774" s="15"/>
      <c r="M1774" s="15"/>
      <c r="N1774" s="15"/>
    </row>
    <row r="1775" spans="9:14" ht="48.2" customHeight="1" x14ac:dyDescent="0.25">
      <c r="I1775" s="15"/>
      <c r="J1775" s="15"/>
      <c r="K1775" s="15"/>
      <c r="L1775" s="15"/>
      <c r="M1775" s="15"/>
      <c r="N1775" s="15"/>
    </row>
    <row r="1776" spans="9:14" ht="48.2" customHeight="1" x14ac:dyDescent="0.25">
      <c r="I1776" s="15"/>
      <c r="J1776" s="15"/>
      <c r="K1776" s="15"/>
      <c r="L1776" s="15"/>
      <c r="M1776" s="15"/>
      <c r="N1776" s="15"/>
    </row>
    <row r="1777" spans="9:14" ht="48.2" customHeight="1" x14ac:dyDescent="0.25">
      <c r="I1777" s="15"/>
      <c r="J1777" s="15"/>
      <c r="K1777" s="15"/>
      <c r="L1777" s="15"/>
      <c r="M1777" s="15"/>
      <c r="N1777" s="15"/>
    </row>
    <row r="1778" spans="9:14" ht="48.2" customHeight="1" x14ac:dyDescent="0.25">
      <c r="I1778" s="15"/>
      <c r="J1778" s="15"/>
      <c r="K1778" s="15"/>
      <c r="L1778" s="15"/>
      <c r="M1778" s="15"/>
      <c r="N1778" s="15"/>
    </row>
    <row r="1779" spans="9:14" ht="48.2" customHeight="1" x14ac:dyDescent="0.25">
      <c r="I1779" s="15"/>
      <c r="J1779" s="15"/>
      <c r="K1779" s="15"/>
      <c r="L1779" s="15"/>
      <c r="M1779" s="15"/>
      <c r="N1779" s="15"/>
    </row>
    <row r="1780" spans="9:14" ht="48.2" customHeight="1" x14ac:dyDescent="0.25">
      <c r="I1780" s="15"/>
      <c r="J1780" s="15"/>
      <c r="K1780" s="15"/>
      <c r="L1780" s="15"/>
      <c r="M1780" s="15"/>
      <c r="N1780" s="15"/>
    </row>
    <row r="1781" spans="9:14" ht="48.2" customHeight="1" x14ac:dyDescent="0.25">
      <c r="I1781" s="15"/>
      <c r="J1781" s="15"/>
      <c r="K1781" s="15"/>
      <c r="L1781" s="15"/>
      <c r="M1781" s="15"/>
      <c r="N1781" s="15"/>
    </row>
    <row r="1782" spans="9:14" ht="48.2" customHeight="1" x14ac:dyDescent="0.25">
      <c r="I1782" s="15"/>
      <c r="J1782" s="15"/>
      <c r="K1782" s="15"/>
      <c r="L1782" s="15"/>
      <c r="M1782" s="15"/>
      <c r="N1782" s="15"/>
    </row>
    <row r="1783" spans="9:14" ht="48.2" customHeight="1" x14ac:dyDescent="0.25">
      <c r="I1783" s="15"/>
      <c r="J1783" s="15"/>
      <c r="K1783" s="15"/>
      <c r="L1783" s="15"/>
      <c r="M1783" s="15"/>
      <c r="N1783" s="15"/>
    </row>
    <row r="1784" spans="9:14" ht="48.2" customHeight="1" x14ac:dyDescent="0.25">
      <c r="I1784" s="15"/>
      <c r="J1784" s="15"/>
      <c r="K1784" s="15"/>
      <c r="L1784" s="15"/>
      <c r="M1784" s="15"/>
      <c r="N1784" s="15"/>
    </row>
    <row r="1785" spans="9:14" ht="48.2" customHeight="1" x14ac:dyDescent="0.25">
      <c r="I1785" s="15"/>
      <c r="J1785" s="15"/>
      <c r="K1785" s="15"/>
      <c r="L1785" s="15"/>
      <c r="M1785" s="15"/>
      <c r="N1785" s="15"/>
    </row>
    <row r="1786" spans="9:14" ht="48.2" customHeight="1" x14ac:dyDescent="0.25">
      <c r="I1786" s="15"/>
      <c r="J1786" s="15"/>
      <c r="K1786" s="15"/>
      <c r="L1786" s="15"/>
      <c r="M1786" s="15"/>
      <c r="N1786" s="15"/>
    </row>
    <row r="1787" spans="9:14" ht="48.2" customHeight="1" x14ac:dyDescent="0.25">
      <c r="I1787" s="15"/>
      <c r="J1787" s="15"/>
      <c r="K1787" s="15"/>
      <c r="L1787" s="15"/>
      <c r="M1787" s="15"/>
      <c r="N1787" s="15"/>
    </row>
    <row r="1788" spans="9:14" ht="48.2" customHeight="1" x14ac:dyDescent="0.25">
      <c r="I1788" s="15"/>
      <c r="J1788" s="15"/>
      <c r="K1788" s="15"/>
      <c r="L1788" s="15"/>
      <c r="M1788" s="15"/>
      <c r="N1788" s="15"/>
    </row>
    <row r="1789" spans="9:14" ht="48.2" customHeight="1" x14ac:dyDescent="0.25">
      <c r="I1789" s="15"/>
      <c r="J1789" s="15"/>
      <c r="K1789" s="15"/>
      <c r="L1789" s="15"/>
      <c r="M1789" s="15"/>
      <c r="N1789" s="15"/>
    </row>
    <row r="1790" spans="9:14" ht="48.2" customHeight="1" x14ac:dyDescent="0.25">
      <c r="I1790" s="15"/>
      <c r="J1790" s="15"/>
      <c r="K1790" s="15"/>
      <c r="L1790" s="15"/>
      <c r="M1790" s="15"/>
      <c r="N1790" s="15"/>
    </row>
    <row r="1791" spans="9:14" ht="48.2" customHeight="1" x14ac:dyDescent="0.25">
      <c r="I1791" s="15"/>
      <c r="J1791" s="15"/>
      <c r="K1791" s="15"/>
      <c r="L1791" s="15"/>
      <c r="M1791" s="15"/>
      <c r="N1791" s="15"/>
    </row>
    <row r="1792" spans="9:14" ht="48.2" customHeight="1" x14ac:dyDescent="0.25">
      <c r="I1792" s="15"/>
      <c r="J1792" s="15"/>
      <c r="K1792" s="15"/>
      <c r="L1792" s="15"/>
      <c r="M1792" s="15"/>
      <c r="N1792" s="15"/>
    </row>
    <row r="1793" spans="9:14" ht="48.2" customHeight="1" x14ac:dyDescent="0.25">
      <c r="I1793" s="15"/>
      <c r="J1793" s="15"/>
      <c r="K1793" s="15"/>
      <c r="L1793" s="15"/>
      <c r="M1793" s="15"/>
      <c r="N1793" s="15"/>
    </row>
    <row r="1794" spans="9:14" ht="48.2" customHeight="1" x14ac:dyDescent="0.25">
      <c r="I1794" s="15"/>
      <c r="J1794" s="15"/>
      <c r="K1794" s="15"/>
      <c r="L1794" s="15"/>
      <c r="M1794" s="15"/>
      <c r="N1794" s="15"/>
    </row>
    <row r="1795" spans="9:14" ht="48.2" customHeight="1" x14ac:dyDescent="0.25">
      <c r="I1795" s="15"/>
      <c r="J1795" s="15"/>
      <c r="K1795" s="15"/>
      <c r="L1795" s="15"/>
      <c r="M1795" s="15"/>
      <c r="N1795" s="15"/>
    </row>
    <row r="1796" spans="9:14" ht="48.2" customHeight="1" x14ac:dyDescent="0.25">
      <c r="I1796" s="15"/>
      <c r="J1796" s="15"/>
      <c r="K1796" s="15"/>
      <c r="L1796" s="15"/>
      <c r="M1796" s="15"/>
      <c r="N1796" s="15"/>
    </row>
    <row r="1797" spans="9:14" ht="48.2" customHeight="1" x14ac:dyDescent="0.25">
      <c r="I1797" s="15"/>
      <c r="J1797" s="15"/>
      <c r="K1797" s="15"/>
      <c r="L1797" s="15"/>
      <c r="M1797" s="15"/>
      <c r="N1797" s="15"/>
    </row>
    <row r="1798" spans="9:14" ht="48.2" customHeight="1" x14ac:dyDescent="0.25">
      <c r="I1798" s="15"/>
      <c r="J1798" s="15"/>
      <c r="K1798" s="15"/>
      <c r="L1798" s="15"/>
      <c r="M1798" s="15"/>
      <c r="N1798" s="15"/>
    </row>
    <row r="1799" spans="9:14" ht="48.2" customHeight="1" x14ac:dyDescent="0.25">
      <c r="I1799" s="15"/>
      <c r="J1799" s="15"/>
      <c r="K1799" s="15"/>
      <c r="L1799" s="15"/>
      <c r="M1799" s="15"/>
      <c r="N1799" s="15"/>
    </row>
    <row r="1800" spans="9:14" ht="48.2" customHeight="1" x14ac:dyDescent="0.25">
      <c r="I1800" s="15"/>
      <c r="J1800" s="15"/>
      <c r="K1800" s="15"/>
      <c r="L1800" s="15"/>
      <c r="M1800" s="15"/>
      <c r="N1800" s="15"/>
    </row>
    <row r="1801" spans="9:14" ht="48.2" customHeight="1" x14ac:dyDescent="0.25">
      <c r="I1801" s="15"/>
      <c r="J1801" s="15"/>
      <c r="K1801" s="15"/>
      <c r="L1801" s="15"/>
      <c r="M1801" s="15"/>
      <c r="N1801" s="15"/>
    </row>
    <row r="1802" spans="9:14" ht="48.2" customHeight="1" x14ac:dyDescent="0.25">
      <c r="I1802" s="15"/>
      <c r="J1802" s="15"/>
      <c r="K1802" s="15"/>
      <c r="L1802" s="15"/>
      <c r="M1802" s="15"/>
      <c r="N1802" s="15"/>
    </row>
    <row r="1803" spans="9:14" ht="48.2" customHeight="1" x14ac:dyDescent="0.25">
      <c r="I1803" s="15"/>
      <c r="J1803" s="15"/>
      <c r="K1803" s="15"/>
      <c r="L1803" s="15"/>
      <c r="M1803" s="15"/>
      <c r="N1803" s="15"/>
    </row>
    <row r="1804" spans="9:14" ht="48.2" customHeight="1" x14ac:dyDescent="0.25">
      <c r="I1804" s="15"/>
      <c r="J1804" s="15"/>
      <c r="K1804" s="15"/>
      <c r="L1804" s="15"/>
      <c r="M1804" s="15"/>
      <c r="N1804" s="15"/>
    </row>
    <row r="1805" spans="9:14" ht="48.2" customHeight="1" x14ac:dyDescent="0.25">
      <c r="I1805" s="15"/>
      <c r="J1805" s="15"/>
      <c r="K1805" s="15"/>
      <c r="L1805" s="15"/>
      <c r="M1805" s="15"/>
      <c r="N1805" s="15"/>
    </row>
    <row r="1806" spans="9:14" ht="48.2" customHeight="1" x14ac:dyDescent="0.25">
      <c r="I1806" s="15"/>
      <c r="J1806" s="15"/>
      <c r="K1806" s="15"/>
      <c r="L1806" s="15"/>
      <c r="M1806" s="15"/>
      <c r="N1806" s="15"/>
    </row>
    <row r="1807" spans="9:14" ht="48.2" customHeight="1" x14ac:dyDescent="0.25">
      <c r="I1807" s="15"/>
      <c r="J1807" s="15"/>
      <c r="K1807" s="15"/>
      <c r="L1807" s="15"/>
      <c r="M1807" s="15"/>
      <c r="N1807" s="15"/>
    </row>
    <row r="1808" spans="9:14" ht="48.2" customHeight="1" x14ac:dyDescent="0.25">
      <c r="I1808" s="15"/>
      <c r="J1808" s="15"/>
      <c r="K1808" s="15"/>
      <c r="L1808" s="15"/>
      <c r="M1808" s="15"/>
      <c r="N1808" s="15"/>
    </row>
    <row r="1809" spans="9:14" ht="48.2" customHeight="1" x14ac:dyDescent="0.25">
      <c r="I1809" s="15"/>
      <c r="J1809" s="15"/>
      <c r="K1809" s="15"/>
      <c r="L1809" s="15"/>
      <c r="M1809" s="15"/>
      <c r="N1809" s="15"/>
    </row>
    <row r="1810" spans="9:14" ht="48.2" customHeight="1" x14ac:dyDescent="0.25">
      <c r="I1810" s="15"/>
      <c r="J1810" s="15"/>
      <c r="K1810" s="15"/>
      <c r="L1810" s="15"/>
      <c r="M1810" s="15"/>
      <c r="N1810" s="15"/>
    </row>
    <row r="1811" spans="9:14" ht="48.2" customHeight="1" x14ac:dyDescent="0.25">
      <c r="I1811" s="15"/>
      <c r="J1811" s="15"/>
      <c r="K1811" s="15"/>
      <c r="L1811" s="15"/>
      <c r="M1811" s="15"/>
      <c r="N1811" s="15"/>
    </row>
    <row r="1812" spans="9:14" ht="48.2" customHeight="1" x14ac:dyDescent="0.25">
      <c r="I1812" s="15"/>
      <c r="J1812" s="15"/>
      <c r="K1812" s="15"/>
      <c r="L1812" s="15"/>
      <c r="M1812" s="15"/>
      <c r="N1812" s="15"/>
    </row>
    <row r="1813" spans="9:14" ht="48.2" customHeight="1" x14ac:dyDescent="0.25">
      <c r="I1813" s="15"/>
      <c r="J1813" s="15"/>
      <c r="K1813" s="15"/>
      <c r="L1813" s="15"/>
      <c r="M1813" s="15"/>
      <c r="N1813" s="15"/>
    </row>
    <row r="1814" spans="9:14" ht="48.2" customHeight="1" x14ac:dyDescent="0.25">
      <c r="I1814" s="15"/>
      <c r="J1814" s="15"/>
      <c r="K1814" s="15"/>
      <c r="L1814" s="15"/>
      <c r="M1814" s="15"/>
      <c r="N1814" s="15"/>
    </row>
    <row r="1815" spans="9:14" ht="48.2" customHeight="1" x14ac:dyDescent="0.25">
      <c r="I1815" s="15"/>
      <c r="J1815" s="15"/>
      <c r="K1815" s="15"/>
      <c r="L1815" s="15"/>
      <c r="M1815" s="15"/>
      <c r="N1815" s="15"/>
    </row>
    <row r="1816" spans="9:14" ht="48.2" customHeight="1" x14ac:dyDescent="0.25">
      <c r="I1816" s="15"/>
      <c r="J1816" s="15"/>
      <c r="K1816" s="15"/>
      <c r="L1816" s="15"/>
      <c r="M1816" s="15"/>
      <c r="N1816" s="15"/>
    </row>
    <row r="1817" spans="9:14" ht="48.2" customHeight="1" x14ac:dyDescent="0.25">
      <c r="I1817" s="15"/>
      <c r="J1817" s="15"/>
      <c r="K1817" s="15"/>
      <c r="L1817" s="15"/>
      <c r="M1817" s="15"/>
      <c r="N1817" s="15"/>
    </row>
    <row r="1818" spans="9:14" ht="48.2" customHeight="1" x14ac:dyDescent="0.25">
      <c r="I1818" s="15"/>
      <c r="J1818" s="15"/>
      <c r="K1818" s="15"/>
      <c r="L1818" s="15"/>
      <c r="M1818" s="15"/>
      <c r="N1818" s="15"/>
    </row>
    <row r="1819" spans="9:14" ht="48.2" customHeight="1" x14ac:dyDescent="0.25">
      <c r="I1819" s="15"/>
      <c r="J1819" s="15"/>
      <c r="K1819" s="15"/>
      <c r="L1819" s="15"/>
      <c r="M1819" s="15"/>
      <c r="N1819" s="15"/>
    </row>
    <row r="1820" spans="9:14" ht="48.2" customHeight="1" x14ac:dyDescent="0.25">
      <c r="I1820" s="15"/>
      <c r="J1820" s="15"/>
      <c r="K1820" s="15"/>
      <c r="L1820" s="15"/>
      <c r="M1820" s="15"/>
      <c r="N1820" s="15"/>
    </row>
    <row r="1821" spans="9:14" ht="48.2" customHeight="1" x14ac:dyDescent="0.25">
      <c r="I1821" s="15"/>
      <c r="J1821" s="15"/>
      <c r="K1821" s="15"/>
      <c r="L1821" s="15"/>
      <c r="M1821" s="15"/>
      <c r="N1821" s="15"/>
    </row>
    <row r="1822" spans="9:14" ht="48.2" customHeight="1" x14ac:dyDescent="0.25">
      <c r="I1822" s="15"/>
      <c r="J1822" s="15"/>
      <c r="K1822" s="15"/>
      <c r="L1822" s="15"/>
      <c r="M1822" s="15"/>
      <c r="N1822" s="15"/>
    </row>
    <row r="1823" spans="9:14" ht="48.2" customHeight="1" x14ac:dyDescent="0.25">
      <c r="I1823" s="15"/>
      <c r="J1823" s="15"/>
      <c r="K1823" s="15"/>
      <c r="L1823" s="15"/>
      <c r="M1823" s="15"/>
      <c r="N1823" s="15"/>
    </row>
    <row r="1824" spans="9:14" ht="48.2" customHeight="1" x14ac:dyDescent="0.25">
      <c r="I1824" s="15"/>
      <c r="J1824" s="15"/>
      <c r="K1824" s="15"/>
      <c r="L1824" s="15"/>
      <c r="M1824" s="15"/>
      <c r="N1824" s="15"/>
    </row>
    <row r="1825" spans="9:14" ht="48.2" customHeight="1" x14ac:dyDescent="0.25">
      <c r="I1825" s="15"/>
      <c r="J1825" s="15"/>
      <c r="K1825" s="15"/>
      <c r="L1825" s="15"/>
      <c r="M1825" s="15"/>
      <c r="N1825" s="15"/>
    </row>
    <row r="1826" spans="9:14" ht="48.2" customHeight="1" x14ac:dyDescent="0.25">
      <c r="I1826" s="15"/>
      <c r="J1826" s="15"/>
      <c r="K1826" s="15"/>
      <c r="L1826" s="15"/>
      <c r="M1826" s="15"/>
      <c r="N1826" s="15"/>
    </row>
    <row r="1827" spans="9:14" ht="48.2" customHeight="1" x14ac:dyDescent="0.25">
      <c r="I1827" s="15"/>
      <c r="J1827" s="15"/>
      <c r="K1827" s="15"/>
      <c r="L1827" s="15"/>
      <c r="M1827" s="15"/>
      <c r="N1827" s="15"/>
    </row>
    <row r="1828" spans="9:14" ht="48.2" customHeight="1" x14ac:dyDescent="0.25">
      <c r="I1828" s="15"/>
      <c r="J1828" s="15"/>
      <c r="K1828" s="15"/>
      <c r="L1828" s="15"/>
      <c r="M1828" s="15"/>
      <c r="N1828" s="15"/>
    </row>
    <row r="1829" spans="9:14" ht="48.2" customHeight="1" x14ac:dyDescent="0.25">
      <c r="I1829" s="15"/>
      <c r="J1829" s="15"/>
      <c r="K1829" s="15"/>
      <c r="L1829" s="15"/>
      <c r="M1829" s="15"/>
      <c r="N1829" s="15"/>
    </row>
    <row r="1830" spans="9:14" ht="48.2" customHeight="1" x14ac:dyDescent="0.25">
      <c r="I1830" s="15"/>
      <c r="J1830" s="15"/>
      <c r="K1830" s="15"/>
      <c r="L1830" s="15"/>
      <c r="M1830" s="15"/>
      <c r="N1830" s="15"/>
    </row>
    <row r="1831" spans="9:14" ht="48.2" customHeight="1" x14ac:dyDescent="0.25">
      <c r="I1831" s="15"/>
      <c r="J1831" s="15"/>
      <c r="K1831" s="15"/>
      <c r="L1831" s="15"/>
      <c r="M1831" s="15"/>
      <c r="N1831" s="15"/>
    </row>
    <row r="1832" spans="9:14" ht="48.2" customHeight="1" x14ac:dyDescent="0.25">
      <c r="I1832" s="15"/>
      <c r="J1832" s="15"/>
      <c r="K1832" s="15"/>
      <c r="L1832" s="15"/>
      <c r="M1832" s="15"/>
      <c r="N1832" s="15"/>
    </row>
    <row r="1833" spans="9:14" ht="48.2" customHeight="1" x14ac:dyDescent="0.25">
      <c r="I1833" s="15"/>
      <c r="J1833" s="15"/>
      <c r="K1833" s="15"/>
      <c r="L1833" s="15"/>
      <c r="M1833" s="15"/>
      <c r="N1833" s="15"/>
    </row>
    <row r="1834" spans="9:14" ht="48.2" customHeight="1" x14ac:dyDescent="0.25">
      <c r="I1834" s="15"/>
      <c r="J1834" s="15"/>
      <c r="K1834" s="15"/>
      <c r="L1834" s="15"/>
      <c r="M1834" s="15"/>
      <c r="N1834" s="15"/>
    </row>
    <row r="1835" spans="9:14" ht="48.2" customHeight="1" x14ac:dyDescent="0.25">
      <c r="I1835" s="15"/>
      <c r="J1835" s="15"/>
      <c r="K1835" s="15"/>
      <c r="L1835" s="15"/>
      <c r="M1835" s="15"/>
      <c r="N1835" s="15"/>
    </row>
    <row r="1836" spans="9:14" ht="48.2" customHeight="1" x14ac:dyDescent="0.25">
      <c r="I1836" s="15"/>
      <c r="J1836" s="15"/>
      <c r="K1836" s="15"/>
      <c r="L1836" s="15"/>
      <c r="M1836" s="15"/>
      <c r="N1836" s="15"/>
    </row>
    <row r="1837" spans="9:14" ht="48.2" customHeight="1" x14ac:dyDescent="0.25">
      <c r="I1837" s="15"/>
      <c r="J1837" s="15"/>
      <c r="K1837" s="15"/>
      <c r="L1837" s="15"/>
      <c r="M1837" s="15"/>
      <c r="N1837" s="15"/>
    </row>
    <row r="1838" spans="9:14" ht="48.2" customHeight="1" x14ac:dyDescent="0.25">
      <c r="I1838" s="15"/>
      <c r="J1838" s="15"/>
      <c r="K1838" s="15"/>
      <c r="L1838" s="15"/>
      <c r="M1838" s="15"/>
      <c r="N1838" s="15"/>
    </row>
    <row r="1839" spans="9:14" ht="48.2" customHeight="1" x14ac:dyDescent="0.25">
      <c r="I1839" s="15"/>
      <c r="J1839" s="15"/>
      <c r="K1839" s="15"/>
      <c r="L1839" s="15"/>
      <c r="M1839" s="15"/>
      <c r="N1839" s="15"/>
    </row>
    <row r="1840" spans="9:14" ht="48.2" customHeight="1" x14ac:dyDescent="0.25">
      <c r="I1840" s="15"/>
      <c r="J1840" s="15"/>
      <c r="K1840" s="15"/>
      <c r="L1840" s="15"/>
      <c r="M1840" s="15"/>
      <c r="N1840" s="15"/>
    </row>
    <row r="1841" spans="9:14" ht="48.2" customHeight="1" x14ac:dyDescent="0.25">
      <c r="I1841" s="15"/>
      <c r="J1841" s="15"/>
      <c r="K1841" s="15"/>
      <c r="L1841" s="15"/>
      <c r="M1841" s="15"/>
      <c r="N1841" s="15"/>
    </row>
    <row r="1842" spans="9:14" ht="48.2" customHeight="1" x14ac:dyDescent="0.25">
      <c r="I1842" s="15"/>
      <c r="J1842" s="15"/>
      <c r="K1842" s="15"/>
      <c r="L1842" s="15"/>
      <c r="M1842" s="15"/>
      <c r="N1842" s="15"/>
    </row>
    <row r="1843" spans="9:14" ht="48.2" customHeight="1" x14ac:dyDescent="0.25">
      <c r="I1843" s="15"/>
      <c r="J1843" s="15"/>
      <c r="K1843" s="15"/>
      <c r="L1843" s="15"/>
      <c r="M1843" s="15"/>
      <c r="N1843" s="15"/>
    </row>
    <row r="1844" spans="9:14" ht="48.2" customHeight="1" x14ac:dyDescent="0.25">
      <c r="I1844" s="15"/>
      <c r="J1844" s="15"/>
      <c r="K1844" s="15"/>
      <c r="L1844" s="15"/>
      <c r="M1844" s="15"/>
      <c r="N1844" s="15"/>
    </row>
    <row r="1845" spans="9:14" ht="48.2" customHeight="1" x14ac:dyDescent="0.25">
      <c r="I1845" s="15"/>
      <c r="J1845" s="15"/>
      <c r="K1845" s="15"/>
      <c r="L1845" s="15"/>
      <c r="M1845" s="15"/>
      <c r="N1845" s="15"/>
    </row>
    <row r="1846" spans="9:14" ht="48.2" customHeight="1" x14ac:dyDescent="0.25">
      <c r="I1846" s="15"/>
      <c r="J1846" s="15"/>
      <c r="K1846" s="15"/>
      <c r="L1846" s="15"/>
      <c r="M1846" s="15"/>
      <c r="N1846" s="15"/>
    </row>
    <row r="1847" spans="9:14" ht="48.2" customHeight="1" x14ac:dyDescent="0.25">
      <c r="I1847" s="15"/>
      <c r="J1847" s="15"/>
      <c r="K1847" s="15"/>
      <c r="L1847" s="15"/>
      <c r="M1847" s="15"/>
      <c r="N1847" s="15"/>
    </row>
    <row r="1848" spans="9:14" ht="48.2" customHeight="1" x14ac:dyDescent="0.25">
      <c r="I1848" s="15"/>
      <c r="J1848" s="15"/>
      <c r="K1848" s="15"/>
      <c r="L1848" s="15"/>
      <c r="M1848" s="15"/>
      <c r="N1848" s="15"/>
    </row>
    <row r="1849" spans="9:14" ht="48.2" customHeight="1" x14ac:dyDescent="0.25">
      <c r="I1849" s="15"/>
      <c r="J1849" s="15"/>
      <c r="K1849" s="15"/>
      <c r="L1849" s="15"/>
      <c r="M1849" s="15"/>
      <c r="N1849" s="15"/>
    </row>
    <row r="1850" spans="9:14" ht="48.2" customHeight="1" x14ac:dyDescent="0.25">
      <c r="I1850" s="15"/>
      <c r="J1850" s="15"/>
      <c r="K1850" s="15"/>
      <c r="L1850" s="15"/>
      <c r="M1850" s="15"/>
      <c r="N1850" s="15"/>
    </row>
    <row r="1851" spans="9:14" ht="48.2" customHeight="1" x14ac:dyDescent="0.25">
      <c r="I1851" s="15"/>
      <c r="J1851" s="15"/>
      <c r="K1851" s="15"/>
      <c r="L1851" s="15"/>
      <c r="M1851" s="15"/>
      <c r="N1851" s="15"/>
    </row>
    <row r="1852" spans="9:14" ht="48.2" customHeight="1" x14ac:dyDescent="0.25">
      <c r="I1852" s="15"/>
      <c r="J1852" s="15"/>
      <c r="K1852" s="15"/>
      <c r="L1852" s="15"/>
      <c r="M1852" s="15"/>
      <c r="N1852" s="15"/>
    </row>
    <row r="1853" spans="9:14" ht="48.2" customHeight="1" x14ac:dyDescent="0.25">
      <c r="I1853" s="15"/>
      <c r="J1853" s="15"/>
      <c r="K1853" s="15"/>
      <c r="L1853" s="15"/>
      <c r="M1853" s="15"/>
      <c r="N1853" s="15"/>
    </row>
    <row r="1854" spans="9:14" ht="48.2" customHeight="1" x14ac:dyDescent="0.25">
      <c r="I1854" s="15"/>
      <c r="J1854" s="15"/>
      <c r="K1854" s="15"/>
      <c r="L1854" s="15"/>
      <c r="M1854" s="15"/>
      <c r="N1854" s="15"/>
    </row>
    <row r="1855" spans="9:14" ht="48.2" customHeight="1" x14ac:dyDescent="0.25">
      <c r="I1855" s="15"/>
      <c r="J1855" s="15"/>
      <c r="K1855" s="15"/>
      <c r="L1855" s="15"/>
      <c r="M1855" s="15"/>
      <c r="N1855" s="15"/>
    </row>
    <row r="1856" spans="9:14" ht="48.2" customHeight="1" x14ac:dyDescent="0.25">
      <c r="I1856" s="15"/>
      <c r="J1856" s="15"/>
      <c r="K1856" s="15"/>
      <c r="L1856" s="15"/>
      <c r="M1856" s="15"/>
      <c r="N1856" s="15"/>
    </row>
    <row r="1857" spans="9:14" ht="48.2" customHeight="1" x14ac:dyDescent="0.25">
      <c r="I1857" s="15"/>
      <c r="J1857" s="15"/>
      <c r="K1857" s="15"/>
      <c r="L1857" s="15"/>
      <c r="M1857" s="15"/>
      <c r="N1857" s="15"/>
    </row>
    <row r="1858" spans="9:14" ht="48.2" customHeight="1" x14ac:dyDescent="0.25">
      <c r="I1858" s="15"/>
      <c r="J1858" s="15"/>
      <c r="K1858" s="15"/>
      <c r="L1858" s="15"/>
      <c r="M1858" s="15"/>
      <c r="N1858" s="15"/>
    </row>
    <row r="1859" spans="9:14" ht="48.2" customHeight="1" x14ac:dyDescent="0.25">
      <c r="I1859" s="15"/>
      <c r="J1859" s="15"/>
      <c r="K1859" s="15"/>
      <c r="L1859" s="15"/>
      <c r="M1859" s="15"/>
      <c r="N1859" s="15"/>
    </row>
    <row r="1860" spans="9:14" ht="48.2" customHeight="1" x14ac:dyDescent="0.25">
      <c r="I1860" s="15"/>
      <c r="J1860" s="15"/>
      <c r="K1860" s="15"/>
      <c r="L1860" s="15"/>
      <c r="M1860" s="15"/>
      <c r="N1860" s="15"/>
    </row>
    <row r="1861" spans="9:14" ht="48.2" customHeight="1" x14ac:dyDescent="0.25">
      <c r="I1861" s="15"/>
      <c r="J1861" s="15"/>
      <c r="K1861" s="15"/>
      <c r="L1861" s="15"/>
      <c r="M1861" s="15"/>
      <c r="N1861" s="15"/>
    </row>
    <row r="1862" spans="9:14" ht="48.2" customHeight="1" x14ac:dyDescent="0.25">
      <c r="I1862" s="15"/>
      <c r="J1862" s="15"/>
      <c r="K1862" s="15"/>
      <c r="L1862" s="15"/>
      <c r="M1862" s="15"/>
      <c r="N1862" s="15"/>
    </row>
    <row r="1863" spans="9:14" ht="48.2" customHeight="1" x14ac:dyDescent="0.25">
      <c r="I1863" s="15"/>
      <c r="J1863" s="15"/>
      <c r="K1863" s="15"/>
      <c r="L1863" s="15"/>
      <c r="M1863" s="15"/>
      <c r="N1863" s="15"/>
    </row>
    <row r="1864" spans="9:14" ht="48.2" customHeight="1" x14ac:dyDescent="0.25">
      <c r="I1864" s="15"/>
      <c r="J1864" s="15"/>
      <c r="K1864" s="15"/>
      <c r="L1864" s="15"/>
      <c r="M1864" s="15"/>
      <c r="N1864" s="15"/>
    </row>
    <row r="1865" spans="9:14" ht="48.2" customHeight="1" x14ac:dyDescent="0.25">
      <c r="I1865" s="15"/>
      <c r="J1865" s="15"/>
      <c r="K1865" s="15"/>
      <c r="L1865" s="15"/>
      <c r="M1865" s="15"/>
      <c r="N1865" s="15"/>
    </row>
    <row r="1866" spans="9:14" ht="48.2" customHeight="1" x14ac:dyDescent="0.25">
      <c r="I1866" s="15"/>
      <c r="J1866" s="15"/>
      <c r="K1866" s="15"/>
      <c r="L1866" s="15"/>
      <c r="M1866" s="15"/>
      <c r="N1866" s="15"/>
    </row>
    <row r="1867" spans="9:14" ht="48.2" customHeight="1" x14ac:dyDescent="0.25">
      <c r="I1867" s="15"/>
      <c r="J1867" s="15"/>
      <c r="K1867" s="15"/>
      <c r="L1867" s="15"/>
      <c r="M1867" s="15"/>
      <c r="N1867" s="15"/>
    </row>
    <row r="1868" spans="9:14" ht="48.2" customHeight="1" x14ac:dyDescent="0.25">
      <c r="I1868" s="15"/>
      <c r="J1868" s="15"/>
      <c r="K1868" s="15"/>
      <c r="L1868" s="15"/>
      <c r="M1868" s="15"/>
      <c r="N1868" s="15"/>
    </row>
    <row r="1869" spans="9:14" ht="48.2" customHeight="1" x14ac:dyDescent="0.25">
      <c r="I1869" s="15"/>
      <c r="J1869" s="15"/>
      <c r="K1869" s="15"/>
      <c r="L1869" s="15"/>
      <c r="M1869" s="15"/>
      <c r="N1869" s="15"/>
    </row>
    <row r="1870" spans="9:14" ht="48.2" customHeight="1" x14ac:dyDescent="0.25">
      <c r="I1870" s="15"/>
      <c r="J1870" s="15"/>
      <c r="K1870" s="15"/>
      <c r="L1870" s="15"/>
      <c r="M1870" s="15"/>
      <c r="N1870" s="15"/>
    </row>
    <row r="1871" spans="9:14" ht="48.2" customHeight="1" x14ac:dyDescent="0.25">
      <c r="I1871" s="15"/>
      <c r="J1871" s="15"/>
      <c r="K1871" s="15"/>
      <c r="L1871" s="15"/>
      <c r="M1871" s="15"/>
      <c r="N1871" s="15"/>
    </row>
    <row r="1872" spans="9:14" ht="48.2" customHeight="1" x14ac:dyDescent="0.25">
      <c r="I1872" s="15"/>
      <c r="J1872" s="15"/>
      <c r="K1872" s="15"/>
      <c r="L1872" s="15"/>
      <c r="M1872" s="15"/>
      <c r="N1872" s="15"/>
    </row>
    <row r="1873" spans="9:14" ht="48.2" customHeight="1" x14ac:dyDescent="0.25">
      <c r="I1873" s="15"/>
      <c r="J1873" s="15"/>
      <c r="K1873" s="15"/>
      <c r="L1873" s="15"/>
      <c r="M1873" s="15"/>
      <c r="N1873" s="15"/>
    </row>
    <row r="1874" spans="9:14" ht="48.2" customHeight="1" x14ac:dyDescent="0.25">
      <c r="I1874" s="15"/>
      <c r="J1874" s="15"/>
      <c r="K1874" s="15"/>
      <c r="L1874" s="15"/>
      <c r="M1874" s="15"/>
      <c r="N1874" s="15"/>
    </row>
    <row r="1875" spans="9:14" ht="48.2" customHeight="1" x14ac:dyDescent="0.25">
      <c r="I1875" s="15"/>
      <c r="J1875" s="15"/>
      <c r="K1875" s="15"/>
      <c r="L1875" s="15"/>
      <c r="M1875" s="15"/>
      <c r="N1875" s="15"/>
    </row>
    <row r="1876" spans="9:14" ht="48.2" customHeight="1" x14ac:dyDescent="0.25">
      <c r="I1876" s="15"/>
      <c r="J1876" s="15"/>
      <c r="K1876" s="15"/>
      <c r="L1876" s="15"/>
      <c r="M1876" s="15"/>
      <c r="N1876" s="15"/>
    </row>
    <row r="1877" spans="9:14" ht="48.2" customHeight="1" x14ac:dyDescent="0.25">
      <c r="I1877" s="15"/>
      <c r="J1877" s="15"/>
      <c r="K1877" s="15"/>
      <c r="L1877" s="15"/>
      <c r="M1877" s="15"/>
      <c r="N1877" s="15"/>
    </row>
    <row r="1878" spans="9:14" ht="48.2" customHeight="1" x14ac:dyDescent="0.25">
      <c r="I1878" s="15"/>
      <c r="J1878" s="15"/>
      <c r="K1878" s="15"/>
      <c r="L1878" s="15"/>
      <c r="M1878" s="15"/>
      <c r="N1878" s="15"/>
    </row>
    <row r="1879" spans="9:14" ht="48.2" customHeight="1" x14ac:dyDescent="0.25">
      <c r="I1879" s="15"/>
      <c r="J1879" s="15"/>
      <c r="K1879" s="15"/>
      <c r="L1879" s="15"/>
      <c r="M1879" s="15"/>
      <c r="N1879" s="15"/>
    </row>
    <row r="1880" spans="9:14" ht="48.2" customHeight="1" x14ac:dyDescent="0.25">
      <c r="I1880" s="15"/>
      <c r="J1880" s="15"/>
      <c r="K1880" s="15"/>
      <c r="L1880" s="15"/>
      <c r="M1880" s="15"/>
      <c r="N1880" s="15"/>
    </row>
    <row r="1881" spans="9:14" ht="48.2" customHeight="1" x14ac:dyDescent="0.25">
      <c r="I1881" s="15"/>
      <c r="J1881" s="15"/>
      <c r="K1881" s="15"/>
      <c r="L1881" s="15"/>
      <c r="M1881" s="15"/>
      <c r="N1881" s="15"/>
    </row>
    <row r="1882" spans="9:14" ht="48.2" customHeight="1" x14ac:dyDescent="0.25">
      <c r="I1882" s="15"/>
      <c r="J1882" s="15"/>
      <c r="K1882" s="15"/>
      <c r="L1882" s="15"/>
      <c r="M1882" s="15"/>
      <c r="N1882" s="15"/>
    </row>
    <row r="1883" spans="9:14" ht="48.2" customHeight="1" x14ac:dyDescent="0.25">
      <c r="I1883" s="15"/>
      <c r="J1883" s="15"/>
      <c r="K1883" s="15"/>
      <c r="L1883" s="15"/>
      <c r="M1883" s="15"/>
      <c r="N1883" s="15"/>
    </row>
    <row r="1884" spans="9:14" ht="48.2" customHeight="1" x14ac:dyDescent="0.25">
      <c r="I1884" s="15"/>
      <c r="J1884" s="15"/>
      <c r="K1884" s="15"/>
      <c r="L1884" s="15"/>
      <c r="M1884" s="15"/>
      <c r="N1884" s="15"/>
    </row>
    <row r="1885" spans="9:14" ht="48.2" customHeight="1" x14ac:dyDescent="0.25">
      <c r="I1885" s="15"/>
      <c r="J1885" s="15"/>
      <c r="K1885" s="15"/>
      <c r="L1885" s="15"/>
      <c r="M1885" s="15"/>
      <c r="N1885" s="15"/>
    </row>
    <row r="1886" spans="9:14" ht="48.2" customHeight="1" x14ac:dyDescent="0.25">
      <c r="I1886" s="15"/>
      <c r="J1886" s="15"/>
      <c r="K1886" s="15"/>
      <c r="L1886" s="15"/>
      <c r="M1886" s="15"/>
      <c r="N1886" s="15"/>
    </row>
    <row r="1887" spans="9:14" ht="48.2" customHeight="1" x14ac:dyDescent="0.25">
      <c r="I1887" s="15"/>
      <c r="J1887" s="15"/>
      <c r="K1887" s="15"/>
      <c r="L1887" s="15"/>
      <c r="M1887" s="15"/>
      <c r="N1887" s="15"/>
    </row>
    <row r="1888" spans="9:14" ht="48.2" customHeight="1" x14ac:dyDescent="0.25">
      <c r="I1888" s="15"/>
      <c r="J1888" s="15"/>
      <c r="K1888" s="15"/>
      <c r="L1888" s="15"/>
      <c r="M1888" s="15"/>
      <c r="N1888" s="15"/>
    </row>
    <row r="1889" spans="9:14" ht="48.2" customHeight="1" x14ac:dyDescent="0.25">
      <c r="I1889" s="15"/>
      <c r="J1889" s="15"/>
      <c r="K1889" s="15"/>
      <c r="L1889" s="15"/>
      <c r="M1889" s="15"/>
      <c r="N1889" s="15"/>
    </row>
    <row r="1890" spans="9:14" ht="48.2" customHeight="1" x14ac:dyDescent="0.25">
      <c r="I1890" s="15"/>
      <c r="J1890" s="15"/>
      <c r="K1890" s="15"/>
      <c r="L1890" s="15"/>
      <c r="M1890" s="15"/>
      <c r="N1890" s="15"/>
    </row>
    <row r="1891" spans="9:14" ht="48.2" customHeight="1" x14ac:dyDescent="0.25">
      <c r="I1891" s="15"/>
      <c r="J1891" s="15"/>
      <c r="K1891" s="15"/>
      <c r="L1891" s="15"/>
      <c r="M1891" s="15"/>
      <c r="N1891" s="15"/>
    </row>
    <row r="1892" spans="9:14" ht="48.2" customHeight="1" x14ac:dyDescent="0.25">
      <c r="I1892" s="15"/>
      <c r="J1892" s="15"/>
      <c r="K1892" s="15"/>
      <c r="L1892" s="15"/>
      <c r="M1892" s="15"/>
      <c r="N1892" s="15"/>
    </row>
    <row r="1893" spans="9:14" ht="48.2" customHeight="1" x14ac:dyDescent="0.25">
      <c r="I1893" s="15"/>
      <c r="J1893" s="15"/>
      <c r="K1893" s="15"/>
      <c r="L1893" s="15"/>
      <c r="M1893" s="15"/>
      <c r="N1893" s="15"/>
    </row>
    <row r="1894" spans="9:14" ht="48.2" customHeight="1" x14ac:dyDescent="0.25">
      <c r="I1894" s="15"/>
      <c r="J1894" s="15"/>
      <c r="K1894" s="15"/>
      <c r="L1894" s="15"/>
      <c r="M1894" s="15"/>
      <c r="N1894" s="15"/>
    </row>
    <row r="1895" spans="9:14" ht="48.2" customHeight="1" x14ac:dyDescent="0.25">
      <c r="I1895" s="15"/>
      <c r="J1895" s="15"/>
      <c r="K1895" s="15"/>
      <c r="L1895" s="15"/>
      <c r="M1895" s="15"/>
      <c r="N1895" s="15"/>
    </row>
    <row r="1896" spans="9:14" ht="48.2" customHeight="1" x14ac:dyDescent="0.25">
      <c r="I1896" s="15"/>
      <c r="J1896" s="15"/>
      <c r="K1896" s="15"/>
      <c r="L1896" s="15"/>
      <c r="M1896" s="15"/>
      <c r="N1896" s="15"/>
    </row>
    <row r="1897" spans="9:14" ht="48.2" customHeight="1" x14ac:dyDescent="0.25">
      <c r="I1897" s="15"/>
      <c r="J1897" s="15"/>
      <c r="K1897" s="15"/>
      <c r="L1897" s="15"/>
      <c r="M1897" s="15"/>
      <c r="N1897" s="15"/>
    </row>
    <row r="1898" spans="9:14" ht="48.2" customHeight="1" x14ac:dyDescent="0.25">
      <c r="I1898" s="15"/>
      <c r="J1898" s="15"/>
      <c r="K1898" s="15"/>
      <c r="L1898" s="15"/>
      <c r="M1898" s="15"/>
      <c r="N1898" s="15"/>
    </row>
    <row r="1899" spans="9:14" ht="48.2" customHeight="1" x14ac:dyDescent="0.25">
      <c r="I1899" s="15"/>
      <c r="J1899" s="15"/>
      <c r="K1899" s="15"/>
      <c r="L1899" s="15"/>
      <c r="M1899" s="15"/>
      <c r="N1899" s="15"/>
    </row>
    <row r="1900" spans="9:14" ht="48.2" customHeight="1" x14ac:dyDescent="0.25">
      <c r="I1900" s="15"/>
      <c r="J1900" s="15"/>
      <c r="K1900" s="15"/>
      <c r="L1900" s="15"/>
      <c r="M1900" s="15"/>
      <c r="N1900" s="15"/>
    </row>
    <row r="1901" spans="9:14" ht="48.2" customHeight="1" x14ac:dyDescent="0.25">
      <c r="I1901" s="15"/>
      <c r="J1901" s="15"/>
      <c r="K1901" s="15"/>
      <c r="L1901" s="15"/>
      <c r="M1901" s="15"/>
      <c r="N1901" s="15"/>
    </row>
    <row r="1902" spans="9:14" ht="48.2" customHeight="1" x14ac:dyDescent="0.25">
      <c r="I1902" s="15"/>
      <c r="J1902" s="15"/>
      <c r="K1902" s="15"/>
      <c r="L1902" s="15"/>
      <c r="M1902" s="15"/>
      <c r="N1902" s="15"/>
    </row>
    <row r="1903" spans="9:14" ht="48.2" customHeight="1" x14ac:dyDescent="0.25">
      <c r="I1903" s="15"/>
      <c r="J1903" s="15"/>
      <c r="K1903" s="15"/>
      <c r="L1903" s="15"/>
      <c r="M1903" s="15"/>
      <c r="N1903" s="15"/>
    </row>
    <row r="1904" spans="9:14" ht="48.2" customHeight="1" x14ac:dyDescent="0.25">
      <c r="I1904" s="15"/>
      <c r="J1904" s="15"/>
      <c r="K1904" s="15"/>
      <c r="L1904" s="15"/>
      <c r="M1904" s="15"/>
      <c r="N1904" s="15"/>
    </row>
    <row r="1905" spans="9:14" ht="48.2" customHeight="1" x14ac:dyDescent="0.25">
      <c r="I1905" s="15"/>
      <c r="J1905" s="15"/>
      <c r="K1905" s="15"/>
      <c r="L1905" s="15"/>
      <c r="M1905" s="15"/>
      <c r="N1905" s="15"/>
    </row>
    <row r="1906" spans="9:14" ht="48.2" customHeight="1" x14ac:dyDescent="0.25">
      <c r="I1906" s="15"/>
      <c r="J1906" s="15"/>
      <c r="K1906" s="15"/>
      <c r="L1906" s="15"/>
      <c r="M1906" s="15"/>
      <c r="N1906" s="15"/>
    </row>
    <row r="1907" spans="9:14" ht="48.2" customHeight="1" x14ac:dyDescent="0.25">
      <c r="I1907" s="15"/>
      <c r="J1907" s="15"/>
      <c r="K1907" s="15"/>
      <c r="L1907" s="15"/>
      <c r="M1907" s="15"/>
      <c r="N1907" s="15"/>
    </row>
    <row r="1908" spans="9:14" ht="48.2" customHeight="1" x14ac:dyDescent="0.25">
      <c r="I1908" s="15"/>
      <c r="J1908" s="15"/>
      <c r="K1908" s="15"/>
      <c r="L1908" s="15"/>
      <c r="M1908" s="15"/>
      <c r="N1908" s="15"/>
    </row>
    <row r="1909" spans="9:14" ht="48.2" customHeight="1" x14ac:dyDescent="0.25">
      <c r="I1909" s="15"/>
      <c r="J1909" s="15"/>
      <c r="K1909" s="15"/>
      <c r="L1909" s="15"/>
      <c r="M1909" s="15"/>
      <c r="N1909" s="15"/>
    </row>
    <row r="1910" spans="9:14" ht="48.2" customHeight="1" x14ac:dyDescent="0.25">
      <c r="I1910" s="15"/>
      <c r="J1910" s="15"/>
      <c r="K1910" s="15"/>
      <c r="L1910" s="15"/>
      <c r="M1910" s="15"/>
      <c r="N1910" s="15"/>
    </row>
    <row r="1911" spans="9:14" ht="48.2" customHeight="1" x14ac:dyDescent="0.25">
      <c r="I1911" s="15"/>
      <c r="J1911" s="15"/>
      <c r="K1911" s="15"/>
      <c r="L1911" s="15"/>
      <c r="M1911" s="15"/>
      <c r="N1911" s="15"/>
    </row>
    <row r="1912" spans="9:14" ht="48.2" customHeight="1" x14ac:dyDescent="0.25">
      <c r="I1912" s="15"/>
      <c r="J1912" s="15"/>
      <c r="K1912" s="15"/>
      <c r="L1912" s="15"/>
      <c r="M1912" s="15"/>
      <c r="N1912" s="15"/>
    </row>
    <row r="1913" spans="9:14" ht="48.2" customHeight="1" x14ac:dyDescent="0.25">
      <c r="I1913" s="15"/>
      <c r="J1913" s="15"/>
      <c r="K1913" s="15"/>
      <c r="L1913" s="15"/>
      <c r="M1913" s="15"/>
      <c r="N1913" s="15"/>
    </row>
    <row r="1914" spans="9:14" ht="48.2" customHeight="1" x14ac:dyDescent="0.25">
      <c r="I1914" s="15"/>
      <c r="J1914" s="15"/>
      <c r="K1914" s="15"/>
      <c r="L1914" s="15"/>
      <c r="M1914" s="15"/>
      <c r="N1914" s="15"/>
    </row>
    <row r="1915" spans="9:14" ht="48.2" customHeight="1" x14ac:dyDescent="0.25">
      <c r="I1915" s="15"/>
      <c r="J1915" s="15"/>
      <c r="K1915" s="15"/>
      <c r="L1915" s="15"/>
      <c r="M1915" s="15"/>
      <c r="N1915" s="15"/>
    </row>
    <row r="1916" spans="9:14" ht="48.2" customHeight="1" x14ac:dyDescent="0.25">
      <c r="I1916" s="15"/>
      <c r="J1916" s="15"/>
      <c r="K1916" s="15"/>
      <c r="L1916" s="15"/>
      <c r="M1916" s="15"/>
      <c r="N1916" s="15"/>
    </row>
    <row r="1917" spans="9:14" ht="48.2" customHeight="1" x14ac:dyDescent="0.25">
      <c r="I1917" s="15"/>
      <c r="J1917" s="15"/>
      <c r="K1917" s="15"/>
      <c r="L1917" s="15"/>
      <c r="M1917" s="15"/>
      <c r="N1917" s="15"/>
    </row>
    <row r="1918" spans="9:14" ht="48.2" customHeight="1" x14ac:dyDescent="0.25">
      <c r="I1918" s="15"/>
      <c r="J1918" s="15"/>
      <c r="K1918" s="15"/>
      <c r="L1918" s="15"/>
      <c r="M1918" s="15"/>
      <c r="N1918" s="15"/>
    </row>
    <row r="1919" spans="9:14" ht="48.2" customHeight="1" x14ac:dyDescent="0.25">
      <c r="I1919" s="15"/>
      <c r="J1919" s="15"/>
      <c r="K1919" s="15"/>
      <c r="L1919" s="15"/>
      <c r="M1919" s="15"/>
      <c r="N1919" s="15"/>
    </row>
    <row r="1920" spans="9:14" ht="48.2" customHeight="1" x14ac:dyDescent="0.25">
      <c r="I1920" s="15"/>
      <c r="J1920" s="15"/>
      <c r="K1920" s="15"/>
      <c r="L1920" s="15"/>
      <c r="M1920" s="15"/>
      <c r="N1920" s="15"/>
    </row>
    <row r="1921" spans="9:14" ht="48.2" customHeight="1" x14ac:dyDescent="0.25">
      <c r="I1921" s="15"/>
      <c r="J1921" s="15"/>
      <c r="K1921" s="15"/>
      <c r="L1921" s="15"/>
      <c r="M1921" s="15"/>
      <c r="N1921" s="15"/>
    </row>
    <row r="1922" spans="9:14" ht="48.2" customHeight="1" x14ac:dyDescent="0.25">
      <c r="I1922" s="15"/>
      <c r="J1922" s="15"/>
      <c r="K1922" s="15"/>
      <c r="L1922" s="15"/>
      <c r="M1922" s="15"/>
      <c r="N1922" s="15"/>
    </row>
    <row r="1923" spans="9:14" ht="48.2" customHeight="1" x14ac:dyDescent="0.25">
      <c r="I1923" s="15"/>
      <c r="J1923" s="15"/>
      <c r="K1923" s="15"/>
      <c r="L1923" s="15"/>
      <c r="M1923" s="15"/>
      <c r="N1923" s="15"/>
    </row>
    <row r="1924" spans="9:14" ht="48.2" customHeight="1" x14ac:dyDescent="0.25">
      <c r="I1924" s="15"/>
      <c r="J1924" s="15"/>
      <c r="K1924" s="15"/>
      <c r="L1924" s="15"/>
      <c r="M1924" s="15"/>
      <c r="N1924" s="15"/>
    </row>
    <row r="1925" spans="9:14" ht="48.2" customHeight="1" x14ac:dyDescent="0.25">
      <c r="I1925" s="15"/>
      <c r="J1925" s="15"/>
      <c r="K1925" s="15"/>
      <c r="L1925" s="15"/>
      <c r="M1925" s="15"/>
      <c r="N1925" s="15"/>
    </row>
    <row r="1926" spans="9:14" ht="48.2" customHeight="1" x14ac:dyDescent="0.25">
      <c r="I1926" s="15"/>
      <c r="J1926" s="15"/>
      <c r="K1926" s="15"/>
      <c r="L1926" s="15"/>
      <c r="M1926" s="15"/>
      <c r="N1926" s="15"/>
    </row>
    <row r="1927" spans="9:14" ht="48.2" customHeight="1" x14ac:dyDescent="0.25">
      <c r="I1927" s="15"/>
      <c r="J1927" s="15"/>
      <c r="K1927" s="15"/>
      <c r="L1927" s="15"/>
      <c r="M1927" s="15"/>
      <c r="N1927" s="15"/>
    </row>
    <row r="1928" spans="9:14" ht="48.2" customHeight="1" x14ac:dyDescent="0.25">
      <c r="I1928" s="15"/>
      <c r="J1928" s="15"/>
      <c r="K1928" s="15"/>
      <c r="L1928" s="15"/>
      <c r="M1928" s="15"/>
      <c r="N1928" s="15"/>
    </row>
    <row r="1929" spans="9:14" ht="48.2" customHeight="1" x14ac:dyDescent="0.25">
      <c r="I1929" s="15"/>
      <c r="J1929" s="15"/>
      <c r="K1929" s="15"/>
      <c r="L1929" s="15"/>
      <c r="M1929" s="15"/>
      <c r="N1929" s="15"/>
    </row>
    <row r="1930" spans="9:14" ht="48.2" customHeight="1" x14ac:dyDescent="0.25">
      <c r="I1930" s="15"/>
      <c r="J1930" s="15"/>
      <c r="K1930" s="15"/>
      <c r="L1930" s="15"/>
      <c r="M1930" s="15"/>
      <c r="N1930" s="15"/>
    </row>
    <row r="1931" spans="9:14" ht="48.2" customHeight="1" x14ac:dyDescent="0.25">
      <c r="I1931" s="15"/>
      <c r="J1931" s="15"/>
      <c r="K1931" s="15"/>
      <c r="L1931" s="15"/>
      <c r="M1931" s="15"/>
      <c r="N1931" s="15"/>
    </row>
    <row r="1932" spans="9:14" ht="48.2" customHeight="1" x14ac:dyDescent="0.25">
      <c r="I1932" s="15"/>
      <c r="J1932" s="15"/>
      <c r="K1932" s="15"/>
      <c r="L1932" s="15"/>
      <c r="M1932" s="15"/>
      <c r="N1932" s="15"/>
    </row>
    <row r="1933" spans="9:14" ht="48.2" customHeight="1" x14ac:dyDescent="0.25">
      <c r="I1933" s="15"/>
      <c r="J1933" s="15"/>
      <c r="K1933" s="15"/>
      <c r="L1933" s="15"/>
      <c r="M1933" s="15"/>
      <c r="N1933" s="15"/>
    </row>
    <row r="1934" spans="9:14" ht="48.2" customHeight="1" x14ac:dyDescent="0.25">
      <c r="I1934" s="15"/>
      <c r="J1934" s="15"/>
      <c r="K1934" s="15"/>
      <c r="L1934" s="15"/>
      <c r="M1934" s="15"/>
      <c r="N1934" s="15"/>
    </row>
    <row r="1935" spans="9:14" ht="48.2" customHeight="1" x14ac:dyDescent="0.25">
      <c r="I1935" s="15"/>
      <c r="J1935" s="15"/>
      <c r="K1935" s="15"/>
      <c r="L1935" s="15"/>
      <c r="M1935" s="15"/>
      <c r="N1935" s="15"/>
    </row>
    <row r="1936" spans="9:14" ht="48.2" customHeight="1" x14ac:dyDescent="0.25">
      <c r="I1936" s="15"/>
      <c r="J1936" s="15"/>
      <c r="K1936" s="15"/>
      <c r="L1936" s="15"/>
      <c r="M1936" s="15"/>
      <c r="N1936" s="15"/>
    </row>
    <row r="1937" spans="9:14" ht="48.2" customHeight="1" x14ac:dyDescent="0.25">
      <c r="I1937" s="15"/>
      <c r="J1937" s="15"/>
      <c r="K1937" s="15"/>
      <c r="L1937" s="15"/>
      <c r="M1937" s="15"/>
      <c r="N1937" s="15"/>
    </row>
    <row r="1938" spans="9:14" ht="48.2" customHeight="1" x14ac:dyDescent="0.25">
      <c r="I1938" s="15"/>
      <c r="J1938" s="15"/>
      <c r="K1938" s="15"/>
      <c r="L1938" s="15"/>
      <c r="M1938" s="15"/>
      <c r="N1938" s="15"/>
    </row>
    <row r="1939" spans="9:14" ht="48.2" customHeight="1" x14ac:dyDescent="0.25">
      <c r="I1939" s="15"/>
      <c r="J1939" s="15"/>
      <c r="K1939" s="15"/>
      <c r="L1939" s="15"/>
      <c r="M1939" s="15"/>
      <c r="N1939" s="15"/>
    </row>
    <row r="1940" spans="9:14" ht="48.2" customHeight="1" x14ac:dyDescent="0.25">
      <c r="I1940" s="15"/>
      <c r="J1940" s="15"/>
      <c r="K1940" s="15"/>
      <c r="L1940" s="15"/>
      <c r="M1940" s="15"/>
      <c r="N1940" s="15"/>
    </row>
    <row r="1941" spans="9:14" ht="48.2" customHeight="1" x14ac:dyDescent="0.25">
      <c r="I1941" s="15"/>
      <c r="J1941" s="15"/>
      <c r="K1941" s="15"/>
      <c r="L1941" s="15"/>
      <c r="M1941" s="15"/>
      <c r="N1941" s="15"/>
    </row>
    <row r="1942" spans="9:14" ht="48.2" customHeight="1" x14ac:dyDescent="0.25">
      <c r="I1942" s="15"/>
      <c r="J1942" s="15"/>
      <c r="K1942" s="15"/>
      <c r="L1942" s="15"/>
      <c r="M1942" s="15"/>
      <c r="N1942" s="15"/>
    </row>
    <row r="1943" spans="9:14" ht="48.2" customHeight="1" x14ac:dyDescent="0.25">
      <c r="I1943" s="15"/>
      <c r="J1943" s="15"/>
      <c r="K1943" s="15"/>
      <c r="L1943" s="15"/>
      <c r="M1943" s="15"/>
      <c r="N1943" s="15"/>
    </row>
    <row r="1944" spans="9:14" ht="48.2" customHeight="1" x14ac:dyDescent="0.25">
      <c r="I1944" s="15"/>
      <c r="J1944" s="15"/>
      <c r="K1944" s="15"/>
      <c r="L1944" s="15"/>
      <c r="M1944" s="15"/>
      <c r="N1944" s="15"/>
    </row>
    <row r="1945" spans="9:14" ht="48.2" customHeight="1" x14ac:dyDescent="0.25">
      <c r="I1945" s="15"/>
      <c r="J1945" s="15"/>
      <c r="K1945" s="15"/>
      <c r="L1945" s="15"/>
      <c r="M1945" s="15"/>
      <c r="N1945" s="15"/>
    </row>
    <row r="1946" spans="9:14" ht="48.2" customHeight="1" x14ac:dyDescent="0.25">
      <c r="I1946" s="15"/>
      <c r="J1946" s="15"/>
      <c r="K1946" s="15"/>
      <c r="L1946" s="15"/>
      <c r="M1946" s="15"/>
      <c r="N1946" s="15"/>
    </row>
    <row r="1947" spans="9:14" ht="48.2" customHeight="1" x14ac:dyDescent="0.25">
      <c r="I1947" s="15"/>
      <c r="J1947" s="15"/>
      <c r="K1947" s="15"/>
      <c r="L1947" s="15"/>
      <c r="M1947" s="15"/>
      <c r="N1947" s="15"/>
    </row>
    <row r="1948" spans="9:14" ht="48.2" customHeight="1" x14ac:dyDescent="0.25">
      <c r="I1948" s="15"/>
      <c r="J1948" s="15"/>
      <c r="K1948" s="15"/>
      <c r="L1948" s="15"/>
      <c r="M1948" s="15"/>
      <c r="N1948" s="15"/>
    </row>
    <row r="1949" spans="9:14" ht="48.2" customHeight="1" x14ac:dyDescent="0.25">
      <c r="I1949" s="15"/>
      <c r="J1949" s="15"/>
      <c r="K1949" s="15"/>
      <c r="L1949" s="15"/>
      <c r="M1949" s="15"/>
      <c r="N1949" s="15"/>
    </row>
    <row r="1950" spans="9:14" ht="48.2" customHeight="1" x14ac:dyDescent="0.25">
      <c r="I1950" s="15"/>
      <c r="J1950" s="15"/>
      <c r="K1950" s="15"/>
      <c r="L1950" s="15"/>
      <c r="M1950" s="15"/>
      <c r="N1950" s="15"/>
    </row>
    <row r="1951" spans="9:14" ht="48.2" customHeight="1" x14ac:dyDescent="0.25">
      <c r="I1951" s="15"/>
      <c r="J1951" s="15"/>
      <c r="K1951" s="15"/>
      <c r="L1951" s="15"/>
      <c r="M1951" s="15"/>
      <c r="N1951" s="15"/>
    </row>
    <row r="1952" spans="9:14" ht="48.2" customHeight="1" x14ac:dyDescent="0.25">
      <c r="I1952" s="15"/>
      <c r="J1952" s="15"/>
      <c r="K1952" s="15"/>
      <c r="L1952" s="15"/>
      <c r="M1952" s="15"/>
      <c r="N1952" s="15"/>
    </row>
    <row r="1953" spans="9:14" ht="48.2" customHeight="1" x14ac:dyDescent="0.25">
      <c r="I1953" s="15"/>
      <c r="J1953" s="15"/>
      <c r="K1953" s="15"/>
      <c r="L1953" s="15"/>
      <c r="M1953" s="15"/>
      <c r="N1953" s="15"/>
    </row>
    <row r="1954" spans="9:14" ht="48.2" customHeight="1" x14ac:dyDescent="0.25">
      <c r="I1954" s="15"/>
      <c r="J1954" s="15"/>
      <c r="K1954" s="15"/>
      <c r="L1954" s="15"/>
      <c r="M1954" s="15"/>
      <c r="N1954" s="15"/>
    </row>
    <row r="1955" spans="9:14" ht="48.2" customHeight="1" x14ac:dyDescent="0.25">
      <c r="I1955" s="15"/>
      <c r="J1955" s="15"/>
      <c r="K1955" s="15"/>
      <c r="L1955" s="15"/>
      <c r="M1955" s="15"/>
      <c r="N1955" s="15"/>
    </row>
    <row r="1956" spans="9:14" ht="48.2" customHeight="1" x14ac:dyDescent="0.25">
      <c r="I1956" s="15"/>
      <c r="J1956" s="15"/>
      <c r="K1956" s="15"/>
      <c r="L1956" s="15"/>
      <c r="M1956" s="15"/>
      <c r="N1956" s="15"/>
    </row>
    <row r="1957" spans="9:14" ht="48.2" customHeight="1" x14ac:dyDescent="0.25">
      <c r="I1957" s="15"/>
      <c r="J1957" s="15"/>
      <c r="K1957" s="15"/>
      <c r="L1957" s="15"/>
      <c r="M1957" s="15"/>
      <c r="N1957" s="15"/>
    </row>
    <row r="1958" spans="9:14" ht="48.2" customHeight="1" x14ac:dyDescent="0.25">
      <c r="I1958" s="15"/>
      <c r="J1958" s="15"/>
      <c r="K1958" s="15"/>
      <c r="L1958" s="15"/>
      <c r="M1958" s="15"/>
      <c r="N1958" s="15"/>
    </row>
    <row r="1959" spans="9:14" ht="48.2" customHeight="1" x14ac:dyDescent="0.25">
      <c r="I1959" s="15"/>
      <c r="J1959" s="15"/>
      <c r="K1959" s="15"/>
      <c r="L1959" s="15"/>
      <c r="M1959" s="15"/>
      <c r="N1959" s="15"/>
    </row>
    <row r="1960" spans="9:14" ht="48.2" customHeight="1" x14ac:dyDescent="0.25">
      <c r="I1960" s="15"/>
      <c r="J1960" s="15"/>
      <c r="K1960" s="15"/>
      <c r="L1960" s="15"/>
      <c r="M1960" s="15"/>
      <c r="N1960" s="15"/>
    </row>
    <row r="1961" spans="9:14" ht="48.2" customHeight="1" x14ac:dyDescent="0.25">
      <c r="I1961" s="15"/>
      <c r="J1961" s="15"/>
      <c r="K1961" s="15"/>
      <c r="L1961" s="15"/>
      <c r="M1961" s="15"/>
      <c r="N1961" s="15"/>
    </row>
    <row r="1962" spans="9:14" ht="48.2" customHeight="1" x14ac:dyDescent="0.25">
      <c r="I1962" s="15"/>
      <c r="J1962" s="15"/>
      <c r="K1962" s="15"/>
      <c r="L1962" s="15"/>
      <c r="M1962" s="15"/>
      <c r="N1962" s="15"/>
    </row>
    <row r="1963" spans="9:14" ht="48.2" customHeight="1" x14ac:dyDescent="0.25">
      <c r="I1963" s="15"/>
      <c r="J1963" s="15"/>
      <c r="K1963" s="15"/>
      <c r="L1963" s="15"/>
      <c r="M1963" s="15"/>
      <c r="N1963" s="15"/>
    </row>
    <row r="1964" spans="9:14" ht="48.2" customHeight="1" x14ac:dyDescent="0.25">
      <c r="I1964" s="15"/>
      <c r="J1964" s="15"/>
      <c r="K1964" s="15"/>
      <c r="L1964" s="15"/>
      <c r="M1964" s="15"/>
      <c r="N1964" s="15"/>
    </row>
    <row r="1965" spans="9:14" ht="48.2" customHeight="1" x14ac:dyDescent="0.25">
      <c r="I1965" s="15"/>
      <c r="J1965" s="15"/>
      <c r="K1965" s="15"/>
      <c r="L1965" s="15"/>
      <c r="M1965" s="15"/>
      <c r="N1965" s="15"/>
    </row>
    <row r="1966" spans="9:14" ht="48.2" customHeight="1" x14ac:dyDescent="0.25">
      <c r="I1966" s="15"/>
      <c r="J1966" s="15"/>
      <c r="K1966" s="15"/>
      <c r="L1966" s="15"/>
      <c r="M1966" s="15"/>
      <c r="N1966" s="15"/>
    </row>
    <row r="1967" spans="9:14" ht="48.2" customHeight="1" x14ac:dyDescent="0.25">
      <c r="I1967" s="15"/>
      <c r="J1967" s="15"/>
      <c r="K1967" s="15"/>
      <c r="L1967" s="15"/>
      <c r="M1967" s="15"/>
      <c r="N1967" s="15"/>
    </row>
    <row r="1968" spans="9:14" ht="48.2" customHeight="1" x14ac:dyDescent="0.25">
      <c r="I1968" s="15"/>
      <c r="J1968" s="15"/>
      <c r="K1968" s="15"/>
      <c r="L1968" s="15"/>
      <c r="M1968" s="15"/>
      <c r="N1968" s="15"/>
    </row>
    <row r="1969" spans="9:14" ht="48.2" customHeight="1" x14ac:dyDescent="0.25">
      <c r="I1969" s="15"/>
      <c r="J1969" s="15"/>
      <c r="K1969" s="15"/>
      <c r="L1969" s="15"/>
      <c r="M1969" s="15"/>
      <c r="N1969" s="15"/>
    </row>
    <row r="1970" spans="9:14" ht="48.2" customHeight="1" x14ac:dyDescent="0.25">
      <c r="I1970" s="15"/>
      <c r="J1970" s="15"/>
      <c r="K1970" s="15"/>
      <c r="L1970" s="15"/>
      <c r="M1970" s="15"/>
      <c r="N1970" s="15"/>
    </row>
    <row r="1971" spans="9:14" ht="48.2" customHeight="1" x14ac:dyDescent="0.25">
      <c r="I1971" s="15"/>
      <c r="J1971" s="15"/>
      <c r="K1971" s="15"/>
      <c r="L1971" s="15"/>
      <c r="M1971" s="15"/>
      <c r="N1971" s="15"/>
    </row>
    <row r="1972" spans="9:14" ht="48.2" customHeight="1" x14ac:dyDescent="0.25">
      <c r="I1972" s="15"/>
      <c r="J1972" s="15"/>
      <c r="K1972" s="15"/>
      <c r="L1972" s="15"/>
      <c r="M1972" s="15"/>
      <c r="N1972" s="15"/>
    </row>
    <row r="1973" spans="9:14" ht="48.2" customHeight="1" x14ac:dyDescent="0.25">
      <c r="I1973" s="15"/>
      <c r="J1973" s="15"/>
      <c r="K1973" s="15"/>
      <c r="L1973" s="15"/>
      <c r="M1973" s="15"/>
      <c r="N1973" s="15"/>
    </row>
    <row r="1974" spans="9:14" ht="48.2" customHeight="1" x14ac:dyDescent="0.25">
      <c r="I1974" s="15"/>
      <c r="J1974" s="15"/>
      <c r="K1974" s="15"/>
      <c r="L1974" s="15"/>
      <c r="M1974" s="15"/>
      <c r="N1974" s="15"/>
    </row>
    <row r="1975" spans="9:14" ht="48.2" customHeight="1" x14ac:dyDescent="0.25">
      <c r="I1975" s="15"/>
      <c r="J1975" s="15"/>
      <c r="K1975" s="15"/>
      <c r="L1975" s="15"/>
      <c r="M1975" s="15"/>
      <c r="N1975" s="15"/>
    </row>
    <row r="1976" spans="9:14" ht="48.2" customHeight="1" x14ac:dyDescent="0.25">
      <c r="I1976" s="15"/>
      <c r="J1976" s="15"/>
      <c r="K1976" s="15"/>
      <c r="L1976" s="15"/>
      <c r="M1976" s="15"/>
      <c r="N1976" s="15"/>
    </row>
    <row r="1977" spans="9:14" ht="48.2" customHeight="1" x14ac:dyDescent="0.25">
      <c r="I1977" s="15"/>
      <c r="J1977" s="15"/>
      <c r="K1977" s="15"/>
      <c r="L1977" s="15"/>
      <c r="M1977" s="15"/>
      <c r="N1977" s="15"/>
    </row>
    <row r="1978" spans="9:14" ht="48.2" customHeight="1" x14ac:dyDescent="0.25">
      <c r="I1978" s="15"/>
      <c r="J1978" s="15"/>
      <c r="K1978" s="15"/>
      <c r="L1978" s="15"/>
      <c r="M1978" s="15"/>
      <c r="N1978" s="15"/>
    </row>
    <row r="1979" spans="9:14" ht="48.2" customHeight="1" x14ac:dyDescent="0.25">
      <c r="I1979" s="15"/>
      <c r="J1979" s="15"/>
      <c r="K1979" s="15"/>
      <c r="L1979" s="15"/>
      <c r="M1979" s="15"/>
      <c r="N1979" s="15"/>
    </row>
    <row r="1980" spans="9:14" ht="48.2" customHeight="1" x14ac:dyDescent="0.25">
      <c r="I1980" s="15"/>
      <c r="J1980" s="15"/>
      <c r="K1980" s="15"/>
      <c r="L1980" s="15"/>
      <c r="M1980" s="15"/>
      <c r="N1980" s="15"/>
    </row>
    <row r="1981" spans="9:14" ht="48.2" customHeight="1" x14ac:dyDescent="0.25">
      <c r="I1981" s="15"/>
      <c r="J1981" s="15"/>
      <c r="K1981" s="15"/>
      <c r="L1981" s="15"/>
      <c r="M1981" s="15"/>
      <c r="N1981" s="15"/>
    </row>
    <row r="1982" spans="9:14" ht="48.2" customHeight="1" x14ac:dyDescent="0.25">
      <c r="I1982" s="15"/>
      <c r="J1982" s="15"/>
      <c r="K1982" s="15"/>
      <c r="L1982" s="15"/>
      <c r="M1982" s="15"/>
      <c r="N1982" s="15"/>
    </row>
    <row r="1983" spans="9:14" ht="48.2" customHeight="1" x14ac:dyDescent="0.25">
      <c r="I1983" s="15"/>
      <c r="J1983" s="15"/>
      <c r="K1983" s="15"/>
      <c r="L1983" s="15"/>
      <c r="M1983" s="15"/>
      <c r="N1983" s="15"/>
    </row>
    <row r="1984" spans="9:14" ht="48.2" customHeight="1" x14ac:dyDescent="0.25">
      <c r="I1984" s="15"/>
      <c r="J1984" s="15"/>
      <c r="K1984" s="15"/>
      <c r="L1984" s="15"/>
      <c r="M1984" s="15"/>
      <c r="N1984" s="15"/>
    </row>
    <row r="1985" spans="9:14" ht="48.2" customHeight="1" x14ac:dyDescent="0.25">
      <c r="I1985" s="15"/>
      <c r="J1985" s="15"/>
      <c r="K1985" s="15"/>
      <c r="L1985" s="15"/>
      <c r="M1985" s="15"/>
      <c r="N1985" s="15"/>
    </row>
    <row r="1986" spans="9:14" ht="48.2" customHeight="1" x14ac:dyDescent="0.25">
      <c r="I1986" s="15"/>
      <c r="J1986" s="15"/>
      <c r="K1986" s="15"/>
      <c r="L1986" s="15"/>
      <c r="M1986" s="15"/>
      <c r="N1986" s="15"/>
    </row>
    <row r="1987" spans="9:14" ht="48.2" customHeight="1" x14ac:dyDescent="0.25">
      <c r="I1987" s="15"/>
      <c r="J1987" s="15"/>
      <c r="K1987" s="15"/>
      <c r="L1987" s="15"/>
      <c r="M1987" s="15"/>
      <c r="N1987" s="15"/>
    </row>
    <row r="1988" spans="9:14" ht="48.2" customHeight="1" x14ac:dyDescent="0.25">
      <c r="I1988" s="15"/>
      <c r="J1988" s="15"/>
      <c r="K1988" s="15"/>
      <c r="L1988" s="15"/>
      <c r="M1988" s="15"/>
      <c r="N1988" s="15"/>
    </row>
    <row r="1989" spans="9:14" ht="48.2" customHeight="1" x14ac:dyDescent="0.25">
      <c r="I1989" s="15"/>
      <c r="J1989" s="15"/>
      <c r="K1989" s="15"/>
      <c r="L1989" s="15"/>
      <c r="M1989" s="15"/>
      <c r="N1989" s="15"/>
    </row>
    <row r="1990" spans="9:14" ht="48.2" customHeight="1" x14ac:dyDescent="0.25">
      <c r="I1990" s="15"/>
      <c r="J1990" s="15"/>
      <c r="K1990" s="15"/>
      <c r="L1990" s="15"/>
      <c r="M1990" s="15"/>
      <c r="N1990" s="15"/>
    </row>
    <row r="1991" spans="9:14" ht="48.2" customHeight="1" x14ac:dyDescent="0.25">
      <c r="I1991" s="15"/>
      <c r="J1991" s="15"/>
      <c r="K1991" s="15"/>
      <c r="L1991" s="15"/>
      <c r="M1991" s="15"/>
      <c r="N1991" s="15"/>
    </row>
    <row r="1992" spans="9:14" ht="48.2" customHeight="1" x14ac:dyDescent="0.25">
      <c r="I1992" s="15"/>
      <c r="J1992" s="15"/>
      <c r="K1992" s="15"/>
      <c r="L1992" s="15"/>
      <c r="M1992" s="15"/>
      <c r="N1992" s="15"/>
    </row>
    <row r="1993" spans="9:14" ht="48.2" customHeight="1" x14ac:dyDescent="0.25">
      <c r="I1993" s="15"/>
      <c r="J1993" s="15"/>
      <c r="K1993" s="15"/>
      <c r="L1993" s="15"/>
      <c r="M1993" s="15"/>
      <c r="N1993" s="15"/>
    </row>
    <row r="1994" spans="9:14" ht="48.2" customHeight="1" x14ac:dyDescent="0.25">
      <c r="I1994" s="15"/>
      <c r="J1994" s="15"/>
      <c r="K1994" s="15"/>
      <c r="L1994" s="15"/>
      <c r="M1994" s="15"/>
      <c r="N1994" s="15"/>
    </row>
    <row r="1995" spans="9:14" ht="48.2" customHeight="1" x14ac:dyDescent="0.25">
      <c r="I1995" s="15"/>
      <c r="J1995" s="15"/>
      <c r="K1995" s="15"/>
      <c r="L1995" s="15"/>
      <c r="M1995" s="15"/>
      <c r="N1995" s="15"/>
    </row>
    <row r="1996" spans="9:14" ht="48.2" customHeight="1" x14ac:dyDescent="0.25">
      <c r="I1996" s="15"/>
      <c r="J1996" s="15"/>
      <c r="K1996" s="15"/>
      <c r="L1996" s="15"/>
      <c r="M1996" s="15"/>
      <c r="N1996" s="15"/>
    </row>
    <row r="1997" spans="9:14" ht="48.2" customHeight="1" x14ac:dyDescent="0.25">
      <c r="I1997" s="15"/>
      <c r="J1997" s="15"/>
      <c r="K1997" s="15"/>
      <c r="L1997" s="15"/>
      <c r="M1997" s="15"/>
      <c r="N1997" s="15"/>
    </row>
    <row r="1998" spans="9:14" ht="48.2" customHeight="1" x14ac:dyDescent="0.25">
      <c r="I1998" s="15"/>
      <c r="J1998" s="15"/>
      <c r="K1998" s="15"/>
      <c r="L1998" s="15"/>
      <c r="M1998" s="15"/>
      <c r="N1998" s="15"/>
    </row>
    <row r="1999" spans="9:14" ht="48.2" customHeight="1" x14ac:dyDescent="0.25">
      <c r="I1999" s="15"/>
      <c r="J1999" s="15"/>
      <c r="K1999" s="15"/>
      <c r="L1999" s="15"/>
      <c r="M1999" s="15"/>
      <c r="N1999" s="15"/>
    </row>
    <row r="2000" spans="9:14" ht="48.2" customHeight="1" x14ac:dyDescent="0.25">
      <c r="I2000" s="15"/>
      <c r="J2000" s="15"/>
      <c r="K2000" s="15"/>
      <c r="L2000" s="15"/>
      <c r="M2000" s="15"/>
      <c r="N2000" s="15"/>
    </row>
    <row r="2001" spans="9:14" ht="48.2" customHeight="1" x14ac:dyDescent="0.25">
      <c r="I2001" s="15"/>
      <c r="J2001" s="15"/>
      <c r="K2001" s="15"/>
      <c r="L2001" s="15"/>
      <c r="M2001" s="15"/>
      <c r="N2001" s="15"/>
    </row>
    <row r="2002" spans="9:14" ht="48.2" customHeight="1" x14ac:dyDescent="0.25">
      <c r="I2002" s="15"/>
      <c r="J2002" s="15"/>
      <c r="K2002" s="15"/>
      <c r="L2002" s="15"/>
      <c r="M2002" s="15"/>
      <c r="N2002" s="15"/>
    </row>
    <row r="2003" spans="9:14" ht="48.2" customHeight="1" x14ac:dyDescent="0.25">
      <c r="I2003" s="15"/>
      <c r="J2003" s="15"/>
      <c r="K2003" s="15"/>
      <c r="L2003" s="15"/>
      <c r="M2003" s="15"/>
      <c r="N2003" s="15"/>
    </row>
    <row r="2004" spans="9:14" ht="48.2" customHeight="1" x14ac:dyDescent="0.25">
      <c r="I2004" s="15"/>
      <c r="J2004" s="15"/>
      <c r="K2004" s="15"/>
      <c r="L2004" s="15"/>
      <c r="M2004" s="15"/>
      <c r="N2004" s="15"/>
    </row>
    <row r="2005" spans="9:14" ht="48.2" customHeight="1" x14ac:dyDescent="0.25">
      <c r="I2005" s="15"/>
      <c r="J2005" s="15"/>
      <c r="K2005" s="15"/>
      <c r="L2005" s="15"/>
      <c r="M2005" s="15"/>
      <c r="N2005" s="15"/>
    </row>
    <row r="2006" spans="9:14" ht="48.2" customHeight="1" x14ac:dyDescent="0.25">
      <c r="I2006" s="15"/>
      <c r="J2006" s="15"/>
      <c r="K2006" s="15"/>
      <c r="L2006" s="15"/>
      <c r="M2006" s="15"/>
      <c r="N2006" s="15"/>
    </row>
    <row r="2007" spans="9:14" ht="48.2" customHeight="1" x14ac:dyDescent="0.25">
      <c r="I2007" s="15"/>
      <c r="J2007" s="15"/>
      <c r="K2007" s="15"/>
      <c r="L2007" s="15"/>
      <c r="M2007" s="15"/>
      <c r="N2007" s="15"/>
    </row>
    <row r="2008" spans="9:14" ht="48.2" customHeight="1" x14ac:dyDescent="0.25">
      <c r="I2008" s="15"/>
      <c r="J2008" s="15"/>
      <c r="K2008" s="15"/>
      <c r="L2008" s="15"/>
      <c r="M2008" s="15"/>
      <c r="N2008" s="15"/>
    </row>
    <row r="2009" spans="9:14" ht="48.2" customHeight="1" x14ac:dyDescent="0.25">
      <c r="I2009" s="15"/>
      <c r="J2009" s="15"/>
      <c r="K2009" s="15"/>
      <c r="L2009" s="15"/>
      <c r="M2009" s="15"/>
      <c r="N2009" s="15"/>
    </row>
    <row r="2010" spans="9:14" ht="48.2" customHeight="1" x14ac:dyDescent="0.25">
      <c r="I2010" s="15"/>
      <c r="J2010" s="15"/>
      <c r="K2010" s="15"/>
      <c r="L2010" s="15"/>
      <c r="M2010" s="15"/>
      <c r="N2010" s="15"/>
    </row>
    <row r="2011" spans="9:14" ht="48.2" customHeight="1" x14ac:dyDescent="0.25">
      <c r="I2011" s="15"/>
      <c r="J2011" s="15"/>
      <c r="K2011" s="15"/>
      <c r="L2011" s="15"/>
      <c r="M2011" s="15"/>
      <c r="N2011" s="15"/>
    </row>
    <row r="2012" spans="9:14" ht="48.2" customHeight="1" x14ac:dyDescent="0.25">
      <c r="I2012" s="15"/>
      <c r="J2012" s="15"/>
      <c r="K2012" s="15"/>
      <c r="L2012" s="15"/>
      <c r="M2012" s="15"/>
      <c r="N2012" s="15"/>
    </row>
    <row r="2013" spans="9:14" ht="48.2" customHeight="1" x14ac:dyDescent="0.25">
      <c r="I2013" s="15"/>
      <c r="J2013" s="15"/>
      <c r="K2013" s="15"/>
      <c r="L2013" s="15"/>
      <c r="M2013" s="15"/>
      <c r="N2013" s="15"/>
    </row>
    <row r="2014" spans="9:14" ht="48.2" customHeight="1" x14ac:dyDescent="0.25">
      <c r="I2014" s="15"/>
      <c r="J2014" s="15"/>
      <c r="K2014" s="15"/>
      <c r="L2014" s="15"/>
      <c r="M2014" s="15"/>
      <c r="N2014" s="15"/>
    </row>
    <row r="2015" spans="9:14" ht="48.2" customHeight="1" x14ac:dyDescent="0.25">
      <c r="I2015" s="15"/>
      <c r="J2015" s="15"/>
      <c r="K2015" s="15"/>
      <c r="L2015" s="15"/>
      <c r="M2015" s="15"/>
      <c r="N2015" s="15"/>
    </row>
    <row r="2016" spans="9:14" ht="48.2" customHeight="1" x14ac:dyDescent="0.25">
      <c r="I2016" s="15"/>
      <c r="J2016" s="15"/>
      <c r="K2016" s="15"/>
      <c r="L2016" s="15"/>
      <c r="M2016" s="15"/>
      <c r="N2016" s="15"/>
    </row>
    <row r="2017" spans="9:14" ht="48.2" customHeight="1" x14ac:dyDescent="0.25">
      <c r="I2017" s="15"/>
      <c r="J2017" s="15"/>
      <c r="K2017" s="15"/>
      <c r="L2017" s="15"/>
      <c r="M2017" s="15"/>
      <c r="N2017" s="15"/>
    </row>
    <row r="2018" spans="9:14" ht="48.2" customHeight="1" x14ac:dyDescent="0.25">
      <c r="I2018" s="15"/>
      <c r="J2018" s="15"/>
      <c r="K2018" s="15"/>
      <c r="L2018" s="15"/>
      <c r="M2018" s="15"/>
      <c r="N2018" s="15"/>
    </row>
    <row r="2019" spans="9:14" ht="48.2" customHeight="1" x14ac:dyDescent="0.25">
      <c r="I2019" s="15"/>
      <c r="J2019" s="15"/>
      <c r="K2019" s="15"/>
      <c r="L2019" s="15"/>
      <c r="M2019" s="15"/>
      <c r="N2019" s="15"/>
    </row>
    <row r="2020" spans="9:14" ht="48.2" customHeight="1" x14ac:dyDescent="0.25">
      <c r="I2020" s="15"/>
      <c r="J2020" s="15"/>
      <c r="K2020" s="15"/>
      <c r="L2020" s="15"/>
      <c r="M2020" s="15"/>
      <c r="N2020" s="15"/>
    </row>
    <row r="2021" spans="9:14" ht="48.2" customHeight="1" x14ac:dyDescent="0.25">
      <c r="I2021" s="15"/>
      <c r="J2021" s="15"/>
      <c r="K2021" s="15"/>
      <c r="L2021" s="15"/>
      <c r="M2021" s="15"/>
      <c r="N2021" s="15"/>
    </row>
    <row r="2022" spans="9:14" ht="48.2" customHeight="1" x14ac:dyDescent="0.25">
      <c r="I2022" s="15"/>
      <c r="J2022" s="15"/>
      <c r="K2022" s="15"/>
      <c r="L2022" s="15"/>
      <c r="M2022" s="15"/>
      <c r="N2022" s="15"/>
    </row>
    <row r="2023" spans="9:14" ht="48.2" customHeight="1" x14ac:dyDescent="0.25">
      <c r="I2023" s="15"/>
      <c r="J2023" s="15"/>
      <c r="K2023" s="15"/>
      <c r="L2023" s="15"/>
      <c r="M2023" s="15"/>
      <c r="N2023" s="15"/>
    </row>
    <row r="2024" spans="9:14" ht="48.2" customHeight="1" x14ac:dyDescent="0.25">
      <c r="I2024" s="15"/>
      <c r="J2024" s="15"/>
      <c r="K2024" s="15"/>
      <c r="L2024" s="15"/>
      <c r="M2024" s="15"/>
      <c r="N2024" s="15"/>
    </row>
    <row r="2025" spans="9:14" ht="48.2" customHeight="1" x14ac:dyDescent="0.25">
      <c r="I2025" s="15"/>
      <c r="J2025" s="15"/>
      <c r="K2025" s="15"/>
      <c r="L2025" s="15"/>
      <c r="M2025" s="15"/>
      <c r="N2025" s="15"/>
    </row>
    <row r="2026" spans="9:14" ht="48.2" customHeight="1" x14ac:dyDescent="0.25">
      <c r="I2026" s="15"/>
      <c r="J2026" s="15"/>
      <c r="K2026" s="15"/>
      <c r="L2026" s="15"/>
      <c r="M2026" s="15"/>
      <c r="N2026" s="15"/>
    </row>
    <row r="2027" spans="9:14" ht="48.2" customHeight="1" x14ac:dyDescent="0.25">
      <c r="I2027" s="15"/>
      <c r="J2027" s="15"/>
      <c r="K2027" s="15"/>
      <c r="L2027" s="15"/>
      <c r="M2027" s="15"/>
      <c r="N2027" s="15"/>
    </row>
    <row r="2028" spans="9:14" ht="48.2" customHeight="1" x14ac:dyDescent="0.25">
      <c r="I2028" s="15"/>
      <c r="J2028" s="15"/>
      <c r="K2028" s="15"/>
      <c r="L2028" s="15"/>
      <c r="M2028" s="15"/>
      <c r="N2028" s="15"/>
    </row>
    <row r="2029" spans="9:14" ht="48.2" customHeight="1" x14ac:dyDescent="0.25">
      <c r="I2029" s="15"/>
      <c r="J2029" s="15"/>
      <c r="K2029" s="15"/>
      <c r="L2029" s="15"/>
      <c r="M2029" s="15"/>
      <c r="N2029" s="15"/>
    </row>
    <row r="2030" spans="9:14" ht="48.2" customHeight="1" x14ac:dyDescent="0.25">
      <c r="I2030" s="15"/>
      <c r="J2030" s="15"/>
      <c r="K2030" s="15"/>
      <c r="L2030" s="15"/>
      <c r="M2030" s="15"/>
      <c r="N2030" s="15"/>
    </row>
    <row r="2031" spans="9:14" ht="48.2" customHeight="1" x14ac:dyDescent="0.25">
      <c r="I2031" s="15"/>
      <c r="J2031" s="15"/>
      <c r="K2031" s="15"/>
      <c r="L2031" s="15"/>
      <c r="M2031" s="15"/>
      <c r="N2031" s="15"/>
    </row>
    <row r="2032" spans="9:14" ht="48.2" customHeight="1" x14ac:dyDescent="0.25">
      <c r="I2032" s="15"/>
      <c r="J2032" s="15"/>
      <c r="K2032" s="15"/>
      <c r="L2032" s="15"/>
      <c r="M2032" s="15"/>
      <c r="N2032" s="15"/>
    </row>
    <row r="2033" spans="9:14" ht="48.2" customHeight="1" x14ac:dyDescent="0.25">
      <c r="I2033" s="15"/>
      <c r="J2033" s="15"/>
      <c r="K2033" s="15"/>
      <c r="L2033" s="15"/>
      <c r="M2033" s="15"/>
      <c r="N2033" s="15"/>
    </row>
    <row r="2034" spans="9:14" ht="48.2" customHeight="1" x14ac:dyDescent="0.25">
      <c r="I2034" s="15"/>
      <c r="J2034" s="15"/>
      <c r="K2034" s="15"/>
      <c r="L2034" s="15"/>
      <c r="M2034" s="15"/>
      <c r="N2034" s="15"/>
    </row>
    <row r="2035" spans="9:14" ht="48.2" customHeight="1" x14ac:dyDescent="0.25">
      <c r="I2035" s="15"/>
      <c r="J2035" s="15"/>
      <c r="K2035" s="15"/>
      <c r="L2035" s="15"/>
      <c r="M2035" s="15"/>
      <c r="N2035" s="15"/>
    </row>
    <row r="2036" spans="9:14" ht="48.2" customHeight="1" x14ac:dyDescent="0.25">
      <c r="I2036" s="15"/>
      <c r="J2036" s="15"/>
      <c r="K2036" s="15"/>
      <c r="L2036" s="15"/>
      <c r="M2036" s="15"/>
      <c r="N2036" s="15"/>
    </row>
    <row r="2037" spans="9:14" ht="48.2" customHeight="1" x14ac:dyDescent="0.25">
      <c r="I2037" s="15"/>
      <c r="J2037" s="15"/>
      <c r="K2037" s="15"/>
      <c r="L2037" s="15"/>
      <c r="M2037" s="15"/>
      <c r="N2037" s="15"/>
    </row>
    <row r="2038" spans="9:14" ht="48.2" customHeight="1" x14ac:dyDescent="0.25">
      <c r="I2038" s="15"/>
      <c r="J2038" s="15"/>
      <c r="K2038" s="15"/>
      <c r="L2038" s="15"/>
      <c r="M2038" s="15"/>
      <c r="N2038" s="15"/>
    </row>
    <row r="2039" spans="9:14" ht="48.2" customHeight="1" x14ac:dyDescent="0.25">
      <c r="I2039" s="15"/>
      <c r="J2039" s="15"/>
      <c r="K2039" s="15"/>
      <c r="L2039" s="15"/>
      <c r="M2039" s="15"/>
      <c r="N2039" s="15"/>
    </row>
    <row r="2040" spans="9:14" ht="48.2" customHeight="1" x14ac:dyDescent="0.25">
      <c r="I2040" s="15"/>
      <c r="J2040" s="15"/>
      <c r="K2040" s="15"/>
      <c r="L2040" s="15"/>
      <c r="M2040" s="15"/>
      <c r="N2040" s="15"/>
    </row>
    <row r="2041" spans="9:14" ht="48.2" customHeight="1" x14ac:dyDescent="0.25">
      <c r="I2041" s="15"/>
      <c r="J2041" s="15"/>
      <c r="K2041" s="15"/>
      <c r="L2041" s="15"/>
      <c r="M2041" s="15"/>
      <c r="N2041" s="15"/>
    </row>
    <row r="2042" spans="9:14" ht="48.2" customHeight="1" x14ac:dyDescent="0.25">
      <c r="I2042" s="15"/>
      <c r="J2042" s="15"/>
      <c r="K2042" s="15"/>
      <c r="L2042" s="15"/>
      <c r="M2042" s="15"/>
      <c r="N2042" s="15"/>
    </row>
    <row r="2043" spans="9:14" ht="48.2" customHeight="1" x14ac:dyDescent="0.25">
      <c r="I2043" s="15"/>
      <c r="J2043" s="15"/>
      <c r="K2043" s="15"/>
      <c r="L2043" s="15"/>
      <c r="M2043" s="15"/>
      <c r="N2043" s="15"/>
    </row>
    <row r="2044" spans="9:14" ht="48.2" customHeight="1" x14ac:dyDescent="0.25">
      <c r="I2044" s="15"/>
      <c r="J2044" s="15"/>
      <c r="K2044" s="15"/>
      <c r="L2044" s="15"/>
      <c r="M2044" s="15"/>
      <c r="N2044" s="15"/>
    </row>
    <row r="2045" spans="9:14" ht="48.2" customHeight="1" x14ac:dyDescent="0.25">
      <c r="I2045" s="15"/>
      <c r="J2045" s="15"/>
      <c r="K2045" s="15"/>
      <c r="L2045" s="15"/>
      <c r="M2045" s="15"/>
      <c r="N2045" s="15"/>
    </row>
    <row r="2046" spans="9:14" ht="48.2" customHeight="1" x14ac:dyDescent="0.25">
      <c r="I2046" s="15"/>
      <c r="J2046" s="15"/>
      <c r="K2046" s="15"/>
      <c r="L2046" s="15"/>
      <c r="M2046" s="15"/>
      <c r="N2046" s="15"/>
    </row>
    <row r="2047" spans="9:14" ht="48.2" customHeight="1" x14ac:dyDescent="0.25">
      <c r="I2047" s="15"/>
      <c r="J2047" s="15"/>
      <c r="K2047" s="15"/>
      <c r="L2047" s="15"/>
      <c r="M2047" s="15"/>
      <c r="N2047" s="15"/>
    </row>
    <row r="2048" spans="9:14" ht="48.2" customHeight="1" x14ac:dyDescent="0.25">
      <c r="I2048" s="15"/>
      <c r="J2048" s="15"/>
      <c r="K2048" s="15"/>
      <c r="L2048" s="15"/>
      <c r="M2048" s="15"/>
      <c r="N2048" s="15"/>
    </row>
    <row r="2049" spans="9:14" ht="48.2" customHeight="1" x14ac:dyDescent="0.25">
      <c r="I2049" s="15"/>
      <c r="J2049" s="15"/>
      <c r="K2049" s="15"/>
      <c r="L2049" s="15"/>
      <c r="M2049" s="15"/>
      <c r="N2049" s="15"/>
    </row>
    <row r="2050" spans="9:14" ht="48.2" customHeight="1" x14ac:dyDescent="0.25">
      <c r="I2050" s="15"/>
      <c r="J2050" s="15"/>
      <c r="K2050" s="15"/>
      <c r="L2050" s="15"/>
      <c r="M2050" s="15"/>
      <c r="N2050" s="15"/>
    </row>
    <row r="2051" spans="9:14" ht="48.2" customHeight="1" x14ac:dyDescent="0.25">
      <c r="I2051" s="15"/>
      <c r="J2051" s="15"/>
      <c r="K2051" s="15"/>
      <c r="L2051" s="15"/>
      <c r="M2051" s="15"/>
      <c r="N2051" s="15"/>
    </row>
    <row r="2052" spans="9:14" ht="48.2" customHeight="1" x14ac:dyDescent="0.25">
      <c r="I2052" s="15"/>
      <c r="J2052" s="15"/>
      <c r="K2052" s="15"/>
      <c r="L2052" s="15"/>
      <c r="M2052" s="15"/>
      <c r="N2052" s="15"/>
    </row>
    <row r="2053" spans="9:14" ht="48.2" customHeight="1" x14ac:dyDescent="0.25">
      <c r="I2053" s="15"/>
      <c r="J2053" s="15"/>
      <c r="K2053" s="15"/>
      <c r="L2053" s="15"/>
      <c r="M2053" s="15"/>
      <c r="N2053" s="15"/>
    </row>
    <row r="2054" spans="9:14" ht="48.2" customHeight="1" x14ac:dyDescent="0.25">
      <c r="I2054" s="15"/>
      <c r="J2054" s="15"/>
      <c r="K2054" s="15"/>
      <c r="L2054" s="15"/>
      <c r="M2054" s="15"/>
      <c r="N2054" s="15"/>
    </row>
    <row r="2055" spans="9:14" ht="48.2" customHeight="1" x14ac:dyDescent="0.25">
      <c r="I2055" s="15"/>
      <c r="J2055" s="15"/>
      <c r="K2055" s="15"/>
      <c r="L2055" s="15"/>
      <c r="M2055" s="15"/>
      <c r="N2055" s="15"/>
    </row>
    <row r="2056" spans="9:14" ht="48.2" customHeight="1" x14ac:dyDescent="0.25">
      <c r="I2056" s="15"/>
      <c r="J2056" s="15"/>
      <c r="K2056" s="15"/>
      <c r="L2056" s="15"/>
      <c r="M2056" s="15"/>
      <c r="N2056" s="15"/>
    </row>
    <row r="2057" spans="9:14" ht="48.2" customHeight="1" x14ac:dyDescent="0.25">
      <c r="I2057" s="15"/>
      <c r="J2057" s="15"/>
      <c r="K2057" s="15"/>
      <c r="L2057" s="15"/>
      <c r="M2057" s="15"/>
      <c r="N2057" s="15"/>
    </row>
    <row r="2058" spans="9:14" ht="48.2" customHeight="1" x14ac:dyDescent="0.25">
      <c r="I2058" s="15"/>
      <c r="J2058" s="15"/>
      <c r="K2058" s="15"/>
      <c r="L2058" s="15"/>
      <c r="M2058" s="15"/>
      <c r="N2058" s="15"/>
    </row>
    <row r="2059" spans="9:14" ht="48.2" customHeight="1" x14ac:dyDescent="0.25">
      <c r="I2059" s="15"/>
      <c r="J2059" s="15"/>
      <c r="K2059" s="15"/>
      <c r="L2059" s="15"/>
      <c r="M2059" s="15"/>
      <c r="N2059" s="15"/>
    </row>
    <row r="2060" spans="9:14" ht="48.2" customHeight="1" x14ac:dyDescent="0.25">
      <c r="I2060" s="15"/>
      <c r="J2060" s="15"/>
      <c r="K2060" s="15"/>
      <c r="L2060" s="15"/>
      <c r="M2060" s="15"/>
      <c r="N2060" s="15"/>
    </row>
    <row r="2061" spans="9:14" ht="48.2" customHeight="1" x14ac:dyDescent="0.25">
      <c r="I2061" s="15"/>
      <c r="J2061" s="15"/>
      <c r="K2061" s="15"/>
      <c r="L2061" s="15"/>
      <c r="M2061" s="15"/>
      <c r="N2061" s="15"/>
    </row>
    <row r="2062" spans="9:14" ht="48.2" customHeight="1" x14ac:dyDescent="0.25">
      <c r="I2062" s="15"/>
      <c r="J2062" s="15"/>
      <c r="K2062" s="15"/>
      <c r="L2062" s="15"/>
      <c r="M2062" s="15"/>
      <c r="N2062" s="15"/>
    </row>
    <row r="2063" spans="9:14" ht="48.2" customHeight="1" x14ac:dyDescent="0.25">
      <c r="I2063" s="15"/>
      <c r="J2063" s="15"/>
      <c r="K2063" s="15"/>
      <c r="L2063" s="15"/>
      <c r="M2063" s="15"/>
      <c r="N2063" s="15"/>
    </row>
    <row r="2064" spans="9:14" ht="48.2" customHeight="1" x14ac:dyDescent="0.25">
      <c r="I2064" s="15"/>
      <c r="J2064" s="15"/>
      <c r="K2064" s="15"/>
      <c r="L2064" s="15"/>
      <c r="M2064" s="15"/>
      <c r="N2064" s="15"/>
    </row>
    <row r="2065" spans="9:14" ht="48.2" customHeight="1" x14ac:dyDescent="0.25">
      <c r="I2065" s="15"/>
      <c r="J2065" s="15"/>
      <c r="K2065" s="15"/>
      <c r="L2065" s="15"/>
      <c r="M2065" s="15"/>
      <c r="N2065" s="15"/>
    </row>
    <row r="2066" spans="9:14" ht="48.2" customHeight="1" x14ac:dyDescent="0.25">
      <c r="I2066" s="15"/>
      <c r="J2066" s="15"/>
      <c r="K2066" s="15"/>
      <c r="L2066" s="15"/>
      <c r="M2066" s="15"/>
      <c r="N2066" s="15"/>
    </row>
    <row r="2067" spans="9:14" ht="48.2" customHeight="1" x14ac:dyDescent="0.25">
      <c r="I2067" s="15"/>
      <c r="J2067" s="15"/>
      <c r="K2067" s="15"/>
      <c r="L2067" s="15"/>
      <c r="M2067" s="15"/>
      <c r="N2067" s="15"/>
    </row>
    <row r="2068" spans="9:14" ht="48.2" customHeight="1" x14ac:dyDescent="0.25">
      <c r="I2068" s="15"/>
      <c r="J2068" s="15"/>
      <c r="K2068" s="15"/>
      <c r="L2068" s="15"/>
      <c r="M2068" s="15"/>
      <c r="N2068" s="15"/>
    </row>
    <row r="2069" spans="9:14" ht="48.2" customHeight="1" x14ac:dyDescent="0.25">
      <c r="I2069" s="15"/>
      <c r="J2069" s="15"/>
      <c r="K2069" s="15"/>
      <c r="L2069" s="15"/>
      <c r="M2069" s="15"/>
      <c r="N2069" s="15"/>
    </row>
    <row r="2070" spans="9:14" ht="48.2" customHeight="1" x14ac:dyDescent="0.25">
      <c r="I2070" s="15"/>
      <c r="J2070" s="15"/>
      <c r="K2070" s="15"/>
      <c r="L2070" s="15"/>
      <c r="M2070" s="15"/>
      <c r="N2070" s="15"/>
    </row>
    <row r="2071" spans="9:14" ht="48.2" customHeight="1" x14ac:dyDescent="0.25">
      <c r="I2071" s="15"/>
      <c r="J2071" s="15"/>
      <c r="K2071" s="15"/>
      <c r="L2071" s="15"/>
      <c r="M2071" s="15"/>
      <c r="N2071" s="15"/>
    </row>
    <row r="2072" spans="9:14" ht="48.2" customHeight="1" x14ac:dyDescent="0.25">
      <c r="I2072" s="15"/>
      <c r="J2072" s="15"/>
      <c r="K2072" s="15"/>
      <c r="L2072" s="15"/>
      <c r="M2072" s="15"/>
      <c r="N2072" s="15"/>
    </row>
    <row r="2073" spans="9:14" ht="48.2" customHeight="1" x14ac:dyDescent="0.25">
      <c r="I2073" s="15"/>
      <c r="J2073" s="15"/>
      <c r="K2073" s="15"/>
      <c r="L2073" s="15"/>
      <c r="M2073" s="15"/>
      <c r="N2073" s="15"/>
    </row>
    <row r="2074" spans="9:14" ht="48.2" customHeight="1" x14ac:dyDescent="0.25">
      <c r="I2074" s="15"/>
      <c r="J2074" s="15"/>
      <c r="K2074" s="15"/>
      <c r="L2074" s="15"/>
      <c r="M2074" s="15"/>
      <c r="N2074" s="15"/>
    </row>
    <row r="2075" spans="9:14" ht="48.2" customHeight="1" x14ac:dyDescent="0.25">
      <c r="I2075" s="15"/>
      <c r="J2075" s="15"/>
      <c r="K2075" s="15"/>
      <c r="L2075" s="15"/>
      <c r="M2075" s="15"/>
      <c r="N2075" s="15"/>
    </row>
    <row r="2076" spans="9:14" ht="48.2" customHeight="1" x14ac:dyDescent="0.25">
      <c r="I2076" s="15"/>
      <c r="J2076" s="15"/>
      <c r="K2076" s="15"/>
      <c r="L2076" s="15"/>
      <c r="M2076" s="15"/>
      <c r="N2076" s="15"/>
    </row>
    <row r="2077" spans="9:14" ht="48.2" customHeight="1" x14ac:dyDescent="0.25">
      <c r="I2077" s="15"/>
      <c r="J2077" s="15"/>
      <c r="K2077" s="15"/>
      <c r="L2077" s="15"/>
      <c r="M2077" s="15"/>
      <c r="N2077" s="15"/>
    </row>
    <row r="2078" spans="9:14" ht="48.2" customHeight="1" x14ac:dyDescent="0.25">
      <c r="I2078" s="15"/>
      <c r="J2078" s="15"/>
      <c r="K2078" s="15"/>
      <c r="L2078" s="15"/>
      <c r="M2078" s="15"/>
      <c r="N2078" s="15"/>
    </row>
    <row r="2079" spans="9:14" ht="48.2" customHeight="1" x14ac:dyDescent="0.25">
      <c r="I2079" s="15"/>
      <c r="J2079" s="15"/>
      <c r="K2079" s="15"/>
      <c r="L2079" s="15"/>
      <c r="M2079" s="15"/>
      <c r="N2079" s="15"/>
    </row>
    <row r="2080" spans="9:14" ht="48.2" customHeight="1" x14ac:dyDescent="0.25">
      <c r="I2080" s="15"/>
      <c r="J2080" s="15"/>
      <c r="K2080" s="15"/>
      <c r="L2080" s="15"/>
      <c r="M2080" s="15"/>
      <c r="N2080" s="15"/>
    </row>
    <row r="2081" spans="9:14" ht="48.2" customHeight="1" x14ac:dyDescent="0.25">
      <c r="I2081" s="15"/>
      <c r="J2081" s="15"/>
      <c r="K2081" s="15"/>
      <c r="L2081" s="15"/>
      <c r="M2081" s="15"/>
      <c r="N2081" s="15"/>
    </row>
    <row r="2082" spans="9:14" ht="48.2" customHeight="1" x14ac:dyDescent="0.25">
      <c r="I2082" s="15"/>
      <c r="J2082" s="15"/>
      <c r="K2082" s="15"/>
      <c r="L2082" s="15"/>
      <c r="M2082" s="15"/>
      <c r="N2082" s="15"/>
    </row>
    <row r="2083" spans="9:14" ht="48.2" customHeight="1" x14ac:dyDescent="0.25">
      <c r="I2083" s="15"/>
      <c r="J2083" s="15"/>
      <c r="K2083" s="15"/>
      <c r="L2083" s="15"/>
      <c r="M2083" s="15"/>
      <c r="N2083" s="15"/>
    </row>
    <row r="2084" spans="9:14" ht="48.2" customHeight="1" x14ac:dyDescent="0.25">
      <c r="I2084" s="15"/>
      <c r="J2084" s="15"/>
      <c r="K2084" s="15"/>
      <c r="L2084" s="15"/>
      <c r="M2084" s="15"/>
      <c r="N2084" s="15"/>
    </row>
    <row r="2085" spans="9:14" ht="48.2" customHeight="1" x14ac:dyDescent="0.25">
      <c r="I2085" s="15"/>
      <c r="J2085" s="15"/>
      <c r="K2085" s="15"/>
      <c r="L2085" s="15"/>
      <c r="M2085" s="15"/>
      <c r="N2085" s="15"/>
    </row>
    <row r="2086" spans="9:14" ht="48.2" customHeight="1" x14ac:dyDescent="0.25">
      <c r="I2086" s="15"/>
      <c r="J2086" s="15"/>
      <c r="K2086" s="15"/>
      <c r="L2086" s="15"/>
      <c r="M2086" s="15"/>
      <c r="N2086" s="15"/>
    </row>
    <row r="2087" spans="9:14" ht="48.2" customHeight="1" x14ac:dyDescent="0.25">
      <c r="I2087" s="15"/>
      <c r="J2087" s="15"/>
      <c r="K2087" s="15"/>
      <c r="L2087" s="15"/>
      <c r="M2087" s="15"/>
      <c r="N2087" s="15"/>
    </row>
    <row r="2088" spans="9:14" ht="48.2" customHeight="1" x14ac:dyDescent="0.25">
      <c r="I2088" s="15"/>
      <c r="J2088" s="15"/>
      <c r="K2088" s="15"/>
      <c r="L2088" s="15"/>
      <c r="M2088" s="15"/>
      <c r="N2088" s="15"/>
    </row>
    <row r="2089" spans="9:14" ht="48.2" customHeight="1" x14ac:dyDescent="0.25">
      <c r="I2089" s="15"/>
      <c r="J2089" s="15"/>
      <c r="K2089" s="15"/>
      <c r="L2089" s="15"/>
      <c r="M2089" s="15"/>
      <c r="N2089" s="15"/>
    </row>
    <row r="2090" spans="9:14" ht="48.2" customHeight="1" x14ac:dyDescent="0.25">
      <c r="I2090" s="15"/>
      <c r="J2090" s="15"/>
      <c r="K2090" s="15"/>
      <c r="L2090" s="15"/>
      <c r="M2090" s="15"/>
      <c r="N2090" s="15"/>
    </row>
    <row r="2091" spans="9:14" ht="48.2" customHeight="1" x14ac:dyDescent="0.25">
      <c r="I2091" s="15"/>
      <c r="J2091" s="15"/>
      <c r="K2091" s="15"/>
      <c r="L2091" s="15"/>
      <c r="M2091" s="15"/>
      <c r="N2091" s="15"/>
    </row>
    <row r="2092" spans="9:14" ht="48.2" customHeight="1" x14ac:dyDescent="0.25">
      <c r="I2092" s="15"/>
      <c r="J2092" s="15"/>
      <c r="K2092" s="15"/>
      <c r="L2092" s="15"/>
      <c r="M2092" s="15"/>
      <c r="N2092" s="15"/>
    </row>
    <row r="2093" spans="9:14" ht="48.2" customHeight="1" x14ac:dyDescent="0.25">
      <c r="I2093" s="15"/>
      <c r="J2093" s="15"/>
      <c r="K2093" s="15"/>
      <c r="L2093" s="15"/>
      <c r="M2093" s="15"/>
      <c r="N2093" s="15"/>
    </row>
    <row r="2094" spans="9:14" ht="48.2" customHeight="1" x14ac:dyDescent="0.25">
      <c r="I2094" s="15"/>
      <c r="J2094" s="15"/>
      <c r="K2094" s="15"/>
      <c r="L2094" s="15"/>
      <c r="M2094" s="15"/>
      <c r="N2094" s="15"/>
    </row>
    <row r="2095" spans="9:14" ht="48.2" customHeight="1" x14ac:dyDescent="0.25">
      <c r="I2095" s="15"/>
      <c r="J2095" s="15"/>
      <c r="K2095" s="15"/>
      <c r="L2095" s="15"/>
      <c r="M2095" s="15"/>
      <c r="N2095" s="15"/>
    </row>
    <row r="2096" spans="9:14" ht="48.2" customHeight="1" x14ac:dyDescent="0.25">
      <c r="I2096" s="15"/>
      <c r="J2096" s="15"/>
      <c r="K2096" s="15"/>
      <c r="L2096" s="15"/>
      <c r="M2096" s="15"/>
      <c r="N2096" s="15"/>
    </row>
    <row r="2097" spans="9:14" ht="48.2" customHeight="1" x14ac:dyDescent="0.25">
      <c r="I2097" s="15"/>
      <c r="J2097" s="15"/>
      <c r="K2097" s="15"/>
      <c r="L2097" s="15"/>
      <c r="M2097" s="15"/>
      <c r="N2097" s="15"/>
    </row>
    <row r="2098" spans="9:14" ht="48.2" customHeight="1" x14ac:dyDescent="0.25">
      <c r="I2098" s="15"/>
      <c r="J2098" s="15"/>
      <c r="K2098" s="15"/>
      <c r="L2098" s="15"/>
      <c r="M2098" s="15"/>
      <c r="N2098" s="15"/>
    </row>
    <row r="2099" spans="9:14" ht="48.2" customHeight="1" x14ac:dyDescent="0.25">
      <c r="I2099" s="15"/>
      <c r="J2099" s="15"/>
      <c r="K2099" s="15"/>
      <c r="L2099" s="15"/>
      <c r="M2099" s="15"/>
      <c r="N2099" s="15"/>
    </row>
    <row r="2100" spans="9:14" ht="48.2" customHeight="1" x14ac:dyDescent="0.25">
      <c r="I2100" s="15"/>
      <c r="J2100" s="15"/>
      <c r="K2100" s="15"/>
      <c r="L2100" s="15"/>
      <c r="M2100" s="15"/>
      <c r="N2100" s="15"/>
    </row>
    <row r="2101" spans="9:14" ht="48.2" customHeight="1" x14ac:dyDescent="0.25">
      <c r="I2101" s="15"/>
      <c r="J2101" s="15"/>
      <c r="K2101" s="15"/>
      <c r="L2101" s="15"/>
      <c r="M2101" s="15"/>
      <c r="N2101" s="15"/>
    </row>
    <row r="2102" spans="9:14" ht="48.2" customHeight="1" x14ac:dyDescent="0.25">
      <c r="I2102" s="15"/>
      <c r="J2102" s="15"/>
      <c r="K2102" s="15"/>
      <c r="L2102" s="15"/>
      <c r="M2102" s="15"/>
      <c r="N2102" s="15"/>
    </row>
    <row r="2103" spans="9:14" ht="48.2" customHeight="1" x14ac:dyDescent="0.25">
      <c r="I2103" s="15"/>
      <c r="J2103" s="15"/>
      <c r="K2103" s="15"/>
      <c r="L2103" s="15"/>
      <c r="M2103" s="15"/>
      <c r="N2103" s="15"/>
    </row>
    <row r="2104" spans="9:14" ht="48.2" customHeight="1" x14ac:dyDescent="0.25">
      <c r="I2104" s="15"/>
      <c r="J2104" s="15"/>
      <c r="K2104" s="15"/>
      <c r="L2104" s="15"/>
      <c r="M2104" s="15"/>
      <c r="N2104" s="15"/>
    </row>
    <row r="2105" spans="9:14" ht="48.2" customHeight="1" x14ac:dyDescent="0.25">
      <c r="I2105" s="15"/>
      <c r="J2105" s="15"/>
      <c r="K2105" s="15"/>
      <c r="L2105" s="15"/>
      <c r="M2105" s="15"/>
      <c r="N2105" s="15"/>
    </row>
    <row r="2106" spans="9:14" ht="48.2" customHeight="1" x14ac:dyDescent="0.25">
      <c r="I2106" s="15"/>
      <c r="J2106" s="15"/>
      <c r="K2106" s="15"/>
      <c r="L2106" s="15"/>
      <c r="M2106" s="15"/>
      <c r="N2106" s="15"/>
    </row>
    <row r="2107" spans="9:14" ht="48.2" customHeight="1" x14ac:dyDescent="0.25">
      <c r="I2107" s="15"/>
      <c r="J2107" s="15"/>
      <c r="K2107" s="15"/>
      <c r="L2107" s="15"/>
      <c r="M2107" s="15"/>
      <c r="N2107" s="15"/>
    </row>
    <row r="2108" spans="9:14" ht="48.2" customHeight="1" x14ac:dyDescent="0.25">
      <c r="I2108" s="15"/>
      <c r="J2108" s="15"/>
      <c r="K2108" s="15"/>
      <c r="L2108" s="15"/>
      <c r="M2108" s="15"/>
      <c r="N2108" s="15"/>
    </row>
    <row r="2109" spans="9:14" ht="48.2" customHeight="1" x14ac:dyDescent="0.25">
      <c r="I2109" s="15"/>
      <c r="J2109" s="15"/>
      <c r="K2109" s="15"/>
      <c r="L2109" s="15"/>
      <c r="M2109" s="15"/>
      <c r="N2109" s="15"/>
    </row>
    <row r="2110" spans="9:14" ht="48.2" customHeight="1" x14ac:dyDescent="0.25">
      <c r="I2110" s="15"/>
      <c r="J2110" s="15"/>
      <c r="K2110" s="15"/>
      <c r="L2110" s="15"/>
      <c r="M2110" s="15"/>
      <c r="N2110" s="15"/>
    </row>
    <row r="2111" spans="9:14" ht="48.2" customHeight="1" x14ac:dyDescent="0.25">
      <c r="I2111" s="15"/>
      <c r="J2111" s="15"/>
      <c r="K2111" s="15"/>
      <c r="L2111" s="15"/>
      <c r="M2111" s="15"/>
      <c r="N2111" s="15"/>
    </row>
    <row r="2112" spans="9:14" ht="48.2" customHeight="1" x14ac:dyDescent="0.25">
      <c r="I2112" s="15"/>
      <c r="J2112" s="15"/>
      <c r="K2112" s="15"/>
      <c r="L2112" s="15"/>
      <c r="M2112" s="15"/>
      <c r="N2112" s="15"/>
    </row>
    <row r="2113" spans="9:14" ht="48.2" customHeight="1" x14ac:dyDescent="0.25">
      <c r="I2113" s="15"/>
      <c r="J2113" s="15"/>
      <c r="K2113" s="15"/>
      <c r="L2113" s="15"/>
      <c r="M2113" s="15"/>
      <c r="N2113" s="15"/>
    </row>
    <row r="2114" spans="9:14" ht="48.2" customHeight="1" x14ac:dyDescent="0.25">
      <c r="I2114" s="15"/>
      <c r="J2114" s="15"/>
      <c r="K2114" s="15"/>
      <c r="L2114" s="15"/>
      <c r="M2114" s="15"/>
      <c r="N2114" s="15"/>
    </row>
    <row r="2115" spans="9:14" ht="48.2" customHeight="1" x14ac:dyDescent="0.25">
      <c r="I2115" s="15"/>
      <c r="J2115" s="15"/>
      <c r="K2115" s="15"/>
      <c r="L2115" s="15"/>
      <c r="M2115" s="15"/>
      <c r="N2115" s="15"/>
    </row>
    <row r="2116" spans="9:14" ht="48.2" customHeight="1" x14ac:dyDescent="0.25">
      <c r="I2116" s="15"/>
      <c r="J2116" s="15"/>
      <c r="K2116" s="15"/>
      <c r="L2116" s="15"/>
      <c r="M2116" s="15"/>
      <c r="N2116" s="15"/>
    </row>
    <row r="2117" spans="9:14" ht="48.2" customHeight="1" x14ac:dyDescent="0.25">
      <c r="I2117" s="15"/>
      <c r="J2117" s="15"/>
      <c r="K2117" s="15"/>
      <c r="L2117" s="15"/>
      <c r="M2117" s="15"/>
      <c r="N2117" s="15"/>
    </row>
    <row r="2118" spans="9:14" ht="48.2" customHeight="1" x14ac:dyDescent="0.25">
      <c r="I2118" s="15"/>
      <c r="J2118" s="15"/>
      <c r="K2118" s="15"/>
      <c r="L2118" s="15"/>
      <c r="M2118" s="15"/>
      <c r="N2118" s="15"/>
    </row>
    <row r="2119" spans="9:14" ht="48.2" customHeight="1" x14ac:dyDescent="0.25">
      <c r="I2119" s="15"/>
      <c r="J2119" s="15"/>
      <c r="K2119" s="15"/>
      <c r="L2119" s="15"/>
      <c r="M2119" s="15"/>
      <c r="N2119" s="15"/>
    </row>
    <row r="2120" spans="9:14" ht="48.2" customHeight="1" x14ac:dyDescent="0.25">
      <c r="I2120" s="15"/>
      <c r="J2120" s="15"/>
      <c r="K2120" s="15"/>
      <c r="L2120" s="15"/>
      <c r="M2120" s="15"/>
      <c r="N2120" s="15"/>
    </row>
    <row r="2121" spans="9:14" ht="48.2" customHeight="1" x14ac:dyDescent="0.25">
      <c r="I2121" s="15"/>
      <c r="J2121" s="15"/>
      <c r="K2121" s="15"/>
      <c r="L2121" s="15"/>
      <c r="M2121" s="15"/>
      <c r="N2121" s="15"/>
    </row>
    <row r="2122" spans="9:14" ht="48.2" customHeight="1" x14ac:dyDescent="0.25">
      <c r="I2122" s="15"/>
      <c r="J2122" s="15"/>
      <c r="K2122" s="15"/>
      <c r="L2122" s="15"/>
      <c r="M2122" s="15"/>
      <c r="N2122" s="15"/>
    </row>
    <row r="2123" spans="9:14" ht="48.2" customHeight="1" x14ac:dyDescent="0.25">
      <c r="I2123" s="15"/>
      <c r="J2123" s="15"/>
      <c r="K2123" s="15"/>
      <c r="L2123" s="15"/>
      <c r="M2123" s="15"/>
      <c r="N2123" s="15"/>
    </row>
    <row r="2124" spans="9:14" ht="48.2" customHeight="1" x14ac:dyDescent="0.25">
      <c r="I2124" s="15"/>
      <c r="J2124" s="15"/>
      <c r="K2124" s="15"/>
      <c r="L2124" s="15"/>
      <c r="M2124" s="15"/>
      <c r="N2124" s="15"/>
    </row>
    <row r="2125" spans="9:14" ht="48.2" customHeight="1" x14ac:dyDescent="0.25">
      <c r="I2125" s="15"/>
      <c r="J2125" s="15"/>
      <c r="K2125" s="15"/>
      <c r="L2125" s="15"/>
      <c r="M2125" s="15"/>
      <c r="N2125" s="15"/>
    </row>
    <row r="2126" spans="9:14" ht="48.2" customHeight="1" x14ac:dyDescent="0.25">
      <c r="I2126" s="15"/>
      <c r="J2126" s="15"/>
      <c r="K2126" s="15"/>
      <c r="L2126" s="15"/>
      <c r="M2126" s="15"/>
      <c r="N2126" s="15"/>
    </row>
    <row r="2127" spans="9:14" ht="48.2" customHeight="1" x14ac:dyDescent="0.25">
      <c r="I2127" s="15"/>
      <c r="J2127" s="15"/>
      <c r="K2127" s="15"/>
      <c r="L2127" s="15"/>
      <c r="M2127" s="15"/>
      <c r="N2127" s="15"/>
    </row>
    <row r="2128" spans="9:14" ht="48.2" customHeight="1" x14ac:dyDescent="0.25">
      <c r="I2128" s="15"/>
      <c r="J2128" s="15"/>
      <c r="K2128" s="15"/>
      <c r="L2128" s="15"/>
      <c r="M2128" s="15"/>
      <c r="N2128" s="15"/>
    </row>
    <row r="2129" spans="9:14" ht="48.2" customHeight="1" x14ac:dyDescent="0.25">
      <c r="I2129" s="15"/>
      <c r="J2129" s="15"/>
      <c r="K2129" s="15"/>
      <c r="L2129" s="15"/>
      <c r="M2129" s="15"/>
      <c r="N2129" s="15"/>
    </row>
    <row r="2130" spans="9:14" ht="48.2" customHeight="1" x14ac:dyDescent="0.25">
      <c r="I2130" s="15"/>
      <c r="J2130" s="15"/>
      <c r="K2130" s="15"/>
      <c r="L2130" s="15"/>
      <c r="M2130" s="15"/>
      <c r="N2130" s="15"/>
    </row>
    <row r="2131" spans="9:14" ht="48.2" customHeight="1" x14ac:dyDescent="0.25">
      <c r="I2131" s="15"/>
      <c r="J2131" s="15"/>
      <c r="K2131" s="15"/>
      <c r="L2131" s="15"/>
      <c r="M2131" s="15"/>
      <c r="N2131" s="15"/>
    </row>
    <row r="2132" spans="9:14" ht="48.2" customHeight="1" x14ac:dyDescent="0.25">
      <c r="I2132" s="15"/>
      <c r="J2132" s="15"/>
      <c r="K2132" s="15"/>
      <c r="L2132" s="15"/>
      <c r="M2132" s="15"/>
      <c r="N2132" s="15"/>
    </row>
    <row r="2133" spans="9:14" ht="48.2" customHeight="1" x14ac:dyDescent="0.25">
      <c r="I2133" s="15"/>
      <c r="J2133" s="15"/>
      <c r="K2133" s="15"/>
      <c r="L2133" s="15"/>
      <c r="M2133" s="15"/>
      <c r="N2133" s="15"/>
    </row>
    <row r="2134" spans="9:14" ht="48.2" customHeight="1" x14ac:dyDescent="0.25">
      <c r="I2134" s="15"/>
      <c r="J2134" s="15"/>
      <c r="K2134" s="15"/>
      <c r="L2134" s="15"/>
      <c r="M2134" s="15"/>
      <c r="N2134" s="15"/>
    </row>
    <row r="2135" spans="9:14" ht="48.2" customHeight="1" x14ac:dyDescent="0.25">
      <c r="I2135" s="15"/>
      <c r="J2135" s="15"/>
      <c r="K2135" s="15"/>
      <c r="L2135" s="15"/>
      <c r="M2135" s="15"/>
      <c r="N2135" s="15"/>
    </row>
    <row r="2136" spans="9:14" ht="48.2" customHeight="1" x14ac:dyDescent="0.25">
      <c r="I2136" s="15"/>
      <c r="J2136" s="15"/>
      <c r="K2136" s="15"/>
      <c r="L2136" s="15"/>
      <c r="M2136" s="15"/>
      <c r="N2136" s="15"/>
    </row>
    <row r="2137" spans="9:14" ht="48.2" customHeight="1" x14ac:dyDescent="0.25">
      <c r="I2137" s="15"/>
      <c r="J2137" s="15"/>
      <c r="K2137" s="15"/>
      <c r="L2137" s="15"/>
      <c r="M2137" s="15"/>
      <c r="N2137" s="15"/>
    </row>
    <row r="2138" spans="9:14" ht="48.2" customHeight="1" x14ac:dyDescent="0.25">
      <c r="I2138" s="15"/>
      <c r="J2138" s="15"/>
      <c r="K2138" s="15"/>
      <c r="L2138" s="15"/>
      <c r="M2138" s="15"/>
      <c r="N2138" s="15"/>
    </row>
    <row r="2139" spans="9:14" ht="48.2" customHeight="1" x14ac:dyDescent="0.25">
      <c r="I2139" s="15"/>
      <c r="J2139" s="15"/>
      <c r="K2139" s="15"/>
      <c r="L2139" s="15"/>
      <c r="M2139" s="15"/>
      <c r="N2139" s="15"/>
    </row>
    <row r="2140" spans="9:14" ht="48.2" customHeight="1" x14ac:dyDescent="0.25">
      <c r="I2140" s="15"/>
      <c r="J2140" s="15"/>
      <c r="K2140" s="15"/>
      <c r="L2140" s="15"/>
      <c r="M2140" s="15"/>
      <c r="N2140" s="15"/>
    </row>
    <row r="2141" spans="9:14" ht="48.2" customHeight="1" x14ac:dyDescent="0.25">
      <c r="I2141" s="15"/>
      <c r="J2141" s="15"/>
      <c r="K2141" s="15"/>
      <c r="L2141" s="15"/>
      <c r="M2141" s="15"/>
      <c r="N2141" s="15"/>
    </row>
    <row r="2142" spans="9:14" ht="48.2" customHeight="1" x14ac:dyDescent="0.25">
      <c r="I2142" s="15"/>
      <c r="J2142" s="15"/>
      <c r="K2142" s="15"/>
      <c r="L2142" s="15"/>
      <c r="M2142" s="15"/>
      <c r="N2142" s="15"/>
    </row>
    <row r="2143" spans="9:14" ht="48.2" customHeight="1" x14ac:dyDescent="0.25">
      <c r="I2143" s="15"/>
      <c r="J2143" s="15"/>
      <c r="K2143" s="15"/>
      <c r="L2143" s="15"/>
      <c r="M2143" s="15"/>
      <c r="N2143" s="15"/>
    </row>
    <row r="2144" spans="9:14" ht="48.2" customHeight="1" x14ac:dyDescent="0.25">
      <c r="I2144" s="15"/>
      <c r="J2144" s="15"/>
      <c r="K2144" s="15"/>
      <c r="L2144" s="15"/>
      <c r="M2144" s="15"/>
      <c r="N2144" s="15"/>
    </row>
    <row r="2145" spans="9:14" ht="48.2" customHeight="1" x14ac:dyDescent="0.25">
      <c r="I2145" s="15"/>
      <c r="J2145" s="15"/>
      <c r="K2145" s="15"/>
      <c r="L2145" s="15"/>
      <c r="M2145" s="15"/>
      <c r="N2145" s="15"/>
    </row>
    <row r="2146" spans="9:14" ht="48.2" customHeight="1" x14ac:dyDescent="0.25">
      <c r="I2146" s="15"/>
      <c r="J2146" s="15"/>
      <c r="K2146" s="15"/>
      <c r="L2146" s="15"/>
      <c r="M2146" s="15"/>
      <c r="N2146" s="15"/>
    </row>
    <row r="2147" spans="9:14" ht="48.2" customHeight="1" x14ac:dyDescent="0.25">
      <c r="I2147" s="15"/>
      <c r="J2147" s="15"/>
      <c r="K2147" s="15"/>
      <c r="L2147" s="15"/>
      <c r="M2147" s="15"/>
      <c r="N2147" s="15"/>
    </row>
    <row r="2148" spans="9:14" ht="48.2" customHeight="1" x14ac:dyDescent="0.25">
      <c r="I2148" s="15"/>
      <c r="J2148" s="15"/>
      <c r="K2148" s="15"/>
      <c r="L2148" s="15"/>
      <c r="M2148" s="15"/>
      <c r="N2148" s="15"/>
    </row>
    <row r="2149" spans="9:14" ht="48.2" customHeight="1" x14ac:dyDescent="0.25">
      <c r="I2149" s="15"/>
      <c r="J2149" s="15"/>
      <c r="K2149" s="15"/>
      <c r="L2149" s="15"/>
      <c r="M2149" s="15"/>
      <c r="N2149" s="15"/>
    </row>
    <row r="2150" spans="9:14" ht="48.2" customHeight="1" x14ac:dyDescent="0.25">
      <c r="I2150" s="15"/>
      <c r="J2150" s="15"/>
      <c r="K2150" s="15"/>
      <c r="L2150" s="15"/>
      <c r="M2150" s="15"/>
      <c r="N2150" s="15"/>
    </row>
    <row r="2151" spans="9:14" ht="48.2" customHeight="1" x14ac:dyDescent="0.25">
      <c r="I2151" s="15"/>
      <c r="J2151" s="15"/>
      <c r="K2151" s="15"/>
      <c r="L2151" s="15"/>
      <c r="M2151" s="15"/>
      <c r="N2151" s="15"/>
    </row>
    <row r="2152" spans="9:14" ht="48.2" customHeight="1" x14ac:dyDescent="0.25">
      <c r="I2152" s="15"/>
      <c r="J2152" s="15"/>
      <c r="K2152" s="15"/>
      <c r="L2152" s="15"/>
      <c r="M2152" s="15"/>
      <c r="N2152" s="15"/>
    </row>
    <row r="2153" spans="9:14" ht="48.2" customHeight="1" x14ac:dyDescent="0.25">
      <c r="I2153" s="15"/>
      <c r="J2153" s="15"/>
      <c r="K2153" s="15"/>
      <c r="L2153" s="15"/>
      <c r="M2153" s="15"/>
      <c r="N2153" s="15"/>
    </row>
    <row r="2154" spans="9:14" ht="48.2" customHeight="1" x14ac:dyDescent="0.25">
      <c r="I2154" s="15"/>
      <c r="J2154" s="15"/>
      <c r="K2154" s="15"/>
      <c r="L2154" s="15"/>
      <c r="M2154" s="15"/>
      <c r="N2154" s="15"/>
    </row>
    <row r="2155" spans="9:14" ht="48.2" customHeight="1" x14ac:dyDescent="0.25">
      <c r="I2155" s="15"/>
      <c r="J2155" s="15"/>
      <c r="K2155" s="15"/>
      <c r="L2155" s="15"/>
      <c r="M2155" s="15"/>
      <c r="N2155" s="15"/>
    </row>
    <row r="2156" spans="9:14" ht="48.2" customHeight="1" x14ac:dyDescent="0.25">
      <c r="I2156" s="15"/>
      <c r="J2156" s="15"/>
      <c r="K2156" s="15"/>
      <c r="L2156" s="15"/>
      <c r="M2156" s="15"/>
      <c r="N2156" s="15"/>
    </row>
    <row r="2157" spans="9:14" ht="48.2" customHeight="1" x14ac:dyDescent="0.25">
      <c r="I2157" s="15"/>
      <c r="J2157" s="15"/>
      <c r="K2157" s="15"/>
      <c r="L2157" s="15"/>
      <c r="M2157" s="15"/>
      <c r="N2157" s="15"/>
    </row>
    <row r="2158" spans="9:14" ht="48.2" customHeight="1" x14ac:dyDescent="0.25">
      <c r="I2158" s="15"/>
      <c r="J2158" s="15"/>
      <c r="K2158" s="15"/>
      <c r="L2158" s="15"/>
      <c r="M2158" s="15"/>
      <c r="N2158" s="15"/>
    </row>
    <row r="2159" spans="9:14" ht="48.2" customHeight="1" x14ac:dyDescent="0.25">
      <c r="I2159" s="15"/>
      <c r="J2159" s="15"/>
      <c r="K2159" s="15"/>
      <c r="L2159" s="15"/>
      <c r="M2159" s="15"/>
      <c r="N2159" s="15"/>
    </row>
    <row r="2160" spans="9:14" ht="48.2" customHeight="1" x14ac:dyDescent="0.25">
      <c r="I2160" s="15"/>
      <c r="J2160" s="15"/>
      <c r="K2160" s="15"/>
      <c r="L2160" s="15"/>
      <c r="M2160" s="15"/>
      <c r="N2160" s="15"/>
    </row>
    <row r="2161" spans="9:14" ht="48.2" customHeight="1" x14ac:dyDescent="0.25">
      <c r="I2161" s="15"/>
      <c r="J2161" s="15"/>
      <c r="K2161" s="15"/>
      <c r="L2161" s="15"/>
      <c r="M2161" s="15"/>
      <c r="N2161" s="15"/>
    </row>
    <row r="2162" spans="9:14" ht="48.2" customHeight="1" x14ac:dyDescent="0.25">
      <c r="I2162" s="15"/>
      <c r="J2162" s="15"/>
      <c r="K2162" s="15"/>
      <c r="L2162" s="15"/>
      <c r="M2162" s="15"/>
      <c r="N2162" s="15"/>
    </row>
    <row r="2163" spans="9:14" ht="48.2" customHeight="1" x14ac:dyDescent="0.25">
      <c r="I2163" s="15"/>
      <c r="J2163" s="15"/>
      <c r="K2163" s="15"/>
      <c r="L2163" s="15"/>
      <c r="M2163" s="15"/>
      <c r="N2163" s="15"/>
    </row>
    <row r="2164" spans="9:14" ht="48.2" customHeight="1" x14ac:dyDescent="0.25">
      <c r="I2164" s="15"/>
      <c r="J2164" s="15"/>
      <c r="K2164" s="15"/>
      <c r="L2164" s="15"/>
      <c r="M2164" s="15"/>
      <c r="N2164" s="15"/>
    </row>
    <row r="2165" spans="9:14" ht="48.2" customHeight="1" x14ac:dyDescent="0.25">
      <c r="I2165" s="15"/>
      <c r="J2165" s="15"/>
      <c r="K2165" s="15"/>
      <c r="L2165" s="15"/>
      <c r="M2165" s="15"/>
      <c r="N2165" s="15"/>
    </row>
    <row r="2166" spans="9:14" ht="48.2" customHeight="1" x14ac:dyDescent="0.25">
      <c r="I2166" s="15"/>
      <c r="J2166" s="15"/>
      <c r="K2166" s="15"/>
      <c r="L2166" s="15"/>
      <c r="M2166" s="15"/>
      <c r="N2166" s="15"/>
    </row>
    <row r="2167" spans="9:14" ht="48.2" customHeight="1" x14ac:dyDescent="0.25">
      <c r="I2167" s="15"/>
      <c r="J2167" s="15"/>
      <c r="K2167" s="15"/>
      <c r="L2167" s="15"/>
      <c r="M2167" s="15"/>
      <c r="N2167" s="15"/>
    </row>
    <row r="2168" spans="9:14" ht="48.2" customHeight="1" x14ac:dyDescent="0.25">
      <c r="I2168" s="15"/>
      <c r="J2168" s="15"/>
      <c r="K2168" s="15"/>
      <c r="L2168" s="15"/>
      <c r="M2168" s="15"/>
      <c r="N2168" s="15"/>
    </row>
    <row r="2169" spans="9:14" ht="48.2" customHeight="1" x14ac:dyDescent="0.25">
      <c r="I2169" s="15"/>
      <c r="J2169" s="15"/>
      <c r="K2169" s="15"/>
      <c r="L2169" s="15"/>
      <c r="M2169" s="15"/>
      <c r="N2169" s="15"/>
    </row>
    <row r="2170" spans="9:14" ht="48.2" customHeight="1" x14ac:dyDescent="0.25">
      <c r="I2170" s="15"/>
      <c r="J2170" s="15"/>
      <c r="K2170" s="15"/>
      <c r="L2170" s="15"/>
      <c r="M2170" s="15"/>
      <c r="N2170" s="15"/>
    </row>
    <row r="2171" spans="9:14" ht="48.2" customHeight="1" x14ac:dyDescent="0.25">
      <c r="I2171" s="15"/>
      <c r="J2171" s="15"/>
      <c r="K2171" s="15"/>
      <c r="L2171" s="15"/>
      <c r="M2171" s="15"/>
      <c r="N2171" s="15"/>
    </row>
    <row r="2172" spans="9:14" ht="48.2" customHeight="1" x14ac:dyDescent="0.25">
      <c r="I2172" s="15"/>
      <c r="J2172" s="15"/>
      <c r="K2172" s="15"/>
      <c r="L2172" s="15"/>
      <c r="M2172" s="15"/>
      <c r="N2172" s="15"/>
    </row>
    <row r="2173" spans="9:14" ht="48.2" customHeight="1" x14ac:dyDescent="0.25">
      <c r="I2173" s="15"/>
      <c r="J2173" s="15"/>
      <c r="K2173" s="15"/>
      <c r="L2173" s="15"/>
      <c r="M2173" s="15"/>
      <c r="N2173" s="15"/>
    </row>
    <row r="2174" spans="9:14" ht="48.2" customHeight="1" x14ac:dyDescent="0.25">
      <c r="I2174" s="15"/>
      <c r="J2174" s="15"/>
      <c r="K2174" s="15"/>
      <c r="L2174" s="15"/>
      <c r="M2174" s="15"/>
      <c r="N2174" s="15"/>
    </row>
    <row r="2175" spans="9:14" ht="48.2" customHeight="1" x14ac:dyDescent="0.25">
      <c r="I2175" s="15"/>
      <c r="J2175" s="15"/>
      <c r="K2175" s="15"/>
      <c r="L2175" s="15"/>
      <c r="M2175" s="15"/>
      <c r="N2175" s="15"/>
    </row>
    <row r="2176" spans="9:14" ht="48.2" customHeight="1" x14ac:dyDescent="0.25">
      <c r="I2176" s="15"/>
      <c r="J2176" s="15"/>
      <c r="K2176" s="15"/>
      <c r="L2176" s="15"/>
      <c r="M2176" s="15"/>
      <c r="N2176" s="15"/>
    </row>
    <row r="2177" spans="9:14" ht="48.2" customHeight="1" x14ac:dyDescent="0.25">
      <c r="I2177" s="15"/>
      <c r="J2177" s="15"/>
      <c r="K2177" s="15"/>
      <c r="L2177" s="15"/>
      <c r="M2177" s="15"/>
      <c r="N2177" s="15"/>
    </row>
    <row r="2178" spans="9:14" ht="48.2" customHeight="1" x14ac:dyDescent="0.25">
      <c r="I2178" s="15"/>
      <c r="J2178" s="15"/>
      <c r="K2178" s="15"/>
      <c r="L2178" s="15"/>
      <c r="M2178" s="15"/>
      <c r="N2178" s="15"/>
    </row>
    <row r="2179" spans="9:14" ht="48.2" customHeight="1" x14ac:dyDescent="0.25">
      <c r="I2179" s="15"/>
      <c r="J2179" s="15"/>
      <c r="K2179" s="15"/>
      <c r="L2179" s="15"/>
      <c r="M2179" s="15"/>
      <c r="N2179" s="15"/>
    </row>
    <row r="2180" spans="9:14" ht="48.2" customHeight="1" x14ac:dyDescent="0.25">
      <c r="I2180" s="15"/>
      <c r="J2180" s="15"/>
      <c r="K2180" s="15"/>
      <c r="L2180" s="15"/>
      <c r="M2180" s="15"/>
      <c r="N2180" s="15"/>
    </row>
    <row r="2181" spans="9:14" ht="48.2" customHeight="1" x14ac:dyDescent="0.25">
      <c r="I2181" s="15"/>
      <c r="J2181" s="15"/>
      <c r="K2181" s="15"/>
      <c r="L2181" s="15"/>
      <c r="M2181" s="15"/>
      <c r="N2181" s="15"/>
    </row>
    <row r="2182" spans="9:14" ht="48.2" customHeight="1" x14ac:dyDescent="0.25">
      <c r="I2182" s="15"/>
      <c r="J2182" s="15"/>
      <c r="K2182" s="15"/>
      <c r="L2182" s="15"/>
      <c r="M2182" s="15"/>
      <c r="N2182" s="15"/>
    </row>
    <row r="2183" spans="9:14" ht="48.2" customHeight="1" x14ac:dyDescent="0.25">
      <c r="I2183" s="15"/>
      <c r="J2183" s="15"/>
      <c r="K2183" s="15"/>
      <c r="L2183" s="15"/>
      <c r="M2183" s="15"/>
      <c r="N2183" s="15"/>
    </row>
    <row r="2184" spans="9:14" ht="48.2" customHeight="1" x14ac:dyDescent="0.25">
      <c r="I2184" s="15"/>
      <c r="J2184" s="15"/>
      <c r="K2184" s="15"/>
      <c r="L2184" s="15"/>
      <c r="M2184" s="15"/>
      <c r="N2184" s="15"/>
    </row>
    <row r="2185" spans="9:14" ht="48.2" customHeight="1" x14ac:dyDescent="0.25">
      <c r="I2185" s="15"/>
      <c r="J2185" s="15"/>
      <c r="K2185" s="15"/>
      <c r="L2185" s="15"/>
      <c r="M2185" s="15"/>
      <c r="N2185" s="15"/>
    </row>
    <row r="2186" spans="9:14" ht="48.2" customHeight="1" x14ac:dyDescent="0.25">
      <c r="I2186" s="15"/>
      <c r="J2186" s="15"/>
      <c r="K2186" s="15"/>
      <c r="L2186" s="15"/>
      <c r="M2186" s="15"/>
      <c r="N2186" s="15"/>
    </row>
    <row r="2187" spans="9:14" ht="48.2" customHeight="1" x14ac:dyDescent="0.25">
      <c r="I2187" s="15"/>
      <c r="J2187" s="15"/>
      <c r="K2187" s="15"/>
      <c r="L2187" s="15"/>
      <c r="M2187" s="15"/>
      <c r="N2187" s="15"/>
    </row>
    <row r="2188" spans="9:14" ht="48.2" customHeight="1" x14ac:dyDescent="0.25">
      <c r="I2188" s="15"/>
      <c r="J2188" s="15"/>
      <c r="K2188" s="15"/>
      <c r="L2188" s="15"/>
      <c r="M2188" s="15"/>
      <c r="N2188" s="15"/>
    </row>
    <row r="2189" spans="9:14" ht="48.2" customHeight="1" x14ac:dyDescent="0.25">
      <c r="I2189" s="15"/>
      <c r="J2189" s="15"/>
      <c r="K2189" s="15"/>
      <c r="L2189" s="15"/>
      <c r="M2189" s="15"/>
      <c r="N2189" s="15"/>
    </row>
    <row r="2190" spans="9:14" ht="48.2" customHeight="1" x14ac:dyDescent="0.25">
      <c r="I2190" s="15"/>
      <c r="J2190" s="15"/>
      <c r="K2190" s="15"/>
      <c r="L2190" s="15"/>
      <c r="M2190" s="15"/>
      <c r="N2190" s="15"/>
    </row>
    <row r="2191" spans="9:14" ht="48.2" customHeight="1" x14ac:dyDescent="0.25">
      <c r="I2191" s="15"/>
      <c r="J2191" s="15"/>
      <c r="K2191" s="15"/>
      <c r="L2191" s="15"/>
      <c r="M2191" s="15"/>
      <c r="N2191" s="15"/>
    </row>
    <row r="2192" spans="9:14" ht="48.2" customHeight="1" x14ac:dyDescent="0.25">
      <c r="I2192" s="15"/>
      <c r="J2192" s="15"/>
      <c r="K2192" s="15"/>
      <c r="L2192" s="15"/>
      <c r="M2192" s="15"/>
      <c r="N2192" s="15"/>
    </row>
    <row r="2193" spans="9:14" ht="48.2" customHeight="1" x14ac:dyDescent="0.25">
      <c r="I2193" s="15"/>
      <c r="J2193" s="15"/>
      <c r="K2193" s="15"/>
      <c r="L2193" s="15"/>
      <c r="M2193" s="15"/>
      <c r="N2193" s="15"/>
    </row>
    <row r="2194" spans="9:14" ht="48.2" customHeight="1" x14ac:dyDescent="0.25">
      <c r="I2194" s="15"/>
      <c r="J2194" s="15"/>
      <c r="K2194" s="15"/>
      <c r="L2194" s="15"/>
      <c r="M2194" s="15"/>
      <c r="N2194" s="15"/>
    </row>
    <row r="2195" spans="9:14" ht="48.2" customHeight="1" x14ac:dyDescent="0.25">
      <c r="I2195" s="15"/>
      <c r="J2195" s="15"/>
      <c r="K2195" s="15"/>
      <c r="L2195" s="15"/>
      <c r="M2195" s="15"/>
      <c r="N2195" s="15"/>
    </row>
    <row r="2196" spans="9:14" ht="48.2" customHeight="1" x14ac:dyDescent="0.25">
      <c r="I2196" s="15"/>
      <c r="J2196" s="15"/>
      <c r="K2196" s="15"/>
      <c r="L2196" s="15"/>
      <c r="M2196" s="15"/>
      <c r="N2196" s="15"/>
    </row>
    <row r="2197" spans="9:14" ht="48.2" customHeight="1" x14ac:dyDescent="0.25">
      <c r="I2197" s="15"/>
      <c r="J2197" s="15"/>
      <c r="K2197" s="15"/>
      <c r="L2197" s="15"/>
      <c r="M2197" s="15"/>
      <c r="N2197" s="15"/>
    </row>
    <row r="2198" spans="9:14" ht="48.2" customHeight="1" x14ac:dyDescent="0.25">
      <c r="I2198" s="15"/>
      <c r="J2198" s="15"/>
      <c r="K2198" s="15"/>
      <c r="L2198" s="15"/>
      <c r="M2198" s="15"/>
      <c r="N2198" s="15"/>
    </row>
    <row r="2199" spans="9:14" ht="48.2" customHeight="1" x14ac:dyDescent="0.25">
      <c r="I2199" s="15"/>
      <c r="J2199" s="15"/>
      <c r="K2199" s="15"/>
      <c r="L2199" s="15"/>
      <c r="M2199" s="15"/>
      <c r="N2199" s="15"/>
    </row>
    <row r="2200" spans="9:14" ht="48.2" customHeight="1" x14ac:dyDescent="0.25">
      <c r="I2200" s="15"/>
      <c r="J2200" s="15"/>
      <c r="K2200" s="15"/>
      <c r="L2200" s="15"/>
      <c r="M2200" s="15"/>
      <c r="N2200" s="15"/>
    </row>
    <row r="2201" spans="9:14" ht="48.2" customHeight="1" x14ac:dyDescent="0.25">
      <c r="I2201" s="15"/>
      <c r="J2201" s="15"/>
      <c r="K2201" s="15"/>
      <c r="L2201" s="15"/>
      <c r="M2201" s="15"/>
      <c r="N2201" s="15"/>
    </row>
    <row r="2202" spans="9:14" ht="48.2" customHeight="1" x14ac:dyDescent="0.25">
      <c r="I2202" s="15"/>
      <c r="J2202" s="15"/>
      <c r="K2202" s="15"/>
      <c r="L2202" s="15"/>
      <c r="M2202" s="15"/>
      <c r="N2202" s="15"/>
    </row>
    <row r="2203" spans="9:14" ht="48.2" customHeight="1" x14ac:dyDescent="0.25">
      <c r="I2203" s="15"/>
      <c r="J2203" s="15"/>
      <c r="K2203" s="15"/>
      <c r="L2203" s="15"/>
      <c r="M2203" s="15"/>
      <c r="N2203" s="15"/>
    </row>
    <row r="2204" spans="9:14" ht="48.2" customHeight="1" x14ac:dyDescent="0.25">
      <c r="I2204" s="15"/>
      <c r="J2204" s="15"/>
      <c r="K2204" s="15"/>
      <c r="L2204" s="15"/>
      <c r="M2204" s="15"/>
      <c r="N2204" s="15"/>
    </row>
    <row r="2205" spans="9:14" ht="48.2" customHeight="1" x14ac:dyDescent="0.25">
      <c r="I2205" s="15"/>
      <c r="J2205" s="15"/>
      <c r="K2205" s="15"/>
      <c r="L2205" s="15"/>
      <c r="M2205" s="15"/>
      <c r="N2205" s="15"/>
    </row>
    <row r="2206" spans="9:14" ht="48.2" customHeight="1" x14ac:dyDescent="0.25">
      <c r="I2206" s="15"/>
      <c r="J2206" s="15"/>
      <c r="K2206" s="15"/>
      <c r="L2206" s="15"/>
      <c r="M2206" s="15"/>
      <c r="N2206" s="15"/>
    </row>
    <row r="2207" spans="9:14" ht="48.2" customHeight="1" x14ac:dyDescent="0.25">
      <c r="I2207" s="15"/>
      <c r="J2207" s="15"/>
      <c r="K2207" s="15"/>
      <c r="L2207" s="15"/>
      <c r="M2207" s="15"/>
      <c r="N2207" s="15"/>
    </row>
    <row r="2208" spans="9:14" ht="48.2" customHeight="1" x14ac:dyDescent="0.25">
      <c r="I2208" s="15"/>
      <c r="J2208" s="15"/>
      <c r="K2208" s="15"/>
      <c r="L2208" s="15"/>
      <c r="M2208" s="15"/>
      <c r="N2208" s="15"/>
    </row>
    <row r="2209" spans="9:14" ht="48.2" customHeight="1" x14ac:dyDescent="0.25">
      <c r="I2209" s="15"/>
      <c r="J2209" s="15"/>
      <c r="K2209" s="15"/>
      <c r="L2209" s="15"/>
      <c r="M2209" s="15"/>
      <c r="N2209" s="15"/>
    </row>
    <row r="2210" spans="9:14" ht="48.2" customHeight="1" x14ac:dyDescent="0.25">
      <c r="I2210" s="15"/>
      <c r="J2210" s="15"/>
      <c r="K2210" s="15"/>
      <c r="L2210" s="15"/>
      <c r="M2210" s="15"/>
      <c r="N2210" s="15"/>
    </row>
    <row r="2211" spans="9:14" ht="48.2" customHeight="1" x14ac:dyDescent="0.25">
      <c r="I2211" s="15"/>
      <c r="J2211" s="15"/>
      <c r="K2211" s="15"/>
      <c r="L2211" s="15"/>
      <c r="M2211" s="15"/>
      <c r="N2211" s="15"/>
    </row>
    <row r="2212" spans="9:14" ht="48.2" customHeight="1" x14ac:dyDescent="0.25">
      <c r="I2212" s="15"/>
      <c r="J2212" s="15"/>
      <c r="K2212" s="15"/>
      <c r="L2212" s="15"/>
      <c r="M2212" s="15"/>
      <c r="N2212" s="15"/>
    </row>
    <row r="2213" spans="9:14" ht="48.2" customHeight="1" x14ac:dyDescent="0.25">
      <c r="I2213" s="15"/>
      <c r="J2213" s="15"/>
      <c r="K2213" s="15"/>
      <c r="L2213" s="15"/>
      <c r="M2213" s="15"/>
      <c r="N2213" s="15"/>
    </row>
    <row r="2214" spans="9:14" ht="48.2" customHeight="1" x14ac:dyDescent="0.25">
      <c r="I2214" s="15"/>
      <c r="J2214" s="15"/>
      <c r="K2214" s="15"/>
      <c r="L2214" s="15"/>
      <c r="M2214" s="15"/>
      <c r="N2214" s="15"/>
    </row>
    <row r="2215" spans="9:14" ht="48.2" customHeight="1" x14ac:dyDescent="0.25">
      <c r="I2215" s="15"/>
      <c r="J2215" s="15"/>
      <c r="K2215" s="15"/>
      <c r="L2215" s="15"/>
      <c r="M2215" s="15"/>
      <c r="N2215" s="15"/>
    </row>
    <row r="2216" spans="9:14" ht="48.2" customHeight="1" x14ac:dyDescent="0.25">
      <c r="I2216" s="15"/>
      <c r="J2216" s="15"/>
      <c r="K2216" s="15"/>
      <c r="L2216" s="15"/>
      <c r="M2216" s="15"/>
      <c r="N2216" s="15"/>
    </row>
    <row r="2217" spans="9:14" ht="48.2" customHeight="1" x14ac:dyDescent="0.25">
      <c r="I2217" s="15"/>
      <c r="J2217" s="15"/>
      <c r="K2217" s="15"/>
      <c r="L2217" s="15"/>
      <c r="M2217" s="15"/>
      <c r="N2217" s="15"/>
    </row>
    <row r="2218" spans="9:14" ht="48.2" customHeight="1" x14ac:dyDescent="0.25">
      <c r="I2218" s="15"/>
      <c r="J2218" s="15"/>
      <c r="K2218" s="15"/>
      <c r="L2218" s="15"/>
      <c r="M2218" s="15"/>
      <c r="N2218" s="15"/>
    </row>
    <row r="2219" spans="9:14" ht="48.2" customHeight="1" x14ac:dyDescent="0.25">
      <c r="I2219" s="15"/>
      <c r="J2219" s="15"/>
      <c r="K2219" s="15"/>
      <c r="L2219" s="15"/>
      <c r="M2219" s="15"/>
      <c r="N2219" s="15"/>
    </row>
    <row r="2220" spans="9:14" ht="48.2" customHeight="1" x14ac:dyDescent="0.25">
      <c r="I2220" s="15"/>
      <c r="J2220" s="15"/>
      <c r="K2220" s="15"/>
      <c r="L2220" s="15"/>
      <c r="M2220" s="15"/>
      <c r="N2220" s="15"/>
    </row>
    <row r="2221" spans="9:14" ht="48.2" customHeight="1" x14ac:dyDescent="0.25">
      <c r="I2221" s="15"/>
      <c r="J2221" s="15"/>
      <c r="K2221" s="15"/>
      <c r="L2221" s="15"/>
      <c r="M2221" s="15"/>
      <c r="N2221" s="15"/>
    </row>
    <row r="2222" spans="9:14" ht="48.2" customHeight="1" x14ac:dyDescent="0.25">
      <c r="I2222" s="15"/>
      <c r="J2222" s="15"/>
      <c r="K2222" s="15"/>
      <c r="L2222" s="15"/>
      <c r="M2222" s="15"/>
      <c r="N2222" s="15"/>
    </row>
    <row r="2223" spans="9:14" ht="48.2" customHeight="1" x14ac:dyDescent="0.25">
      <c r="I2223" s="15"/>
      <c r="J2223" s="15"/>
      <c r="K2223" s="15"/>
      <c r="L2223" s="15"/>
      <c r="M2223" s="15"/>
      <c r="N2223" s="15"/>
    </row>
    <row r="2224" spans="9:14" ht="48.2" customHeight="1" x14ac:dyDescent="0.25">
      <c r="I2224" s="15"/>
      <c r="J2224" s="15"/>
      <c r="K2224" s="15"/>
      <c r="L2224" s="15"/>
      <c r="M2224" s="15"/>
      <c r="N2224" s="15"/>
    </row>
    <row r="2225" spans="9:14" ht="48.2" customHeight="1" x14ac:dyDescent="0.25">
      <c r="I2225" s="15"/>
      <c r="J2225" s="15"/>
      <c r="K2225" s="15"/>
      <c r="L2225" s="15"/>
      <c r="M2225" s="15"/>
      <c r="N2225" s="15"/>
    </row>
    <row r="2226" spans="9:14" ht="48.2" customHeight="1" x14ac:dyDescent="0.25">
      <c r="I2226" s="15"/>
      <c r="J2226" s="15"/>
      <c r="K2226" s="15"/>
      <c r="L2226" s="15"/>
      <c r="M2226" s="15"/>
      <c r="N2226" s="15"/>
    </row>
    <row r="2227" spans="9:14" ht="48.2" customHeight="1" x14ac:dyDescent="0.25">
      <c r="I2227" s="15"/>
      <c r="J2227" s="15"/>
      <c r="K2227" s="15"/>
      <c r="L2227" s="15"/>
      <c r="M2227" s="15"/>
      <c r="N2227" s="15"/>
    </row>
    <row r="2228" spans="9:14" ht="48.2" customHeight="1" x14ac:dyDescent="0.25">
      <c r="I2228" s="15"/>
      <c r="J2228" s="15"/>
      <c r="K2228" s="15"/>
      <c r="L2228" s="15"/>
      <c r="M2228" s="15"/>
      <c r="N2228" s="15"/>
    </row>
    <row r="2229" spans="9:14" ht="48.2" customHeight="1" x14ac:dyDescent="0.25">
      <c r="I2229" s="15"/>
      <c r="J2229" s="15"/>
      <c r="K2229" s="15"/>
      <c r="L2229" s="15"/>
      <c r="M2229" s="15"/>
      <c r="N2229" s="15"/>
    </row>
    <row r="2230" spans="9:14" ht="48.2" customHeight="1" x14ac:dyDescent="0.25">
      <c r="I2230" s="15"/>
      <c r="J2230" s="15"/>
      <c r="K2230" s="15"/>
      <c r="L2230" s="15"/>
      <c r="M2230" s="15"/>
      <c r="N2230" s="15"/>
    </row>
    <row r="2231" spans="9:14" ht="48.2" customHeight="1" x14ac:dyDescent="0.25">
      <c r="I2231" s="15"/>
      <c r="J2231" s="15"/>
      <c r="K2231" s="15"/>
      <c r="L2231" s="15"/>
      <c r="M2231" s="15"/>
      <c r="N2231" s="15"/>
    </row>
    <row r="2232" spans="9:14" ht="48.2" customHeight="1" x14ac:dyDescent="0.25">
      <c r="I2232" s="15"/>
      <c r="J2232" s="15"/>
      <c r="K2232" s="15"/>
      <c r="L2232" s="15"/>
      <c r="M2232" s="15"/>
      <c r="N2232" s="15"/>
    </row>
    <row r="2233" spans="9:14" ht="48.2" customHeight="1" x14ac:dyDescent="0.25">
      <c r="I2233" s="15"/>
      <c r="J2233" s="15"/>
      <c r="K2233" s="15"/>
      <c r="L2233" s="15"/>
      <c r="M2233" s="15"/>
      <c r="N2233" s="15"/>
    </row>
    <row r="2234" spans="9:14" ht="48.2" customHeight="1" x14ac:dyDescent="0.25">
      <c r="I2234" s="15"/>
      <c r="J2234" s="15"/>
      <c r="K2234" s="15"/>
      <c r="L2234" s="15"/>
      <c r="M2234" s="15"/>
      <c r="N2234" s="15"/>
    </row>
    <row r="2235" spans="9:14" ht="48.2" customHeight="1" x14ac:dyDescent="0.25">
      <c r="I2235" s="15"/>
      <c r="J2235" s="15"/>
      <c r="K2235" s="15"/>
      <c r="L2235" s="15"/>
      <c r="M2235" s="15"/>
      <c r="N2235" s="15"/>
    </row>
    <row r="2236" spans="9:14" ht="48.2" customHeight="1" x14ac:dyDescent="0.25">
      <c r="I2236" s="15"/>
      <c r="J2236" s="15"/>
      <c r="K2236" s="15"/>
      <c r="L2236" s="15"/>
      <c r="M2236" s="15"/>
      <c r="N2236" s="15"/>
    </row>
    <row r="2237" spans="9:14" ht="48.2" customHeight="1" x14ac:dyDescent="0.25">
      <c r="I2237" s="15"/>
      <c r="J2237" s="15"/>
      <c r="K2237" s="15"/>
      <c r="L2237" s="15"/>
      <c r="M2237" s="15"/>
      <c r="N2237" s="15"/>
    </row>
    <row r="2238" spans="9:14" ht="48.2" customHeight="1" x14ac:dyDescent="0.25">
      <c r="I2238" s="15"/>
      <c r="J2238" s="15"/>
      <c r="K2238" s="15"/>
      <c r="L2238" s="15"/>
      <c r="M2238" s="15"/>
      <c r="N2238" s="15"/>
    </row>
    <row r="2239" spans="9:14" ht="48.2" customHeight="1" x14ac:dyDescent="0.25">
      <c r="I2239" s="15"/>
      <c r="J2239" s="15"/>
      <c r="K2239" s="15"/>
      <c r="L2239" s="15"/>
      <c r="M2239" s="15"/>
      <c r="N2239" s="15"/>
    </row>
    <row r="2240" spans="9:14" ht="48.2" customHeight="1" x14ac:dyDescent="0.25">
      <c r="I2240" s="15"/>
      <c r="J2240" s="15"/>
      <c r="K2240" s="15"/>
      <c r="L2240" s="15"/>
      <c r="M2240" s="15"/>
      <c r="N2240" s="15"/>
    </row>
    <row r="2241" spans="9:14" ht="48.2" customHeight="1" x14ac:dyDescent="0.25">
      <c r="I2241" s="15"/>
      <c r="J2241" s="15"/>
      <c r="K2241" s="15"/>
      <c r="L2241" s="15"/>
      <c r="M2241" s="15"/>
      <c r="N2241" s="15"/>
    </row>
    <row r="2242" spans="9:14" ht="48.2" customHeight="1" x14ac:dyDescent="0.25">
      <c r="I2242" s="15"/>
      <c r="J2242" s="15"/>
      <c r="K2242" s="15"/>
      <c r="L2242" s="15"/>
      <c r="M2242" s="15"/>
      <c r="N2242" s="15"/>
    </row>
    <row r="2243" spans="9:14" ht="48.2" customHeight="1" x14ac:dyDescent="0.25">
      <c r="I2243" s="15"/>
      <c r="J2243" s="15"/>
      <c r="K2243" s="15"/>
      <c r="L2243" s="15"/>
      <c r="M2243" s="15"/>
      <c r="N2243" s="15"/>
    </row>
    <row r="2244" spans="9:14" ht="48.2" customHeight="1" x14ac:dyDescent="0.25">
      <c r="I2244" s="15"/>
      <c r="J2244" s="15"/>
      <c r="K2244" s="15"/>
      <c r="L2244" s="15"/>
      <c r="M2244" s="15"/>
      <c r="N2244" s="15"/>
    </row>
    <row r="2245" spans="9:14" ht="48.2" customHeight="1" x14ac:dyDescent="0.25">
      <c r="I2245" s="15"/>
      <c r="J2245" s="15"/>
      <c r="K2245" s="15"/>
      <c r="L2245" s="15"/>
      <c r="M2245" s="15"/>
      <c r="N2245" s="15"/>
    </row>
    <row r="2246" spans="9:14" ht="48.2" customHeight="1" x14ac:dyDescent="0.25">
      <c r="I2246" s="15"/>
      <c r="J2246" s="15"/>
      <c r="K2246" s="15"/>
      <c r="L2246" s="15"/>
      <c r="M2246" s="15"/>
      <c r="N2246" s="15"/>
    </row>
    <row r="2247" spans="9:14" ht="48.2" customHeight="1" x14ac:dyDescent="0.25">
      <c r="I2247" s="15"/>
      <c r="J2247" s="15"/>
      <c r="K2247" s="15"/>
      <c r="L2247" s="15"/>
      <c r="M2247" s="15"/>
      <c r="N2247" s="15"/>
    </row>
    <row r="2248" spans="9:14" ht="48.2" customHeight="1" x14ac:dyDescent="0.25">
      <c r="I2248" s="15"/>
      <c r="J2248" s="15"/>
      <c r="K2248" s="15"/>
      <c r="L2248" s="15"/>
      <c r="M2248" s="15"/>
      <c r="N2248" s="15"/>
    </row>
    <row r="2249" spans="9:14" ht="48.2" customHeight="1" x14ac:dyDescent="0.25">
      <c r="I2249" s="15"/>
      <c r="J2249" s="15"/>
      <c r="K2249" s="15"/>
      <c r="L2249" s="15"/>
      <c r="M2249" s="15"/>
      <c r="N2249" s="15"/>
    </row>
    <row r="2250" spans="9:14" ht="48.2" customHeight="1" x14ac:dyDescent="0.25">
      <c r="I2250" s="15"/>
      <c r="J2250" s="15"/>
      <c r="K2250" s="15"/>
      <c r="L2250" s="15"/>
      <c r="M2250" s="15"/>
      <c r="N2250" s="15"/>
    </row>
    <row r="2251" spans="9:14" ht="48.2" customHeight="1" x14ac:dyDescent="0.25">
      <c r="I2251" s="15"/>
      <c r="J2251" s="15"/>
      <c r="K2251" s="15"/>
      <c r="L2251" s="15"/>
      <c r="M2251" s="15"/>
      <c r="N2251" s="15"/>
    </row>
    <row r="2252" spans="9:14" ht="48.2" customHeight="1" x14ac:dyDescent="0.25">
      <c r="I2252" s="15"/>
      <c r="J2252" s="15"/>
      <c r="K2252" s="15"/>
      <c r="L2252" s="15"/>
      <c r="M2252" s="15"/>
      <c r="N2252" s="15"/>
    </row>
    <row r="2253" spans="9:14" ht="48.2" customHeight="1" x14ac:dyDescent="0.25">
      <c r="I2253" s="15"/>
      <c r="J2253" s="15"/>
      <c r="K2253" s="15"/>
      <c r="L2253" s="15"/>
      <c r="M2253" s="15"/>
      <c r="N2253" s="15"/>
    </row>
    <row r="2254" spans="9:14" ht="48.2" customHeight="1" x14ac:dyDescent="0.25">
      <c r="I2254" s="15"/>
      <c r="J2254" s="15"/>
      <c r="K2254" s="15"/>
      <c r="L2254" s="15"/>
      <c r="M2254" s="15"/>
      <c r="N2254" s="15"/>
    </row>
    <row r="2255" spans="9:14" ht="48.2" customHeight="1" x14ac:dyDescent="0.25">
      <c r="I2255" s="15"/>
      <c r="J2255" s="15"/>
      <c r="K2255" s="15"/>
      <c r="L2255" s="15"/>
      <c r="M2255" s="15"/>
      <c r="N2255" s="15"/>
    </row>
    <row r="2256" spans="9:14" ht="48.2" customHeight="1" x14ac:dyDescent="0.25">
      <c r="I2256" s="15"/>
      <c r="J2256" s="15"/>
      <c r="K2256" s="15"/>
      <c r="L2256" s="15"/>
      <c r="M2256" s="15"/>
      <c r="N2256" s="15"/>
    </row>
    <row r="2257" spans="9:14" ht="48.2" customHeight="1" x14ac:dyDescent="0.25">
      <c r="I2257" s="15"/>
      <c r="J2257" s="15"/>
      <c r="K2257" s="15"/>
      <c r="L2257" s="15"/>
      <c r="M2257" s="15"/>
      <c r="N2257" s="15"/>
    </row>
    <row r="2258" spans="9:14" ht="48.2" customHeight="1" x14ac:dyDescent="0.25">
      <c r="I2258" s="15"/>
      <c r="J2258" s="15"/>
      <c r="K2258" s="15"/>
      <c r="L2258" s="15"/>
      <c r="M2258" s="15"/>
      <c r="N2258" s="15"/>
    </row>
    <row r="2259" spans="9:14" ht="48.2" customHeight="1" x14ac:dyDescent="0.25">
      <c r="I2259" s="15"/>
      <c r="J2259" s="15"/>
      <c r="K2259" s="15"/>
      <c r="L2259" s="15"/>
      <c r="M2259" s="15"/>
      <c r="N2259" s="15"/>
    </row>
    <row r="2260" spans="9:14" ht="48.2" customHeight="1" x14ac:dyDescent="0.25">
      <c r="I2260" s="15"/>
      <c r="J2260" s="15"/>
      <c r="K2260" s="15"/>
      <c r="L2260" s="15"/>
      <c r="M2260" s="15"/>
      <c r="N2260" s="15"/>
    </row>
    <row r="2261" spans="9:14" ht="48.2" customHeight="1" x14ac:dyDescent="0.25">
      <c r="I2261" s="15"/>
      <c r="J2261" s="15"/>
      <c r="K2261" s="15"/>
      <c r="L2261" s="15"/>
      <c r="M2261" s="15"/>
      <c r="N2261" s="15"/>
    </row>
    <row r="2262" spans="9:14" ht="48.2" customHeight="1" x14ac:dyDescent="0.25">
      <c r="I2262" s="15"/>
      <c r="J2262" s="15"/>
      <c r="K2262" s="15"/>
      <c r="L2262" s="15"/>
      <c r="M2262" s="15"/>
      <c r="N2262" s="15"/>
    </row>
    <row r="2263" spans="9:14" ht="48.2" customHeight="1" x14ac:dyDescent="0.25">
      <c r="I2263" s="15"/>
      <c r="J2263" s="15"/>
      <c r="K2263" s="15"/>
      <c r="L2263" s="15"/>
      <c r="M2263" s="15"/>
      <c r="N2263" s="15"/>
    </row>
    <row r="2264" spans="9:14" ht="48.2" customHeight="1" x14ac:dyDescent="0.25">
      <c r="I2264" s="15"/>
      <c r="J2264" s="15"/>
      <c r="K2264" s="15"/>
      <c r="L2264" s="15"/>
      <c r="M2264" s="15"/>
      <c r="N2264" s="15"/>
    </row>
    <row r="2265" spans="9:14" ht="48.2" customHeight="1" x14ac:dyDescent="0.25">
      <c r="I2265" s="15"/>
      <c r="J2265" s="15"/>
      <c r="K2265" s="15"/>
      <c r="L2265" s="15"/>
      <c r="M2265" s="15"/>
      <c r="N2265" s="15"/>
    </row>
    <row r="2266" spans="9:14" ht="48.2" customHeight="1" x14ac:dyDescent="0.25">
      <c r="I2266" s="15"/>
      <c r="J2266" s="15"/>
      <c r="K2266" s="15"/>
      <c r="L2266" s="15"/>
      <c r="M2266" s="15"/>
      <c r="N2266" s="15"/>
    </row>
    <row r="2267" spans="9:14" ht="48.2" customHeight="1" x14ac:dyDescent="0.25">
      <c r="I2267" s="15"/>
      <c r="J2267" s="15"/>
      <c r="K2267" s="15"/>
      <c r="L2267" s="15"/>
      <c r="M2267" s="15"/>
      <c r="N2267" s="15"/>
    </row>
    <row r="2268" spans="9:14" ht="48.2" customHeight="1" x14ac:dyDescent="0.25">
      <c r="I2268" s="15"/>
      <c r="J2268" s="15"/>
      <c r="K2268" s="15"/>
      <c r="L2268" s="15"/>
      <c r="M2268" s="15"/>
      <c r="N2268" s="15"/>
    </row>
    <row r="2269" spans="9:14" ht="48.2" customHeight="1" x14ac:dyDescent="0.25">
      <c r="I2269" s="15"/>
      <c r="J2269" s="15"/>
      <c r="K2269" s="15"/>
      <c r="L2269" s="15"/>
      <c r="M2269" s="15"/>
      <c r="N2269" s="15"/>
    </row>
    <row r="2270" spans="9:14" ht="48.2" customHeight="1" x14ac:dyDescent="0.25">
      <c r="I2270" s="15"/>
      <c r="J2270" s="15"/>
      <c r="K2270" s="15"/>
      <c r="L2270" s="15"/>
      <c r="M2270" s="15"/>
      <c r="N2270" s="15"/>
    </row>
    <row r="2271" spans="9:14" ht="48.2" customHeight="1" x14ac:dyDescent="0.25">
      <c r="I2271" s="15"/>
      <c r="J2271" s="15"/>
      <c r="K2271" s="15"/>
      <c r="L2271" s="15"/>
      <c r="M2271" s="15"/>
      <c r="N2271" s="15"/>
    </row>
    <row r="2272" spans="9:14" ht="48.2" customHeight="1" x14ac:dyDescent="0.25">
      <c r="I2272" s="15"/>
      <c r="J2272" s="15"/>
      <c r="K2272" s="15"/>
      <c r="L2272" s="15"/>
      <c r="M2272" s="15"/>
      <c r="N2272" s="15"/>
    </row>
    <row r="2273" spans="9:14" ht="48.2" customHeight="1" x14ac:dyDescent="0.25">
      <c r="I2273" s="15"/>
      <c r="J2273" s="15"/>
      <c r="K2273" s="15"/>
      <c r="L2273" s="15"/>
      <c r="M2273" s="15"/>
      <c r="N2273" s="15"/>
    </row>
    <row r="2274" spans="9:14" ht="48.2" customHeight="1" x14ac:dyDescent="0.25">
      <c r="I2274" s="15"/>
      <c r="J2274" s="15"/>
      <c r="K2274" s="15"/>
      <c r="L2274" s="15"/>
      <c r="M2274" s="15"/>
      <c r="N2274" s="15"/>
    </row>
    <row r="2275" spans="9:14" ht="48.2" customHeight="1" x14ac:dyDescent="0.25">
      <c r="I2275" s="15"/>
      <c r="J2275" s="15"/>
      <c r="K2275" s="15"/>
      <c r="L2275" s="15"/>
      <c r="M2275" s="15"/>
      <c r="N2275" s="15"/>
    </row>
    <row r="2276" spans="9:14" ht="48.2" customHeight="1" x14ac:dyDescent="0.25">
      <c r="I2276" s="15"/>
      <c r="J2276" s="15"/>
      <c r="K2276" s="15"/>
      <c r="L2276" s="15"/>
      <c r="M2276" s="15"/>
      <c r="N2276" s="15"/>
    </row>
    <row r="2277" spans="9:14" ht="48.2" customHeight="1" x14ac:dyDescent="0.25">
      <c r="I2277" s="15"/>
      <c r="J2277" s="15"/>
      <c r="K2277" s="15"/>
      <c r="L2277" s="15"/>
      <c r="M2277" s="15"/>
      <c r="N2277" s="15"/>
    </row>
    <row r="2278" spans="9:14" ht="48.2" customHeight="1" x14ac:dyDescent="0.25">
      <c r="I2278" s="15"/>
      <c r="J2278" s="15"/>
      <c r="K2278" s="15"/>
      <c r="L2278" s="15"/>
      <c r="M2278" s="15"/>
      <c r="N2278" s="15"/>
    </row>
    <row r="2279" spans="9:14" ht="48.2" customHeight="1" x14ac:dyDescent="0.25">
      <c r="I2279" s="15"/>
      <c r="J2279" s="15"/>
      <c r="K2279" s="15"/>
      <c r="L2279" s="15"/>
      <c r="M2279" s="15"/>
      <c r="N2279" s="15"/>
    </row>
    <row r="2280" spans="9:14" ht="48.2" customHeight="1" x14ac:dyDescent="0.25">
      <c r="I2280" s="15"/>
      <c r="J2280" s="15"/>
      <c r="K2280" s="15"/>
      <c r="L2280" s="15"/>
      <c r="M2280" s="15"/>
      <c r="N2280" s="15"/>
    </row>
    <row r="2281" spans="9:14" ht="48.2" customHeight="1" x14ac:dyDescent="0.25">
      <c r="I2281" s="15"/>
      <c r="J2281" s="15"/>
      <c r="K2281" s="15"/>
      <c r="L2281" s="15"/>
      <c r="M2281" s="15"/>
      <c r="N2281" s="15"/>
    </row>
    <row r="2282" spans="9:14" ht="48.2" customHeight="1" x14ac:dyDescent="0.25">
      <c r="I2282" s="15"/>
      <c r="J2282" s="15"/>
      <c r="K2282" s="15"/>
      <c r="L2282" s="15"/>
      <c r="M2282" s="15"/>
      <c r="N2282" s="15"/>
    </row>
    <row r="2283" spans="9:14" ht="48.2" customHeight="1" x14ac:dyDescent="0.25">
      <c r="I2283" s="15"/>
      <c r="J2283" s="15"/>
      <c r="K2283" s="15"/>
      <c r="L2283" s="15"/>
      <c r="M2283" s="15"/>
      <c r="N2283" s="15"/>
    </row>
    <row r="2284" spans="9:14" ht="48.2" customHeight="1" x14ac:dyDescent="0.25">
      <c r="I2284" s="15"/>
      <c r="J2284" s="15"/>
      <c r="K2284" s="15"/>
      <c r="L2284" s="15"/>
      <c r="M2284" s="15"/>
      <c r="N2284" s="15"/>
    </row>
    <row r="2285" spans="9:14" ht="48.2" customHeight="1" x14ac:dyDescent="0.25">
      <c r="I2285" s="15"/>
      <c r="J2285" s="15"/>
      <c r="K2285" s="15"/>
      <c r="L2285" s="15"/>
      <c r="M2285" s="15"/>
      <c r="N2285" s="15"/>
    </row>
    <row r="2286" spans="9:14" ht="48.2" customHeight="1" x14ac:dyDescent="0.25">
      <c r="I2286" s="15"/>
      <c r="J2286" s="15"/>
      <c r="K2286" s="15"/>
      <c r="L2286" s="15"/>
      <c r="M2286" s="15"/>
      <c r="N2286" s="15"/>
    </row>
    <row r="2287" spans="9:14" ht="48.2" customHeight="1" x14ac:dyDescent="0.25">
      <c r="I2287" s="15"/>
      <c r="J2287" s="15"/>
      <c r="K2287" s="15"/>
      <c r="L2287" s="15"/>
      <c r="M2287" s="15"/>
      <c r="N2287" s="15"/>
    </row>
    <row r="2288" spans="9:14" ht="48.2" customHeight="1" x14ac:dyDescent="0.25">
      <c r="I2288" s="15"/>
      <c r="J2288" s="15"/>
      <c r="K2288" s="15"/>
      <c r="L2288" s="15"/>
      <c r="M2288" s="15"/>
      <c r="N2288" s="15"/>
    </row>
    <row r="2289" spans="9:14" ht="48.2" customHeight="1" x14ac:dyDescent="0.25">
      <c r="I2289" s="15"/>
      <c r="J2289" s="15"/>
      <c r="K2289" s="15"/>
      <c r="L2289" s="15"/>
      <c r="M2289" s="15"/>
      <c r="N2289" s="15"/>
    </row>
    <row r="2290" spans="9:14" ht="48.2" customHeight="1" x14ac:dyDescent="0.25">
      <c r="I2290" s="15"/>
      <c r="J2290" s="15"/>
      <c r="K2290" s="15"/>
      <c r="L2290" s="15"/>
      <c r="M2290" s="15"/>
      <c r="N2290" s="15"/>
    </row>
    <row r="2291" spans="9:14" ht="48.2" customHeight="1" x14ac:dyDescent="0.25">
      <c r="I2291" s="15"/>
      <c r="J2291" s="15"/>
      <c r="K2291" s="15"/>
      <c r="L2291" s="15"/>
      <c r="M2291" s="15"/>
      <c r="N2291" s="15"/>
    </row>
    <row r="2292" spans="9:14" ht="48.2" customHeight="1" x14ac:dyDescent="0.25">
      <c r="I2292" s="15"/>
      <c r="J2292" s="15"/>
      <c r="K2292" s="15"/>
      <c r="L2292" s="15"/>
      <c r="M2292" s="15"/>
      <c r="N2292" s="15"/>
    </row>
    <row r="2293" spans="9:14" ht="48.2" customHeight="1" x14ac:dyDescent="0.25">
      <c r="I2293" s="15"/>
      <c r="J2293" s="15"/>
      <c r="K2293" s="15"/>
      <c r="L2293" s="15"/>
      <c r="M2293" s="15"/>
      <c r="N2293" s="15"/>
    </row>
    <row r="2294" spans="9:14" ht="48.2" customHeight="1" x14ac:dyDescent="0.25">
      <c r="I2294" s="15"/>
      <c r="J2294" s="15"/>
      <c r="K2294" s="15"/>
      <c r="L2294" s="15"/>
      <c r="M2294" s="15"/>
      <c r="N2294" s="15"/>
    </row>
    <row r="2295" spans="9:14" ht="48.2" customHeight="1" x14ac:dyDescent="0.25">
      <c r="I2295" s="15"/>
      <c r="J2295" s="15"/>
      <c r="K2295" s="15"/>
      <c r="L2295" s="15"/>
      <c r="M2295" s="15"/>
      <c r="N2295" s="15"/>
    </row>
    <row r="2296" spans="9:14" ht="48.2" customHeight="1" x14ac:dyDescent="0.25">
      <c r="I2296" s="15"/>
      <c r="J2296" s="15"/>
      <c r="K2296" s="15"/>
      <c r="L2296" s="15"/>
      <c r="M2296" s="15"/>
      <c r="N2296" s="15"/>
    </row>
    <row r="2297" spans="9:14" ht="48.2" customHeight="1" x14ac:dyDescent="0.25">
      <c r="I2297" s="15"/>
      <c r="J2297" s="15"/>
      <c r="K2297" s="15"/>
      <c r="L2297" s="15"/>
      <c r="M2297" s="15"/>
      <c r="N2297" s="15"/>
    </row>
    <row r="2298" spans="9:14" ht="48.2" customHeight="1" x14ac:dyDescent="0.25">
      <c r="I2298" s="15"/>
      <c r="J2298" s="15"/>
      <c r="K2298" s="15"/>
      <c r="L2298" s="15"/>
      <c r="M2298" s="15"/>
      <c r="N2298" s="15"/>
    </row>
    <row r="2299" spans="9:14" ht="48.2" customHeight="1" x14ac:dyDescent="0.25">
      <c r="I2299" s="15"/>
      <c r="J2299" s="15"/>
      <c r="K2299" s="15"/>
      <c r="L2299" s="15"/>
      <c r="M2299" s="15"/>
      <c r="N2299" s="15"/>
    </row>
    <row r="2300" spans="9:14" ht="48.2" customHeight="1" x14ac:dyDescent="0.25">
      <c r="I2300" s="15"/>
      <c r="J2300" s="15"/>
      <c r="K2300" s="15"/>
      <c r="L2300" s="15"/>
      <c r="M2300" s="15"/>
      <c r="N2300" s="15"/>
    </row>
    <row r="2301" spans="9:14" ht="48.2" customHeight="1" x14ac:dyDescent="0.25">
      <c r="I2301" s="15"/>
      <c r="J2301" s="15"/>
      <c r="K2301" s="15"/>
      <c r="L2301" s="15"/>
      <c r="M2301" s="15"/>
      <c r="N2301" s="15"/>
    </row>
    <row r="2302" spans="9:14" ht="48.2" customHeight="1" x14ac:dyDescent="0.25">
      <c r="I2302" s="15"/>
      <c r="J2302" s="15"/>
      <c r="K2302" s="15"/>
      <c r="L2302" s="15"/>
      <c r="M2302" s="15"/>
      <c r="N2302" s="15"/>
    </row>
    <row r="2303" spans="9:14" ht="48.2" customHeight="1" x14ac:dyDescent="0.25">
      <c r="I2303" s="15"/>
      <c r="J2303" s="15"/>
      <c r="K2303" s="15"/>
      <c r="L2303" s="15"/>
      <c r="M2303" s="15"/>
      <c r="N2303" s="15"/>
    </row>
    <row r="2304" spans="9:14" ht="48.2" customHeight="1" x14ac:dyDescent="0.25">
      <c r="I2304" s="15"/>
      <c r="J2304" s="15"/>
      <c r="K2304" s="15"/>
      <c r="L2304" s="15"/>
      <c r="M2304" s="15"/>
      <c r="N2304" s="15"/>
    </row>
    <row r="2305" spans="9:14" ht="48.2" customHeight="1" x14ac:dyDescent="0.25">
      <c r="I2305" s="15"/>
      <c r="J2305" s="15"/>
      <c r="K2305" s="15"/>
      <c r="L2305" s="15"/>
      <c r="M2305" s="15"/>
      <c r="N2305" s="15"/>
    </row>
    <row r="2306" spans="9:14" ht="48.2" customHeight="1" x14ac:dyDescent="0.25">
      <c r="I2306" s="15"/>
      <c r="J2306" s="15"/>
      <c r="K2306" s="15"/>
      <c r="L2306" s="15"/>
      <c r="M2306" s="15"/>
      <c r="N2306" s="15"/>
    </row>
    <row r="2307" spans="9:14" ht="48.2" customHeight="1" x14ac:dyDescent="0.25">
      <c r="I2307" s="15"/>
      <c r="J2307" s="15"/>
      <c r="K2307" s="15"/>
      <c r="L2307" s="15"/>
      <c r="M2307" s="15"/>
      <c r="N2307" s="15"/>
    </row>
    <row r="2308" spans="9:14" ht="48.2" customHeight="1" x14ac:dyDescent="0.25">
      <c r="I2308" s="15"/>
      <c r="J2308" s="15"/>
      <c r="K2308" s="15"/>
      <c r="L2308" s="15"/>
      <c r="M2308" s="15"/>
      <c r="N2308" s="15"/>
    </row>
    <row r="2309" spans="9:14" ht="48.2" customHeight="1" x14ac:dyDescent="0.25">
      <c r="I2309" s="15"/>
      <c r="J2309" s="15"/>
      <c r="K2309" s="15"/>
      <c r="L2309" s="15"/>
      <c r="M2309" s="15"/>
      <c r="N2309" s="15"/>
    </row>
    <row r="2310" spans="9:14" ht="48.2" customHeight="1" x14ac:dyDescent="0.25">
      <c r="I2310" s="15"/>
      <c r="J2310" s="15"/>
      <c r="K2310" s="15"/>
      <c r="L2310" s="15"/>
      <c r="M2310" s="15"/>
      <c r="N2310" s="15"/>
    </row>
    <row r="2311" spans="9:14" ht="48.2" customHeight="1" x14ac:dyDescent="0.25">
      <c r="I2311" s="15"/>
      <c r="J2311" s="15"/>
      <c r="K2311" s="15"/>
      <c r="L2311" s="15"/>
      <c r="M2311" s="15"/>
      <c r="N2311" s="15"/>
    </row>
    <row r="2312" spans="9:14" ht="48.2" customHeight="1" x14ac:dyDescent="0.25">
      <c r="I2312" s="15"/>
      <c r="J2312" s="15"/>
      <c r="K2312" s="15"/>
      <c r="L2312" s="15"/>
      <c r="M2312" s="15"/>
      <c r="N2312" s="15"/>
    </row>
    <row r="2313" spans="9:14" ht="48.2" customHeight="1" x14ac:dyDescent="0.25">
      <c r="I2313" s="15"/>
      <c r="J2313" s="15"/>
      <c r="K2313" s="15"/>
      <c r="L2313" s="15"/>
      <c r="M2313" s="15"/>
      <c r="N2313" s="15"/>
    </row>
    <row r="2314" spans="9:14" ht="48.2" customHeight="1" x14ac:dyDescent="0.25">
      <c r="I2314" s="15"/>
      <c r="J2314" s="15"/>
      <c r="K2314" s="15"/>
      <c r="L2314" s="15"/>
      <c r="M2314" s="15"/>
      <c r="N2314" s="15"/>
    </row>
    <row r="2315" spans="9:14" ht="48.2" customHeight="1" x14ac:dyDescent="0.25">
      <c r="I2315" s="15"/>
      <c r="J2315" s="15"/>
      <c r="K2315" s="15"/>
      <c r="L2315" s="15"/>
      <c r="M2315" s="15"/>
      <c r="N2315" s="15"/>
    </row>
    <row r="2316" spans="9:14" ht="48.2" customHeight="1" x14ac:dyDescent="0.25">
      <c r="I2316" s="15"/>
      <c r="J2316" s="15"/>
      <c r="K2316" s="15"/>
      <c r="L2316" s="15"/>
      <c r="M2316" s="15"/>
      <c r="N2316" s="15"/>
    </row>
    <row r="2317" spans="9:14" ht="48.2" customHeight="1" x14ac:dyDescent="0.25">
      <c r="I2317" s="15"/>
      <c r="J2317" s="15"/>
      <c r="K2317" s="15"/>
      <c r="L2317" s="15"/>
      <c r="M2317" s="15"/>
      <c r="N2317" s="15"/>
    </row>
    <row r="2318" spans="9:14" ht="48.2" customHeight="1" x14ac:dyDescent="0.25">
      <c r="I2318" s="15"/>
      <c r="J2318" s="15"/>
      <c r="K2318" s="15"/>
      <c r="L2318" s="15"/>
      <c r="M2318" s="15"/>
      <c r="N2318" s="15"/>
    </row>
    <row r="2319" spans="9:14" ht="48.2" customHeight="1" x14ac:dyDescent="0.25">
      <c r="I2319" s="15"/>
      <c r="J2319" s="15"/>
      <c r="K2319" s="15"/>
      <c r="L2319" s="15"/>
      <c r="M2319" s="15"/>
      <c r="N2319" s="15"/>
    </row>
    <row r="2320" spans="9:14" ht="48.2" customHeight="1" x14ac:dyDescent="0.25">
      <c r="I2320" s="15"/>
      <c r="J2320" s="15"/>
      <c r="K2320" s="15"/>
      <c r="L2320" s="15"/>
      <c r="M2320" s="15"/>
      <c r="N2320" s="15"/>
    </row>
    <row r="2321" spans="9:14" ht="48.2" customHeight="1" x14ac:dyDescent="0.25">
      <c r="I2321" s="15"/>
      <c r="J2321" s="15"/>
      <c r="K2321" s="15"/>
      <c r="L2321" s="15"/>
      <c r="M2321" s="15"/>
      <c r="N2321" s="15"/>
    </row>
    <row r="2322" spans="9:14" ht="48.2" customHeight="1" x14ac:dyDescent="0.25">
      <c r="I2322" s="15"/>
      <c r="J2322" s="15"/>
      <c r="K2322" s="15"/>
      <c r="L2322" s="15"/>
      <c r="M2322" s="15"/>
      <c r="N2322" s="15"/>
    </row>
    <row r="2323" spans="9:14" ht="48.2" customHeight="1" x14ac:dyDescent="0.25">
      <c r="I2323" s="15"/>
      <c r="J2323" s="15"/>
      <c r="K2323" s="15"/>
      <c r="L2323" s="15"/>
      <c r="M2323" s="15"/>
      <c r="N2323" s="15"/>
    </row>
    <row r="2324" spans="9:14" ht="48.2" customHeight="1" x14ac:dyDescent="0.25">
      <c r="I2324" s="15"/>
      <c r="J2324" s="15"/>
      <c r="K2324" s="15"/>
      <c r="L2324" s="15"/>
      <c r="M2324" s="15"/>
      <c r="N2324" s="15"/>
    </row>
    <row r="2325" spans="9:14" ht="48.2" customHeight="1" x14ac:dyDescent="0.25">
      <c r="I2325" s="15"/>
      <c r="J2325" s="15"/>
      <c r="K2325" s="15"/>
      <c r="L2325" s="15"/>
      <c r="M2325" s="15"/>
      <c r="N2325" s="15"/>
    </row>
    <row r="2326" spans="9:14" ht="48.2" customHeight="1" x14ac:dyDescent="0.25">
      <c r="I2326" s="15"/>
      <c r="J2326" s="15"/>
      <c r="K2326" s="15"/>
      <c r="L2326" s="15"/>
      <c r="M2326" s="15"/>
      <c r="N2326" s="15"/>
    </row>
    <row r="2327" spans="9:14" ht="48.2" customHeight="1" x14ac:dyDescent="0.25">
      <c r="I2327" s="15"/>
      <c r="J2327" s="15"/>
      <c r="K2327" s="15"/>
      <c r="L2327" s="15"/>
      <c r="M2327" s="15"/>
      <c r="N2327" s="15"/>
    </row>
    <row r="2328" spans="9:14" ht="48.2" customHeight="1" x14ac:dyDescent="0.25">
      <c r="I2328" s="15"/>
      <c r="J2328" s="15"/>
      <c r="K2328" s="15"/>
      <c r="L2328" s="15"/>
      <c r="M2328" s="15"/>
      <c r="N2328" s="15"/>
    </row>
    <row r="2329" spans="9:14" ht="48.2" customHeight="1" x14ac:dyDescent="0.25">
      <c r="I2329" s="15"/>
      <c r="J2329" s="15"/>
      <c r="K2329" s="15"/>
      <c r="L2329" s="15"/>
      <c r="M2329" s="15"/>
      <c r="N2329" s="15"/>
    </row>
    <row r="2330" spans="9:14" ht="48.2" customHeight="1" x14ac:dyDescent="0.25">
      <c r="I2330" s="15"/>
      <c r="J2330" s="15"/>
      <c r="K2330" s="15"/>
      <c r="L2330" s="15"/>
      <c r="M2330" s="15"/>
      <c r="N2330" s="15"/>
    </row>
    <row r="2331" spans="9:14" ht="48.2" customHeight="1" x14ac:dyDescent="0.25">
      <c r="I2331" s="15"/>
      <c r="J2331" s="15"/>
      <c r="K2331" s="15"/>
      <c r="L2331" s="15"/>
      <c r="M2331" s="15"/>
      <c r="N2331" s="15"/>
    </row>
    <row r="2332" spans="9:14" ht="48.2" customHeight="1" x14ac:dyDescent="0.25">
      <c r="I2332" s="15"/>
      <c r="J2332" s="15"/>
      <c r="K2332" s="15"/>
      <c r="L2332" s="15"/>
      <c r="M2332" s="15"/>
      <c r="N2332" s="15"/>
    </row>
    <row r="2333" spans="9:14" ht="48.2" customHeight="1" x14ac:dyDescent="0.25">
      <c r="I2333" s="15"/>
      <c r="J2333" s="15"/>
      <c r="K2333" s="15"/>
      <c r="L2333" s="15"/>
      <c r="M2333" s="15"/>
      <c r="N2333" s="15"/>
    </row>
    <row r="2334" spans="9:14" ht="48.2" customHeight="1" x14ac:dyDescent="0.25">
      <c r="I2334" s="15"/>
      <c r="J2334" s="15"/>
      <c r="K2334" s="15"/>
      <c r="L2334" s="15"/>
      <c r="M2334" s="15"/>
      <c r="N2334" s="15"/>
    </row>
    <row r="2335" spans="9:14" ht="48.2" customHeight="1" x14ac:dyDescent="0.25">
      <c r="I2335" s="15"/>
      <c r="J2335" s="15"/>
      <c r="K2335" s="15"/>
      <c r="L2335" s="15"/>
      <c r="M2335" s="15"/>
      <c r="N2335" s="15"/>
    </row>
    <row r="2336" spans="9:14" ht="48.2" customHeight="1" x14ac:dyDescent="0.25">
      <c r="I2336" s="15"/>
      <c r="J2336" s="15"/>
      <c r="K2336" s="15"/>
      <c r="L2336" s="15"/>
      <c r="M2336" s="15"/>
      <c r="N2336" s="15"/>
    </row>
    <row r="2337" spans="9:14" ht="48.2" customHeight="1" x14ac:dyDescent="0.25">
      <c r="I2337" s="15"/>
      <c r="J2337" s="15"/>
      <c r="K2337" s="15"/>
      <c r="L2337" s="15"/>
      <c r="M2337" s="15"/>
      <c r="N2337" s="15"/>
    </row>
    <row r="2338" spans="9:14" ht="48.2" customHeight="1" x14ac:dyDescent="0.25">
      <c r="I2338" s="15"/>
      <c r="J2338" s="15"/>
      <c r="K2338" s="15"/>
      <c r="L2338" s="15"/>
      <c r="M2338" s="15"/>
      <c r="N2338" s="15"/>
    </row>
    <row r="2339" spans="9:14" ht="48.2" customHeight="1" x14ac:dyDescent="0.25">
      <c r="I2339" s="15"/>
      <c r="J2339" s="15"/>
      <c r="K2339" s="15"/>
      <c r="L2339" s="15"/>
      <c r="M2339" s="15"/>
      <c r="N2339" s="15"/>
    </row>
    <row r="2340" spans="9:14" ht="48.2" customHeight="1" x14ac:dyDescent="0.25">
      <c r="I2340" s="15"/>
      <c r="J2340" s="15"/>
      <c r="K2340" s="15"/>
      <c r="L2340" s="15"/>
      <c r="M2340" s="15"/>
      <c r="N2340" s="15"/>
    </row>
    <row r="2341" spans="9:14" ht="48.2" customHeight="1" x14ac:dyDescent="0.25">
      <c r="I2341" s="15"/>
      <c r="J2341" s="15"/>
      <c r="K2341" s="15"/>
      <c r="L2341" s="15"/>
      <c r="M2341" s="15"/>
      <c r="N2341" s="15"/>
    </row>
    <row r="2342" spans="9:14" ht="48.2" customHeight="1" x14ac:dyDescent="0.25">
      <c r="I2342" s="15"/>
      <c r="J2342" s="15"/>
      <c r="K2342" s="15"/>
      <c r="L2342" s="15"/>
      <c r="M2342" s="15"/>
      <c r="N2342" s="15"/>
    </row>
    <row r="2343" spans="9:14" ht="48.2" customHeight="1" x14ac:dyDescent="0.25">
      <c r="I2343" s="15"/>
      <c r="J2343" s="15"/>
      <c r="K2343" s="15"/>
      <c r="L2343" s="15"/>
      <c r="M2343" s="15"/>
      <c r="N2343" s="15"/>
    </row>
    <row r="2344" spans="9:14" ht="48.2" customHeight="1" x14ac:dyDescent="0.25">
      <c r="I2344" s="15"/>
      <c r="J2344" s="15"/>
      <c r="K2344" s="15"/>
      <c r="L2344" s="15"/>
      <c r="M2344" s="15"/>
      <c r="N2344" s="15"/>
    </row>
    <row r="2345" spans="9:14" ht="48.2" customHeight="1" x14ac:dyDescent="0.25">
      <c r="I2345" s="15"/>
      <c r="J2345" s="15"/>
      <c r="K2345" s="15"/>
      <c r="L2345" s="15"/>
      <c r="M2345" s="15"/>
      <c r="N2345" s="15"/>
    </row>
    <row r="2346" spans="9:14" ht="48.2" customHeight="1" x14ac:dyDescent="0.25">
      <c r="I2346" s="15"/>
      <c r="J2346" s="15"/>
      <c r="K2346" s="15"/>
      <c r="L2346" s="15"/>
      <c r="M2346" s="15"/>
      <c r="N2346" s="15"/>
    </row>
    <row r="2347" spans="9:14" ht="48.2" customHeight="1" x14ac:dyDescent="0.25">
      <c r="I2347" s="15"/>
      <c r="J2347" s="15"/>
      <c r="K2347" s="15"/>
      <c r="L2347" s="15"/>
      <c r="M2347" s="15"/>
      <c r="N2347" s="15"/>
    </row>
    <row r="2348" spans="9:14" ht="48.2" customHeight="1" x14ac:dyDescent="0.25">
      <c r="I2348" s="15"/>
      <c r="J2348" s="15"/>
      <c r="K2348" s="15"/>
      <c r="L2348" s="15"/>
      <c r="M2348" s="15"/>
      <c r="N2348" s="15"/>
    </row>
    <row r="2349" spans="9:14" ht="48.2" customHeight="1" x14ac:dyDescent="0.25">
      <c r="I2349" s="15"/>
      <c r="J2349" s="15"/>
      <c r="K2349" s="15"/>
      <c r="L2349" s="15"/>
      <c r="M2349" s="15"/>
      <c r="N2349" s="15"/>
    </row>
    <row r="2350" spans="9:14" ht="48.2" customHeight="1" x14ac:dyDescent="0.25">
      <c r="I2350" s="15"/>
      <c r="J2350" s="15"/>
      <c r="K2350" s="15"/>
      <c r="L2350" s="15"/>
      <c r="M2350" s="15"/>
      <c r="N2350" s="15"/>
    </row>
    <row r="2351" spans="9:14" ht="48.2" customHeight="1" x14ac:dyDescent="0.25">
      <c r="I2351" s="15"/>
      <c r="J2351" s="15"/>
      <c r="K2351" s="15"/>
      <c r="L2351" s="15"/>
      <c r="M2351" s="15"/>
      <c r="N2351" s="15"/>
    </row>
    <row r="2352" spans="9:14" ht="48.2" customHeight="1" x14ac:dyDescent="0.25">
      <c r="I2352" s="15"/>
      <c r="J2352" s="15"/>
      <c r="K2352" s="15"/>
      <c r="L2352" s="15"/>
      <c r="M2352" s="15"/>
      <c r="N2352" s="15"/>
    </row>
    <row r="2353" spans="9:14" ht="48.2" customHeight="1" x14ac:dyDescent="0.25">
      <c r="I2353" s="15"/>
      <c r="J2353" s="15"/>
      <c r="K2353" s="15"/>
      <c r="L2353" s="15"/>
      <c r="M2353" s="15"/>
      <c r="N2353" s="15"/>
    </row>
    <row r="2354" spans="9:14" ht="48.2" customHeight="1" x14ac:dyDescent="0.25">
      <c r="I2354" s="15"/>
      <c r="J2354" s="15"/>
      <c r="K2354" s="15"/>
      <c r="L2354" s="15"/>
      <c r="M2354" s="15"/>
      <c r="N2354" s="15"/>
    </row>
    <row r="2355" spans="9:14" ht="48.2" customHeight="1" x14ac:dyDescent="0.25">
      <c r="I2355" s="15"/>
      <c r="J2355" s="15"/>
      <c r="K2355" s="15"/>
      <c r="L2355" s="15"/>
      <c r="M2355" s="15"/>
      <c r="N2355" s="15"/>
    </row>
    <row r="2356" spans="9:14" ht="48.2" customHeight="1" x14ac:dyDescent="0.25">
      <c r="I2356" s="15"/>
      <c r="J2356" s="15"/>
      <c r="K2356" s="15"/>
      <c r="L2356" s="15"/>
      <c r="M2356" s="15"/>
      <c r="N2356" s="15"/>
    </row>
    <row r="2357" spans="9:14" ht="48.2" customHeight="1" x14ac:dyDescent="0.25">
      <c r="I2357" s="15"/>
      <c r="J2357" s="15"/>
      <c r="K2357" s="15"/>
      <c r="L2357" s="15"/>
      <c r="M2357" s="15"/>
      <c r="N2357" s="15"/>
    </row>
    <row r="2358" spans="9:14" ht="48.2" customHeight="1" x14ac:dyDescent="0.25">
      <c r="I2358" s="15"/>
      <c r="J2358" s="15"/>
      <c r="K2358" s="15"/>
      <c r="L2358" s="15"/>
      <c r="M2358" s="15"/>
      <c r="N2358" s="15"/>
    </row>
    <row r="2359" spans="9:14" ht="48.2" customHeight="1" x14ac:dyDescent="0.25">
      <c r="I2359" s="15"/>
      <c r="J2359" s="15"/>
      <c r="K2359" s="15"/>
      <c r="L2359" s="15"/>
      <c r="M2359" s="15"/>
      <c r="N2359" s="15"/>
    </row>
    <row r="2360" spans="9:14" ht="48.2" customHeight="1" x14ac:dyDescent="0.25">
      <c r="I2360" s="15"/>
      <c r="J2360" s="15"/>
      <c r="K2360" s="15"/>
      <c r="L2360" s="15"/>
      <c r="M2360" s="15"/>
      <c r="N2360" s="15"/>
    </row>
    <row r="2361" spans="9:14" ht="48.2" customHeight="1" x14ac:dyDescent="0.25">
      <c r="I2361" s="15"/>
      <c r="J2361" s="15"/>
      <c r="K2361" s="15"/>
      <c r="L2361" s="15"/>
      <c r="M2361" s="15"/>
      <c r="N2361" s="15"/>
    </row>
    <row r="2362" spans="9:14" ht="48.2" customHeight="1" x14ac:dyDescent="0.25">
      <c r="I2362" s="15"/>
      <c r="J2362" s="15"/>
      <c r="K2362" s="15"/>
      <c r="L2362" s="15"/>
      <c r="M2362" s="15"/>
      <c r="N2362" s="15"/>
    </row>
    <row r="2363" spans="9:14" ht="48.2" customHeight="1" x14ac:dyDescent="0.25">
      <c r="I2363" s="15"/>
      <c r="J2363" s="15"/>
      <c r="K2363" s="15"/>
      <c r="L2363" s="15"/>
      <c r="M2363" s="15"/>
      <c r="N2363" s="15"/>
    </row>
    <row r="2364" spans="9:14" ht="48.2" customHeight="1" x14ac:dyDescent="0.25">
      <c r="I2364" s="15"/>
      <c r="J2364" s="15"/>
      <c r="K2364" s="15"/>
      <c r="L2364" s="15"/>
      <c r="M2364" s="15"/>
      <c r="N2364" s="15"/>
    </row>
    <row r="2365" spans="9:14" ht="48.2" customHeight="1" x14ac:dyDescent="0.25">
      <c r="I2365" s="15"/>
      <c r="J2365" s="15"/>
      <c r="K2365" s="15"/>
      <c r="L2365" s="15"/>
      <c r="M2365" s="15"/>
      <c r="N2365" s="15"/>
    </row>
    <row r="2366" spans="9:14" ht="48.2" customHeight="1" x14ac:dyDescent="0.25">
      <c r="I2366" s="15"/>
      <c r="J2366" s="15"/>
      <c r="K2366" s="15"/>
      <c r="L2366" s="15"/>
      <c r="M2366" s="15"/>
      <c r="N2366" s="15"/>
    </row>
    <row r="2367" spans="9:14" ht="48.2" customHeight="1" x14ac:dyDescent="0.25">
      <c r="I2367" s="15"/>
      <c r="J2367" s="15"/>
      <c r="K2367" s="15"/>
      <c r="L2367" s="15"/>
      <c r="M2367" s="15"/>
      <c r="N2367" s="15"/>
    </row>
    <row r="2368" spans="9:14" ht="48.2" customHeight="1" x14ac:dyDescent="0.25">
      <c r="I2368" s="15"/>
      <c r="J2368" s="15"/>
      <c r="K2368" s="15"/>
      <c r="L2368" s="15"/>
      <c r="M2368" s="15"/>
      <c r="N2368" s="15"/>
    </row>
    <row r="2369" spans="9:14" ht="48.2" customHeight="1" x14ac:dyDescent="0.25">
      <c r="I2369" s="15"/>
      <c r="J2369" s="15"/>
      <c r="K2369" s="15"/>
      <c r="L2369" s="15"/>
      <c r="M2369" s="15"/>
      <c r="N2369" s="15"/>
    </row>
    <row r="2370" spans="9:14" ht="48.2" customHeight="1" x14ac:dyDescent="0.25">
      <c r="I2370" s="15"/>
      <c r="J2370" s="15"/>
      <c r="K2370" s="15"/>
      <c r="L2370" s="15"/>
      <c r="M2370" s="15"/>
      <c r="N2370" s="15"/>
    </row>
    <row r="2371" spans="9:14" ht="48.2" customHeight="1" x14ac:dyDescent="0.25">
      <c r="I2371" s="15"/>
      <c r="J2371" s="15"/>
      <c r="K2371" s="15"/>
      <c r="L2371" s="15"/>
      <c r="M2371" s="15"/>
      <c r="N2371" s="15"/>
    </row>
    <row r="2372" spans="9:14" ht="48.2" customHeight="1" x14ac:dyDescent="0.25">
      <c r="I2372" s="15"/>
      <c r="J2372" s="15"/>
      <c r="K2372" s="15"/>
      <c r="L2372" s="15"/>
      <c r="M2372" s="15"/>
      <c r="N2372" s="15"/>
    </row>
    <row r="2373" spans="9:14" ht="48.2" customHeight="1" x14ac:dyDescent="0.25">
      <c r="I2373" s="15"/>
      <c r="J2373" s="15"/>
      <c r="K2373" s="15"/>
      <c r="L2373" s="15"/>
      <c r="M2373" s="15"/>
      <c r="N2373" s="15"/>
    </row>
    <row r="2374" spans="9:14" ht="48.2" customHeight="1" x14ac:dyDescent="0.25">
      <c r="I2374" s="15"/>
      <c r="J2374" s="15"/>
      <c r="K2374" s="15"/>
      <c r="L2374" s="15"/>
      <c r="M2374" s="15"/>
      <c r="N2374" s="15"/>
    </row>
    <row r="2375" spans="9:14" ht="48.2" customHeight="1" x14ac:dyDescent="0.25">
      <c r="I2375" s="15"/>
      <c r="J2375" s="15"/>
      <c r="K2375" s="15"/>
      <c r="L2375" s="15"/>
      <c r="M2375" s="15"/>
      <c r="N2375" s="15"/>
    </row>
    <row r="2376" spans="9:14" ht="48.2" customHeight="1" x14ac:dyDescent="0.25">
      <c r="I2376" s="15"/>
      <c r="J2376" s="15"/>
      <c r="K2376" s="15"/>
      <c r="L2376" s="15"/>
      <c r="M2376" s="15"/>
      <c r="N2376" s="15"/>
    </row>
    <row r="2377" spans="9:14" ht="48.2" customHeight="1" x14ac:dyDescent="0.25">
      <c r="I2377" s="15"/>
      <c r="J2377" s="15"/>
      <c r="K2377" s="15"/>
      <c r="L2377" s="15"/>
      <c r="M2377" s="15"/>
      <c r="N2377" s="15"/>
    </row>
    <row r="2378" spans="9:14" ht="48.2" customHeight="1" x14ac:dyDescent="0.25">
      <c r="I2378" s="15"/>
      <c r="J2378" s="15"/>
      <c r="K2378" s="15"/>
      <c r="L2378" s="15"/>
      <c r="M2378" s="15"/>
      <c r="N2378" s="15"/>
    </row>
    <row r="2379" spans="9:14" ht="48.2" customHeight="1" x14ac:dyDescent="0.25">
      <c r="I2379" s="15"/>
      <c r="J2379" s="15"/>
      <c r="K2379" s="15"/>
      <c r="L2379" s="15"/>
      <c r="M2379" s="15"/>
      <c r="N2379" s="15"/>
    </row>
    <row r="2380" spans="9:14" ht="48.2" customHeight="1" x14ac:dyDescent="0.25">
      <c r="I2380" s="15"/>
      <c r="J2380" s="15"/>
      <c r="K2380" s="15"/>
      <c r="L2380" s="15"/>
      <c r="M2380" s="15"/>
      <c r="N2380" s="15"/>
    </row>
    <row r="2381" spans="9:14" ht="48.2" customHeight="1" x14ac:dyDescent="0.25">
      <c r="I2381" s="15"/>
      <c r="J2381" s="15"/>
      <c r="K2381" s="15"/>
      <c r="L2381" s="15"/>
      <c r="M2381" s="15"/>
      <c r="N2381" s="15"/>
    </row>
    <row r="2382" spans="9:14" ht="48.2" customHeight="1" x14ac:dyDescent="0.25">
      <c r="I2382" s="15"/>
      <c r="J2382" s="15"/>
      <c r="K2382" s="15"/>
      <c r="L2382" s="15"/>
      <c r="M2382" s="15"/>
      <c r="N2382" s="15"/>
    </row>
    <row r="2383" spans="9:14" ht="48.2" customHeight="1" x14ac:dyDescent="0.25">
      <c r="I2383" s="15"/>
      <c r="J2383" s="15"/>
      <c r="K2383" s="15"/>
      <c r="L2383" s="15"/>
      <c r="M2383" s="15"/>
      <c r="N2383" s="15"/>
    </row>
    <row r="2384" spans="9:14" ht="48.2" customHeight="1" x14ac:dyDescent="0.25">
      <c r="I2384" s="15"/>
      <c r="J2384" s="15"/>
      <c r="K2384" s="15"/>
      <c r="L2384" s="15"/>
      <c r="M2384" s="15"/>
      <c r="N2384" s="15"/>
    </row>
    <row r="2385" spans="9:14" ht="48.2" customHeight="1" x14ac:dyDescent="0.25">
      <c r="I2385" s="15"/>
      <c r="J2385" s="15"/>
      <c r="K2385" s="15"/>
      <c r="L2385" s="15"/>
      <c r="M2385" s="15"/>
      <c r="N2385" s="15"/>
    </row>
    <row r="2386" spans="9:14" ht="48.2" customHeight="1" x14ac:dyDescent="0.25">
      <c r="I2386" s="15"/>
      <c r="J2386" s="15"/>
      <c r="K2386" s="15"/>
      <c r="L2386" s="15"/>
      <c r="M2386" s="15"/>
      <c r="N2386" s="15"/>
    </row>
    <row r="2387" spans="9:14" ht="48.2" customHeight="1" x14ac:dyDescent="0.25">
      <c r="I2387" s="15"/>
      <c r="J2387" s="15"/>
      <c r="K2387" s="15"/>
      <c r="L2387" s="15"/>
      <c r="M2387" s="15"/>
      <c r="N2387" s="15"/>
    </row>
    <row r="2388" spans="9:14" ht="48.2" customHeight="1" x14ac:dyDescent="0.25">
      <c r="I2388" s="15"/>
      <c r="J2388" s="15"/>
      <c r="K2388" s="15"/>
      <c r="L2388" s="15"/>
      <c r="M2388" s="15"/>
      <c r="N2388" s="15"/>
    </row>
    <row r="2389" spans="9:14" ht="48.2" customHeight="1" x14ac:dyDescent="0.25">
      <c r="I2389" s="15"/>
      <c r="J2389" s="15"/>
      <c r="K2389" s="15"/>
      <c r="L2389" s="15"/>
      <c r="M2389" s="15"/>
      <c r="N2389" s="15"/>
    </row>
    <row r="2390" spans="9:14" ht="48.2" customHeight="1" x14ac:dyDescent="0.25">
      <c r="I2390" s="15"/>
      <c r="J2390" s="15"/>
      <c r="K2390" s="15"/>
      <c r="L2390" s="15"/>
      <c r="M2390" s="15"/>
      <c r="N2390" s="15"/>
    </row>
    <row r="2391" spans="9:14" ht="48.2" customHeight="1" x14ac:dyDescent="0.25">
      <c r="I2391" s="15"/>
      <c r="J2391" s="15"/>
      <c r="K2391" s="15"/>
      <c r="L2391" s="15"/>
      <c r="M2391" s="15"/>
      <c r="N2391" s="15"/>
    </row>
    <row r="2392" spans="9:14" ht="48.2" customHeight="1" x14ac:dyDescent="0.25">
      <c r="I2392" s="15"/>
      <c r="J2392" s="15"/>
      <c r="K2392" s="15"/>
      <c r="L2392" s="15"/>
      <c r="M2392" s="15"/>
      <c r="N2392" s="15"/>
    </row>
    <row r="2393" spans="9:14" ht="48.2" customHeight="1" x14ac:dyDescent="0.25">
      <c r="I2393" s="15"/>
      <c r="J2393" s="15"/>
      <c r="K2393" s="15"/>
      <c r="L2393" s="15"/>
      <c r="M2393" s="15"/>
      <c r="N2393" s="15"/>
    </row>
    <row r="2394" spans="9:14" ht="48.2" customHeight="1" x14ac:dyDescent="0.25">
      <c r="I2394" s="15"/>
      <c r="J2394" s="15"/>
      <c r="K2394" s="15"/>
      <c r="L2394" s="15"/>
      <c r="M2394" s="15"/>
      <c r="N2394" s="15"/>
    </row>
    <row r="2395" spans="9:14" ht="48.2" customHeight="1" x14ac:dyDescent="0.25">
      <c r="I2395" s="15"/>
      <c r="J2395" s="15"/>
      <c r="K2395" s="15"/>
      <c r="L2395" s="15"/>
      <c r="M2395" s="15"/>
      <c r="N2395" s="15"/>
    </row>
    <row r="2396" spans="9:14" ht="48.2" customHeight="1" x14ac:dyDescent="0.25">
      <c r="I2396" s="15"/>
      <c r="J2396" s="15"/>
      <c r="K2396" s="15"/>
      <c r="L2396" s="15"/>
      <c r="M2396" s="15"/>
      <c r="N2396" s="15"/>
    </row>
    <row r="2397" spans="9:14" ht="48.2" customHeight="1" x14ac:dyDescent="0.25">
      <c r="I2397" s="15"/>
      <c r="J2397" s="15"/>
      <c r="K2397" s="15"/>
      <c r="L2397" s="15"/>
      <c r="M2397" s="15"/>
      <c r="N2397" s="15"/>
    </row>
    <row r="2398" spans="9:14" ht="48.2" customHeight="1" x14ac:dyDescent="0.25">
      <c r="I2398" s="15"/>
      <c r="J2398" s="15"/>
      <c r="K2398" s="15"/>
      <c r="L2398" s="15"/>
      <c r="M2398" s="15"/>
      <c r="N2398" s="15"/>
    </row>
    <row r="2399" spans="9:14" ht="48.2" customHeight="1" x14ac:dyDescent="0.25">
      <c r="I2399" s="15"/>
      <c r="J2399" s="15"/>
      <c r="K2399" s="15"/>
      <c r="L2399" s="15"/>
      <c r="M2399" s="15"/>
      <c r="N2399" s="15"/>
    </row>
    <row r="2400" spans="9:14" ht="48.2" customHeight="1" x14ac:dyDescent="0.25">
      <c r="I2400" s="15"/>
      <c r="J2400" s="15"/>
      <c r="K2400" s="15"/>
      <c r="L2400" s="15"/>
      <c r="M2400" s="15"/>
      <c r="N2400" s="15"/>
    </row>
    <row r="2401" spans="9:14" ht="48.2" customHeight="1" x14ac:dyDescent="0.25">
      <c r="I2401" s="15"/>
      <c r="J2401" s="15"/>
      <c r="K2401" s="15"/>
      <c r="L2401" s="15"/>
      <c r="M2401" s="15"/>
      <c r="N2401" s="15"/>
    </row>
    <row r="2402" spans="9:14" ht="48.2" customHeight="1" x14ac:dyDescent="0.25">
      <c r="I2402" s="15"/>
      <c r="J2402" s="15"/>
      <c r="K2402" s="15"/>
      <c r="L2402" s="15"/>
      <c r="M2402" s="15"/>
      <c r="N2402" s="15"/>
    </row>
    <row r="2403" spans="9:14" ht="48.2" customHeight="1" x14ac:dyDescent="0.25">
      <c r="I2403" s="15"/>
      <c r="J2403" s="15"/>
      <c r="K2403" s="15"/>
      <c r="L2403" s="15"/>
      <c r="M2403" s="15"/>
      <c r="N2403" s="15"/>
    </row>
    <row r="2404" spans="9:14" ht="48.2" customHeight="1" x14ac:dyDescent="0.25">
      <c r="I2404" s="15"/>
      <c r="J2404" s="15"/>
      <c r="K2404" s="15"/>
      <c r="L2404" s="15"/>
      <c r="M2404" s="15"/>
      <c r="N2404" s="15"/>
    </row>
    <row r="2405" spans="9:14" ht="48.2" customHeight="1" x14ac:dyDescent="0.25">
      <c r="I2405" s="15"/>
      <c r="J2405" s="15"/>
      <c r="K2405" s="15"/>
      <c r="L2405" s="15"/>
      <c r="M2405" s="15"/>
      <c r="N2405" s="15"/>
    </row>
    <row r="2406" spans="9:14" ht="48.2" customHeight="1" x14ac:dyDescent="0.25">
      <c r="I2406" s="15"/>
      <c r="J2406" s="15"/>
      <c r="K2406" s="15"/>
      <c r="L2406" s="15"/>
      <c r="M2406" s="15"/>
      <c r="N2406" s="15"/>
    </row>
    <row r="2407" spans="9:14" ht="48.2" customHeight="1" x14ac:dyDescent="0.25">
      <c r="I2407" s="15"/>
      <c r="J2407" s="15"/>
      <c r="K2407" s="15"/>
      <c r="L2407" s="15"/>
      <c r="M2407" s="15"/>
      <c r="N2407" s="15"/>
    </row>
    <row r="2408" spans="9:14" ht="48.2" customHeight="1" x14ac:dyDescent="0.25">
      <c r="I2408" s="15"/>
      <c r="J2408" s="15"/>
      <c r="K2408" s="15"/>
      <c r="L2408" s="15"/>
      <c r="M2408" s="15"/>
      <c r="N2408" s="15"/>
    </row>
    <row r="2409" spans="9:14" ht="48.2" customHeight="1" x14ac:dyDescent="0.25">
      <c r="I2409" s="15"/>
      <c r="J2409" s="15"/>
      <c r="K2409" s="15"/>
      <c r="L2409" s="15"/>
      <c r="M2409" s="15"/>
      <c r="N2409" s="15"/>
    </row>
    <row r="2410" spans="9:14" ht="48.2" customHeight="1" x14ac:dyDescent="0.25">
      <c r="I2410" s="15"/>
      <c r="J2410" s="15"/>
      <c r="K2410" s="15"/>
      <c r="L2410" s="15"/>
      <c r="M2410" s="15"/>
      <c r="N2410" s="15"/>
    </row>
    <row r="2411" spans="9:14" ht="48.2" customHeight="1" x14ac:dyDescent="0.25">
      <c r="I2411" s="15"/>
      <c r="J2411" s="15"/>
      <c r="K2411" s="15"/>
      <c r="L2411" s="15"/>
      <c r="M2411" s="15"/>
      <c r="N2411" s="15"/>
    </row>
    <row r="2412" spans="9:14" ht="48.2" customHeight="1" x14ac:dyDescent="0.25">
      <c r="I2412" s="15"/>
      <c r="J2412" s="15"/>
      <c r="K2412" s="15"/>
      <c r="L2412" s="15"/>
      <c r="M2412" s="15"/>
      <c r="N2412" s="15"/>
    </row>
    <row r="2413" spans="9:14" ht="48.2" customHeight="1" x14ac:dyDescent="0.25">
      <c r="I2413" s="15"/>
      <c r="J2413" s="15"/>
      <c r="K2413" s="15"/>
      <c r="L2413" s="15"/>
      <c r="M2413" s="15"/>
      <c r="N2413" s="15"/>
    </row>
    <row r="2414" spans="9:14" ht="48.2" customHeight="1" x14ac:dyDescent="0.25">
      <c r="I2414" s="15"/>
      <c r="J2414" s="15"/>
      <c r="K2414" s="15"/>
      <c r="L2414" s="15"/>
      <c r="M2414" s="15"/>
      <c r="N2414" s="15"/>
    </row>
    <row r="2415" spans="9:14" ht="48.2" customHeight="1" x14ac:dyDescent="0.25">
      <c r="I2415" s="15"/>
      <c r="J2415" s="15"/>
      <c r="K2415" s="15"/>
      <c r="L2415" s="15"/>
      <c r="M2415" s="15"/>
      <c r="N2415" s="15"/>
    </row>
    <row r="2416" spans="9:14" ht="48.2" customHeight="1" x14ac:dyDescent="0.25">
      <c r="I2416" s="15"/>
      <c r="J2416" s="15"/>
      <c r="K2416" s="15"/>
      <c r="L2416" s="15"/>
      <c r="M2416" s="15"/>
      <c r="N2416" s="15"/>
    </row>
    <row r="2417" spans="9:14" ht="48.2" customHeight="1" x14ac:dyDescent="0.25">
      <c r="I2417" s="15"/>
      <c r="J2417" s="15"/>
      <c r="K2417" s="15"/>
      <c r="L2417" s="15"/>
      <c r="M2417" s="15"/>
      <c r="N2417" s="15"/>
    </row>
    <row r="2418" spans="9:14" ht="48.2" customHeight="1" x14ac:dyDescent="0.25">
      <c r="I2418" s="15"/>
      <c r="J2418" s="15"/>
      <c r="K2418" s="15"/>
      <c r="L2418" s="15"/>
      <c r="M2418" s="15"/>
      <c r="N2418" s="15"/>
    </row>
    <row r="2419" spans="9:14" ht="48.2" customHeight="1" x14ac:dyDescent="0.25">
      <c r="I2419" s="15"/>
      <c r="J2419" s="15"/>
      <c r="K2419" s="15"/>
      <c r="L2419" s="15"/>
      <c r="M2419" s="15"/>
      <c r="N2419" s="15"/>
    </row>
    <row r="2420" spans="9:14" ht="48.2" customHeight="1" x14ac:dyDescent="0.25">
      <c r="I2420" s="15"/>
      <c r="J2420" s="15"/>
      <c r="K2420" s="15"/>
      <c r="L2420" s="15"/>
      <c r="M2420" s="15"/>
      <c r="N2420" s="15"/>
    </row>
    <row r="2421" spans="9:14" ht="48.2" customHeight="1" x14ac:dyDescent="0.25">
      <c r="I2421" s="15"/>
      <c r="J2421" s="15"/>
      <c r="K2421" s="15"/>
      <c r="L2421" s="15"/>
      <c r="M2421" s="15"/>
      <c r="N2421" s="15"/>
    </row>
    <row r="2422" spans="9:14" ht="48.2" customHeight="1" x14ac:dyDescent="0.25">
      <c r="I2422" s="15"/>
      <c r="J2422" s="15"/>
      <c r="K2422" s="15"/>
      <c r="L2422" s="15"/>
      <c r="M2422" s="15"/>
      <c r="N2422" s="15"/>
    </row>
    <row r="2423" spans="9:14" ht="48.2" customHeight="1" x14ac:dyDescent="0.25">
      <c r="I2423" s="15"/>
      <c r="J2423" s="15"/>
      <c r="K2423" s="15"/>
      <c r="L2423" s="15"/>
      <c r="M2423" s="15"/>
      <c r="N2423" s="15"/>
    </row>
    <row r="2424" spans="9:14" ht="48.2" customHeight="1" x14ac:dyDescent="0.25">
      <c r="I2424" s="15"/>
      <c r="J2424" s="15"/>
      <c r="K2424" s="15"/>
      <c r="L2424" s="15"/>
      <c r="M2424" s="15"/>
      <c r="N2424" s="15"/>
    </row>
    <row r="2425" spans="9:14" ht="48.2" customHeight="1" x14ac:dyDescent="0.25">
      <c r="I2425" s="15"/>
      <c r="J2425" s="15"/>
      <c r="K2425" s="15"/>
      <c r="L2425" s="15"/>
      <c r="M2425" s="15"/>
      <c r="N2425" s="15"/>
    </row>
    <row r="2426" spans="9:14" ht="48.2" customHeight="1" x14ac:dyDescent="0.25">
      <c r="I2426" s="15"/>
      <c r="J2426" s="15"/>
      <c r="K2426" s="15"/>
      <c r="L2426" s="15"/>
      <c r="M2426" s="15"/>
      <c r="N2426" s="15"/>
    </row>
    <row r="2427" spans="9:14" ht="48.2" customHeight="1" x14ac:dyDescent="0.25">
      <c r="I2427" s="15"/>
      <c r="J2427" s="15"/>
      <c r="K2427" s="15"/>
      <c r="L2427" s="15"/>
      <c r="M2427" s="15"/>
      <c r="N2427" s="15"/>
    </row>
    <row r="2428" spans="9:14" ht="48.2" customHeight="1" x14ac:dyDescent="0.25">
      <c r="I2428" s="15"/>
      <c r="J2428" s="15"/>
      <c r="K2428" s="15"/>
      <c r="L2428" s="15"/>
      <c r="M2428" s="15"/>
      <c r="N2428" s="15"/>
    </row>
    <row r="2429" spans="9:14" ht="48.2" customHeight="1" x14ac:dyDescent="0.25">
      <c r="I2429" s="15"/>
      <c r="J2429" s="15"/>
      <c r="K2429" s="15"/>
      <c r="L2429" s="15"/>
      <c r="M2429" s="15"/>
      <c r="N2429" s="15"/>
    </row>
    <row r="2430" spans="9:14" ht="48.2" customHeight="1" x14ac:dyDescent="0.25">
      <c r="I2430" s="15"/>
      <c r="J2430" s="15"/>
      <c r="K2430" s="15"/>
      <c r="L2430" s="15"/>
      <c r="M2430" s="15"/>
      <c r="N2430" s="15"/>
    </row>
    <row r="2431" spans="9:14" ht="48.2" customHeight="1" x14ac:dyDescent="0.25">
      <c r="I2431" s="15"/>
      <c r="J2431" s="15"/>
      <c r="K2431" s="15"/>
      <c r="L2431" s="15"/>
      <c r="M2431" s="15"/>
      <c r="N2431" s="15"/>
    </row>
    <row r="2432" spans="9:14" ht="48.2" customHeight="1" x14ac:dyDescent="0.25">
      <c r="I2432" s="15"/>
      <c r="J2432" s="15"/>
      <c r="K2432" s="15"/>
      <c r="L2432" s="15"/>
      <c r="M2432" s="15"/>
      <c r="N2432" s="15"/>
    </row>
    <row r="2433" spans="9:14" ht="48.2" customHeight="1" x14ac:dyDescent="0.25">
      <c r="I2433" s="15"/>
      <c r="J2433" s="15"/>
      <c r="K2433" s="15"/>
      <c r="L2433" s="15"/>
      <c r="M2433" s="15"/>
      <c r="N2433" s="15"/>
    </row>
    <row r="2434" spans="9:14" ht="48.2" customHeight="1" x14ac:dyDescent="0.25">
      <c r="I2434" s="15"/>
      <c r="J2434" s="15"/>
      <c r="K2434" s="15"/>
      <c r="L2434" s="15"/>
      <c r="M2434" s="15"/>
      <c r="N2434" s="15"/>
    </row>
    <row r="2435" spans="9:14" ht="48.2" customHeight="1" x14ac:dyDescent="0.25">
      <c r="I2435" s="15"/>
      <c r="J2435" s="15"/>
      <c r="K2435" s="15"/>
      <c r="L2435" s="15"/>
      <c r="M2435" s="15"/>
      <c r="N2435" s="15"/>
    </row>
    <row r="2436" spans="9:14" ht="48.2" customHeight="1" x14ac:dyDescent="0.25">
      <c r="I2436" s="15"/>
      <c r="J2436" s="15"/>
      <c r="K2436" s="15"/>
      <c r="L2436" s="15"/>
      <c r="M2436" s="15"/>
      <c r="N2436" s="15"/>
    </row>
    <row r="2437" spans="9:14" ht="48.2" customHeight="1" x14ac:dyDescent="0.25">
      <c r="I2437" s="15"/>
      <c r="J2437" s="15"/>
      <c r="K2437" s="15"/>
      <c r="L2437" s="15"/>
      <c r="M2437" s="15"/>
      <c r="N2437" s="15"/>
    </row>
    <row r="2438" spans="9:14" ht="48.2" customHeight="1" x14ac:dyDescent="0.25">
      <c r="I2438" s="15"/>
      <c r="J2438" s="15"/>
      <c r="K2438" s="15"/>
      <c r="L2438" s="15"/>
      <c r="M2438" s="15"/>
      <c r="N2438" s="15"/>
    </row>
    <row r="2439" spans="9:14" ht="48.2" customHeight="1" x14ac:dyDescent="0.25">
      <c r="I2439" s="15"/>
      <c r="J2439" s="15"/>
      <c r="K2439" s="15"/>
      <c r="L2439" s="15"/>
      <c r="M2439" s="15"/>
      <c r="N2439" s="15"/>
    </row>
    <row r="2440" spans="9:14" ht="48.2" customHeight="1" x14ac:dyDescent="0.25">
      <c r="I2440" s="15"/>
      <c r="J2440" s="15"/>
      <c r="K2440" s="15"/>
      <c r="L2440" s="15"/>
      <c r="M2440" s="15"/>
      <c r="N2440" s="15"/>
    </row>
    <row r="2441" spans="9:14" ht="48.2" customHeight="1" x14ac:dyDescent="0.25">
      <c r="I2441" s="15"/>
      <c r="J2441" s="15"/>
      <c r="K2441" s="15"/>
      <c r="L2441" s="15"/>
      <c r="M2441" s="15"/>
      <c r="N2441" s="15"/>
    </row>
    <row r="2442" spans="9:14" ht="48.2" customHeight="1" x14ac:dyDescent="0.25">
      <c r="I2442" s="15"/>
      <c r="J2442" s="15"/>
      <c r="K2442" s="15"/>
      <c r="L2442" s="15"/>
      <c r="M2442" s="15"/>
      <c r="N2442" s="15"/>
    </row>
    <row r="2443" spans="9:14" ht="48.2" customHeight="1" x14ac:dyDescent="0.25">
      <c r="I2443" s="15"/>
      <c r="J2443" s="15"/>
      <c r="K2443" s="15"/>
      <c r="L2443" s="15"/>
      <c r="M2443" s="15"/>
      <c r="N2443" s="15"/>
    </row>
    <row r="2444" spans="9:14" ht="48.2" customHeight="1" x14ac:dyDescent="0.25">
      <c r="I2444" s="15"/>
      <c r="J2444" s="15"/>
      <c r="K2444" s="15"/>
      <c r="L2444" s="15"/>
      <c r="M2444" s="15"/>
      <c r="N2444" s="15"/>
    </row>
    <row r="2445" spans="9:14" ht="48.2" customHeight="1" x14ac:dyDescent="0.25">
      <c r="I2445" s="15"/>
      <c r="J2445" s="15"/>
      <c r="K2445" s="15"/>
      <c r="L2445" s="15"/>
      <c r="M2445" s="15"/>
      <c r="N2445" s="15"/>
    </row>
    <row r="2446" spans="9:14" ht="48.2" customHeight="1" x14ac:dyDescent="0.25">
      <c r="I2446" s="15"/>
      <c r="J2446" s="15"/>
      <c r="K2446" s="15"/>
      <c r="L2446" s="15"/>
      <c r="M2446" s="15"/>
      <c r="N2446" s="15"/>
    </row>
    <row r="2447" spans="9:14" ht="48.2" customHeight="1" x14ac:dyDescent="0.25">
      <c r="I2447" s="15"/>
      <c r="J2447" s="15"/>
      <c r="K2447" s="15"/>
      <c r="L2447" s="15"/>
      <c r="M2447" s="15"/>
      <c r="N2447" s="15"/>
    </row>
    <row r="2448" spans="9:14" ht="48.2" customHeight="1" x14ac:dyDescent="0.25">
      <c r="I2448" s="15"/>
      <c r="J2448" s="15"/>
      <c r="K2448" s="15"/>
      <c r="L2448" s="15"/>
      <c r="M2448" s="15"/>
      <c r="N2448" s="15"/>
    </row>
    <row r="2449" spans="9:14" ht="48.2" customHeight="1" x14ac:dyDescent="0.25">
      <c r="I2449" s="15"/>
      <c r="J2449" s="15"/>
      <c r="K2449" s="15"/>
      <c r="L2449" s="15"/>
      <c r="M2449" s="15"/>
      <c r="N2449" s="15"/>
    </row>
    <row r="2450" spans="9:14" ht="48.2" customHeight="1" x14ac:dyDescent="0.25">
      <c r="I2450" s="15"/>
      <c r="J2450" s="15"/>
      <c r="K2450" s="15"/>
      <c r="L2450" s="15"/>
      <c r="M2450" s="15"/>
      <c r="N2450" s="15"/>
    </row>
    <row r="2451" spans="9:14" ht="48.2" customHeight="1" x14ac:dyDescent="0.25">
      <c r="I2451" s="15"/>
      <c r="J2451" s="15"/>
      <c r="K2451" s="15"/>
      <c r="L2451" s="15"/>
      <c r="M2451" s="15"/>
      <c r="N2451" s="15"/>
    </row>
    <row r="2452" spans="9:14" ht="48.2" customHeight="1" x14ac:dyDescent="0.25">
      <c r="I2452" s="15"/>
      <c r="J2452" s="15"/>
      <c r="K2452" s="15"/>
      <c r="L2452" s="15"/>
      <c r="M2452" s="15"/>
      <c r="N2452" s="15"/>
    </row>
    <row r="2453" spans="9:14" ht="48.2" customHeight="1" x14ac:dyDescent="0.25">
      <c r="I2453" s="15"/>
      <c r="J2453" s="15"/>
      <c r="K2453" s="15"/>
      <c r="L2453" s="15"/>
      <c r="M2453" s="15"/>
      <c r="N2453" s="15"/>
    </row>
    <row r="2454" spans="9:14" ht="48.2" customHeight="1" x14ac:dyDescent="0.25">
      <c r="I2454" s="15"/>
      <c r="J2454" s="15"/>
      <c r="K2454" s="15"/>
      <c r="L2454" s="15"/>
      <c r="M2454" s="15"/>
      <c r="N2454" s="15"/>
    </row>
    <row r="2455" spans="9:14" ht="48.2" customHeight="1" x14ac:dyDescent="0.25">
      <c r="I2455" s="15"/>
      <c r="J2455" s="15"/>
      <c r="K2455" s="15"/>
      <c r="L2455" s="15"/>
      <c r="M2455" s="15"/>
      <c r="N2455" s="15"/>
    </row>
    <row r="2456" spans="9:14" ht="48.2" customHeight="1" x14ac:dyDescent="0.25">
      <c r="I2456" s="15"/>
      <c r="J2456" s="15"/>
      <c r="K2456" s="15"/>
      <c r="L2456" s="15"/>
      <c r="M2456" s="15"/>
      <c r="N2456" s="15"/>
    </row>
    <row r="2457" spans="9:14" ht="48.2" customHeight="1" x14ac:dyDescent="0.25">
      <c r="I2457" s="15"/>
      <c r="J2457" s="15"/>
      <c r="K2457" s="15"/>
      <c r="L2457" s="15"/>
      <c r="M2457" s="15"/>
      <c r="N2457" s="15"/>
    </row>
    <row r="2458" spans="9:14" ht="48.2" customHeight="1" x14ac:dyDescent="0.25">
      <c r="I2458" s="15"/>
      <c r="J2458" s="15"/>
      <c r="K2458" s="15"/>
      <c r="L2458" s="15"/>
      <c r="M2458" s="15"/>
      <c r="N2458" s="15"/>
    </row>
    <row r="2459" spans="9:14" ht="48.2" customHeight="1" x14ac:dyDescent="0.25">
      <c r="I2459" s="15"/>
      <c r="J2459" s="15"/>
      <c r="K2459" s="15"/>
      <c r="L2459" s="15"/>
      <c r="M2459" s="15"/>
      <c r="N2459" s="15"/>
    </row>
    <row r="2460" spans="9:14" ht="48.2" customHeight="1" x14ac:dyDescent="0.25">
      <c r="I2460" s="15"/>
      <c r="J2460" s="15"/>
      <c r="K2460" s="15"/>
      <c r="L2460" s="15"/>
      <c r="M2460" s="15"/>
      <c r="N2460" s="15"/>
    </row>
    <row r="2461" spans="9:14" ht="48.2" customHeight="1" x14ac:dyDescent="0.25">
      <c r="I2461" s="15"/>
      <c r="J2461" s="15"/>
      <c r="K2461" s="15"/>
      <c r="L2461" s="15"/>
      <c r="M2461" s="15"/>
      <c r="N2461" s="15"/>
    </row>
    <row r="2462" spans="9:14" ht="48.2" customHeight="1" x14ac:dyDescent="0.25">
      <c r="I2462" s="15"/>
      <c r="J2462" s="15"/>
      <c r="K2462" s="15"/>
      <c r="L2462" s="15"/>
      <c r="M2462" s="15"/>
      <c r="N2462" s="15"/>
    </row>
    <row r="2463" spans="9:14" ht="48.2" customHeight="1" x14ac:dyDescent="0.25">
      <c r="I2463" s="15"/>
      <c r="J2463" s="15"/>
      <c r="K2463" s="15"/>
      <c r="L2463" s="15"/>
      <c r="M2463" s="15"/>
      <c r="N2463" s="15"/>
    </row>
    <row r="2464" spans="9:14" ht="48.2" customHeight="1" x14ac:dyDescent="0.25">
      <c r="I2464" s="15"/>
      <c r="J2464" s="15"/>
      <c r="K2464" s="15"/>
      <c r="L2464" s="15"/>
      <c r="M2464" s="15"/>
      <c r="N2464" s="15"/>
    </row>
    <row r="2465" spans="9:14" ht="48.2" customHeight="1" x14ac:dyDescent="0.25">
      <c r="I2465" s="15"/>
      <c r="J2465" s="15"/>
      <c r="K2465" s="15"/>
      <c r="L2465" s="15"/>
      <c r="M2465" s="15"/>
      <c r="N2465" s="15"/>
    </row>
    <row r="2466" spans="9:14" ht="48.2" customHeight="1" x14ac:dyDescent="0.25">
      <c r="I2466" s="15"/>
      <c r="J2466" s="15"/>
      <c r="K2466" s="15"/>
      <c r="L2466" s="15"/>
      <c r="M2466" s="15"/>
      <c r="N2466" s="15"/>
    </row>
    <row r="2467" spans="9:14" ht="48.2" customHeight="1" x14ac:dyDescent="0.25">
      <c r="I2467" s="15"/>
      <c r="J2467" s="15"/>
      <c r="K2467" s="15"/>
      <c r="L2467" s="15"/>
      <c r="M2467" s="15"/>
      <c r="N2467" s="15"/>
    </row>
    <row r="2468" spans="9:14" ht="48.2" customHeight="1" x14ac:dyDescent="0.25">
      <c r="I2468" s="15"/>
      <c r="J2468" s="15"/>
      <c r="K2468" s="15"/>
      <c r="L2468" s="15"/>
      <c r="M2468" s="15"/>
      <c r="N2468" s="15"/>
    </row>
    <row r="2469" spans="9:14" ht="48.2" customHeight="1" x14ac:dyDescent="0.25">
      <c r="I2469" s="15"/>
      <c r="J2469" s="15"/>
      <c r="K2469" s="15"/>
      <c r="L2469" s="15"/>
      <c r="M2469" s="15"/>
      <c r="N2469" s="15"/>
    </row>
    <row r="2470" spans="9:14" ht="48.2" customHeight="1" x14ac:dyDescent="0.25">
      <c r="I2470" s="15"/>
      <c r="J2470" s="15"/>
      <c r="K2470" s="15"/>
      <c r="L2470" s="15"/>
      <c r="M2470" s="15"/>
      <c r="N2470" s="15"/>
    </row>
    <row r="2471" spans="9:14" ht="48.2" customHeight="1" x14ac:dyDescent="0.25">
      <c r="I2471" s="15"/>
      <c r="J2471" s="15"/>
      <c r="K2471" s="15"/>
      <c r="L2471" s="15"/>
      <c r="M2471" s="15"/>
      <c r="N2471" s="15"/>
    </row>
    <row r="2472" spans="9:14" ht="48.2" customHeight="1" x14ac:dyDescent="0.25">
      <c r="I2472" s="15"/>
      <c r="J2472" s="15"/>
      <c r="K2472" s="15"/>
      <c r="L2472" s="15"/>
      <c r="M2472" s="15"/>
      <c r="N2472" s="15"/>
    </row>
    <row r="2473" spans="9:14" ht="48.2" customHeight="1" x14ac:dyDescent="0.25">
      <c r="I2473" s="15"/>
      <c r="J2473" s="15"/>
      <c r="K2473" s="15"/>
      <c r="L2473" s="15"/>
      <c r="M2473" s="15"/>
      <c r="N2473" s="15"/>
    </row>
    <row r="2474" spans="9:14" ht="48.2" customHeight="1" x14ac:dyDescent="0.25">
      <c r="I2474" s="15"/>
      <c r="J2474" s="15"/>
      <c r="K2474" s="15"/>
      <c r="L2474" s="15"/>
      <c r="M2474" s="15"/>
      <c r="N2474" s="15"/>
    </row>
    <row r="2475" spans="9:14" ht="48.2" customHeight="1" x14ac:dyDescent="0.25">
      <c r="I2475" s="15"/>
      <c r="J2475" s="15"/>
      <c r="K2475" s="15"/>
      <c r="L2475" s="15"/>
      <c r="M2475" s="15"/>
      <c r="N2475" s="15"/>
    </row>
    <row r="2476" spans="9:14" ht="48.2" customHeight="1" x14ac:dyDescent="0.25">
      <c r="I2476" s="15"/>
      <c r="J2476" s="15"/>
      <c r="K2476" s="15"/>
      <c r="L2476" s="15"/>
      <c r="M2476" s="15"/>
      <c r="N2476" s="15"/>
    </row>
    <row r="2477" spans="9:14" ht="48.2" customHeight="1" x14ac:dyDescent="0.25">
      <c r="I2477" s="15"/>
      <c r="J2477" s="15"/>
      <c r="K2477" s="15"/>
      <c r="L2477" s="15"/>
      <c r="M2477" s="15"/>
      <c r="N2477" s="15"/>
    </row>
    <row r="2478" spans="9:14" ht="48.2" customHeight="1" x14ac:dyDescent="0.25">
      <c r="I2478" s="15"/>
      <c r="J2478" s="15"/>
      <c r="K2478" s="15"/>
      <c r="L2478" s="15"/>
      <c r="M2478" s="15"/>
      <c r="N2478" s="15"/>
    </row>
    <row r="2479" spans="9:14" ht="48.2" customHeight="1" x14ac:dyDescent="0.25">
      <c r="I2479" s="15"/>
      <c r="J2479" s="15"/>
      <c r="K2479" s="15"/>
      <c r="L2479" s="15"/>
      <c r="M2479" s="15"/>
      <c r="N2479" s="15"/>
    </row>
    <row r="2480" spans="9:14" ht="48.2" customHeight="1" x14ac:dyDescent="0.25">
      <c r="I2480" s="15"/>
      <c r="J2480" s="15"/>
      <c r="K2480" s="15"/>
      <c r="L2480" s="15"/>
      <c r="M2480" s="15"/>
      <c r="N2480" s="15"/>
    </row>
    <row r="2481" spans="9:14" ht="48.2" customHeight="1" x14ac:dyDescent="0.25">
      <c r="I2481" s="15"/>
      <c r="J2481" s="15"/>
      <c r="K2481" s="15"/>
      <c r="L2481" s="15"/>
      <c r="M2481" s="15"/>
      <c r="N2481" s="15"/>
    </row>
    <row r="2482" spans="9:14" ht="48.2" customHeight="1" x14ac:dyDescent="0.25">
      <c r="I2482" s="15"/>
      <c r="J2482" s="15"/>
      <c r="K2482" s="15"/>
      <c r="L2482" s="15"/>
      <c r="M2482" s="15"/>
      <c r="N2482" s="15"/>
    </row>
    <row r="2483" spans="9:14" ht="48.2" customHeight="1" x14ac:dyDescent="0.25">
      <c r="I2483" s="15"/>
      <c r="J2483" s="15"/>
      <c r="K2483" s="15"/>
      <c r="L2483" s="15"/>
      <c r="M2483" s="15"/>
      <c r="N2483" s="15"/>
    </row>
    <row r="2484" spans="9:14" ht="48.2" customHeight="1" x14ac:dyDescent="0.25">
      <c r="I2484" s="15"/>
      <c r="J2484" s="15"/>
      <c r="K2484" s="15"/>
      <c r="L2484" s="15"/>
      <c r="M2484" s="15"/>
      <c r="N2484" s="15"/>
    </row>
    <row r="2485" spans="9:14" ht="48.2" customHeight="1" x14ac:dyDescent="0.25">
      <c r="I2485" s="15"/>
      <c r="J2485" s="15"/>
      <c r="K2485" s="15"/>
      <c r="L2485" s="15"/>
      <c r="M2485" s="15"/>
      <c r="N2485" s="15"/>
    </row>
    <row r="2486" spans="9:14" ht="48.2" customHeight="1" x14ac:dyDescent="0.25">
      <c r="I2486" s="15"/>
      <c r="J2486" s="15"/>
      <c r="K2486" s="15"/>
      <c r="L2486" s="15"/>
      <c r="M2486" s="15"/>
      <c r="N2486" s="15"/>
    </row>
    <row r="2487" spans="9:14" ht="48.2" customHeight="1" x14ac:dyDescent="0.25">
      <c r="I2487" s="15"/>
      <c r="J2487" s="15"/>
      <c r="K2487" s="15"/>
      <c r="L2487" s="15"/>
      <c r="M2487" s="15"/>
      <c r="N2487" s="15"/>
    </row>
    <row r="2488" spans="9:14" ht="48.2" customHeight="1" x14ac:dyDescent="0.25">
      <c r="I2488" s="15"/>
      <c r="J2488" s="15"/>
      <c r="K2488" s="15"/>
      <c r="L2488" s="15"/>
      <c r="M2488" s="15"/>
      <c r="N2488" s="15"/>
    </row>
    <row r="2489" spans="9:14" ht="48.2" customHeight="1" x14ac:dyDescent="0.25">
      <c r="I2489" s="15"/>
      <c r="J2489" s="15"/>
      <c r="K2489" s="15"/>
      <c r="L2489" s="15"/>
      <c r="M2489" s="15"/>
      <c r="N2489" s="15"/>
    </row>
    <row r="2490" spans="9:14" ht="48.2" customHeight="1" x14ac:dyDescent="0.25">
      <c r="I2490" s="15"/>
      <c r="J2490" s="15"/>
      <c r="K2490" s="15"/>
      <c r="L2490" s="15"/>
      <c r="M2490" s="15"/>
      <c r="N2490" s="15"/>
    </row>
    <row r="2491" spans="9:14" ht="48.2" customHeight="1" x14ac:dyDescent="0.25">
      <c r="I2491" s="15"/>
      <c r="J2491" s="15"/>
      <c r="K2491" s="15"/>
      <c r="L2491" s="15"/>
      <c r="M2491" s="15"/>
      <c r="N2491" s="15"/>
    </row>
    <row r="2492" spans="9:14" ht="48.2" customHeight="1" x14ac:dyDescent="0.25">
      <c r="I2492" s="15"/>
      <c r="J2492" s="15"/>
      <c r="K2492" s="15"/>
      <c r="L2492" s="15"/>
      <c r="M2492" s="15"/>
      <c r="N2492" s="15"/>
    </row>
    <row r="2493" spans="9:14" ht="48.2" customHeight="1" x14ac:dyDescent="0.25">
      <c r="I2493" s="15"/>
      <c r="J2493" s="15"/>
      <c r="K2493" s="15"/>
      <c r="L2493" s="15"/>
      <c r="M2493" s="15"/>
      <c r="N2493" s="15"/>
    </row>
    <row r="2494" spans="9:14" ht="48.2" customHeight="1" x14ac:dyDescent="0.25">
      <c r="I2494" s="15"/>
      <c r="J2494" s="15"/>
      <c r="K2494" s="15"/>
      <c r="L2494" s="15"/>
      <c r="M2494" s="15"/>
      <c r="N2494" s="15"/>
    </row>
    <row r="2495" spans="9:14" ht="48.2" customHeight="1" x14ac:dyDescent="0.25">
      <c r="I2495" s="15"/>
      <c r="J2495" s="15"/>
      <c r="K2495" s="15"/>
      <c r="L2495" s="15"/>
      <c r="M2495" s="15"/>
      <c r="N2495" s="15"/>
    </row>
    <row r="2496" spans="9:14" ht="48.2" customHeight="1" x14ac:dyDescent="0.25">
      <c r="I2496" s="15"/>
      <c r="J2496" s="15"/>
      <c r="K2496" s="15"/>
      <c r="L2496" s="15"/>
      <c r="M2496" s="15"/>
      <c r="N2496" s="15"/>
    </row>
    <row r="2497" spans="9:14" ht="48.2" customHeight="1" x14ac:dyDescent="0.25">
      <c r="I2497" s="15"/>
      <c r="J2497" s="15"/>
      <c r="K2497" s="15"/>
      <c r="L2497" s="15"/>
      <c r="M2497" s="15"/>
      <c r="N2497" s="15"/>
    </row>
    <row r="2498" spans="9:14" ht="48.2" customHeight="1" x14ac:dyDescent="0.25">
      <c r="I2498" s="15"/>
      <c r="J2498" s="15"/>
      <c r="K2498" s="15"/>
      <c r="L2498" s="15"/>
      <c r="M2498" s="15"/>
      <c r="N2498" s="15"/>
    </row>
    <row r="2499" spans="9:14" ht="48.2" customHeight="1" x14ac:dyDescent="0.25">
      <c r="I2499" s="15"/>
      <c r="J2499" s="15"/>
      <c r="K2499" s="15"/>
      <c r="L2499" s="15"/>
      <c r="M2499" s="15"/>
      <c r="N2499" s="15"/>
    </row>
    <row r="2500" spans="9:14" ht="48.2" customHeight="1" x14ac:dyDescent="0.25">
      <c r="I2500" s="15"/>
      <c r="J2500" s="15"/>
      <c r="K2500" s="15"/>
      <c r="L2500" s="15"/>
      <c r="M2500" s="15"/>
      <c r="N2500" s="15"/>
    </row>
    <row r="2501" spans="9:14" ht="48.2" customHeight="1" x14ac:dyDescent="0.25">
      <c r="I2501" s="15"/>
      <c r="J2501" s="15"/>
      <c r="K2501" s="15"/>
      <c r="L2501" s="15"/>
      <c r="M2501" s="15"/>
      <c r="N2501" s="15"/>
    </row>
    <row r="2502" spans="9:14" ht="48.2" customHeight="1" x14ac:dyDescent="0.25">
      <c r="I2502" s="15"/>
      <c r="J2502" s="15"/>
      <c r="K2502" s="15"/>
      <c r="L2502" s="15"/>
      <c r="M2502" s="15"/>
      <c r="N2502" s="15"/>
    </row>
    <row r="2503" spans="9:14" ht="48.2" customHeight="1" x14ac:dyDescent="0.25">
      <c r="I2503" s="15"/>
      <c r="J2503" s="15"/>
      <c r="K2503" s="15"/>
      <c r="L2503" s="15"/>
      <c r="M2503" s="15"/>
      <c r="N2503" s="15"/>
    </row>
    <row r="2504" spans="9:14" ht="48.2" customHeight="1" x14ac:dyDescent="0.25">
      <c r="I2504" s="15"/>
      <c r="J2504" s="15"/>
      <c r="K2504" s="15"/>
      <c r="L2504" s="15"/>
      <c r="M2504" s="15"/>
      <c r="N2504" s="15"/>
    </row>
    <row r="2505" spans="9:14" ht="48.2" customHeight="1" x14ac:dyDescent="0.25">
      <c r="I2505" s="15"/>
      <c r="J2505" s="15"/>
      <c r="K2505" s="15"/>
      <c r="L2505" s="15"/>
      <c r="M2505" s="15"/>
      <c r="N2505" s="15"/>
    </row>
    <row r="2506" spans="9:14" ht="48.2" customHeight="1" x14ac:dyDescent="0.25">
      <c r="I2506" s="15"/>
      <c r="J2506" s="15"/>
      <c r="K2506" s="15"/>
      <c r="L2506" s="15"/>
      <c r="M2506" s="15"/>
      <c r="N2506" s="15"/>
    </row>
    <row r="2507" spans="9:14" ht="48.2" customHeight="1" x14ac:dyDescent="0.25">
      <c r="I2507" s="15"/>
      <c r="J2507" s="15"/>
      <c r="K2507" s="15"/>
      <c r="L2507" s="15"/>
      <c r="M2507" s="15"/>
      <c r="N2507" s="15"/>
    </row>
    <row r="2508" spans="9:14" ht="48.2" customHeight="1" x14ac:dyDescent="0.25">
      <c r="I2508" s="15"/>
      <c r="J2508" s="15"/>
      <c r="K2508" s="15"/>
      <c r="L2508" s="15"/>
      <c r="M2508" s="15"/>
      <c r="N2508" s="15"/>
    </row>
    <row r="2509" spans="9:14" ht="48.2" customHeight="1" x14ac:dyDescent="0.25">
      <c r="I2509" s="15"/>
      <c r="J2509" s="15"/>
      <c r="K2509" s="15"/>
      <c r="L2509" s="15"/>
      <c r="M2509" s="15"/>
      <c r="N2509" s="15"/>
    </row>
    <row r="2510" spans="9:14" ht="48.2" customHeight="1" x14ac:dyDescent="0.25">
      <c r="I2510" s="15"/>
      <c r="J2510" s="15"/>
      <c r="K2510" s="15"/>
      <c r="L2510" s="15"/>
      <c r="M2510" s="15"/>
      <c r="N2510" s="15"/>
    </row>
    <row r="2511" spans="9:14" ht="48.2" customHeight="1" x14ac:dyDescent="0.25">
      <c r="I2511" s="15"/>
      <c r="J2511" s="15"/>
      <c r="K2511" s="15"/>
      <c r="L2511" s="15"/>
      <c r="M2511" s="15"/>
      <c r="N2511" s="15"/>
    </row>
    <row r="2512" spans="9:14" ht="48.2" customHeight="1" x14ac:dyDescent="0.25">
      <c r="I2512" s="15"/>
      <c r="J2512" s="15"/>
      <c r="K2512" s="15"/>
      <c r="L2512" s="15"/>
      <c r="M2512" s="15"/>
      <c r="N2512" s="15"/>
    </row>
    <row r="2513" spans="9:14" ht="48.2" customHeight="1" x14ac:dyDescent="0.25">
      <c r="I2513" s="15"/>
      <c r="J2513" s="15"/>
      <c r="K2513" s="15"/>
      <c r="L2513" s="15"/>
      <c r="M2513" s="15"/>
      <c r="N2513" s="15"/>
    </row>
    <row r="2514" spans="9:14" ht="48.2" customHeight="1" x14ac:dyDescent="0.25">
      <c r="I2514" s="15"/>
      <c r="J2514" s="15"/>
      <c r="K2514" s="15"/>
      <c r="L2514" s="15"/>
      <c r="M2514" s="15"/>
      <c r="N2514" s="15"/>
    </row>
    <row r="2515" spans="9:14" ht="48.2" customHeight="1" x14ac:dyDescent="0.25">
      <c r="I2515" s="15"/>
      <c r="J2515" s="15"/>
      <c r="K2515" s="15"/>
      <c r="L2515" s="15"/>
      <c r="M2515" s="15"/>
      <c r="N2515" s="15"/>
    </row>
    <row r="2516" spans="9:14" ht="48.2" customHeight="1" x14ac:dyDescent="0.25">
      <c r="I2516" s="15"/>
      <c r="J2516" s="15"/>
      <c r="K2516" s="15"/>
      <c r="L2516" s="15"/>
      <c r="M2516" s="15"/>
      <c r="N2516" s="15"/>
    </row>
    <row r="2517" spans="9:14" ht="48.2" customHeight="1" x14ac:dyDescent="0.25">
      <c r="I2517" s="15"/>
      <c r="J2517" s="15"/>
      <c r="K2517" s="15"/>
      <c r="L2517" s="15"/>
      <c r="M2517" s="15"/>
      <c r="N2517" s="15"/>
    </row>
    <row r="2518" spans="9:14" ht="48.2" customHeight="1" x14ac:dyDescent="0.25">
      <c r="I2518" s="15"/>
      <c r="J2518" s="15"/>
      <c r="K2518" s="15"/>
      <c r="L2518" s="15"/>
      <c r="M2518" s="15"/>
      <c r="N2518" s="15"/>
    </row>
    <row r="2519" spans="9:14" ht="48.2" customHeight="1" x14ac:dyDescent="0.25">
      <c r="I2519" s="15"/>
      <c r="J2519" s="15"/>
      <c r="K2519" s="15"/>
      <c r="L2519" s="15"/>
      <c r="M2519" s="15"/>
      <c r="N2519" s="15"/>
    </row>
    <row r="2520" spans="9:14" ht="48.2" customHeight="1" x14ac:dyDescent="0.25">
      <c r="I2520" s="15"/>
      <c r="J2520" s="15"/>
      <c r="K2520" s="15"/>
      <c r="L2520" s="15"/>
      <c r="M2520" s="15"/>
      <c r="N2520" s="15"/>
    </row>
    <row r="2521" spans="9:14" ht="48.2" customHeight="1" x14ac:dyDescent="0.25">
      <c r="I2521" s="15"/>
      <c r="J2521" s="15"/>
      <c r="K2521" s="15"/>
      <c r="L2521" s="15"/>
      <c r="M2521" s="15"/>
      <c r="N2521" s="15"/>
    </row>
    <row r="2522" spans="9:14" ht="48.2" customHeight="1" x14ac:dyDescent="0.25">
      <c r="I2522" s="15"/>
      <c r="J2522" s="15"/>
      <c r="K2522" s="15"/>
      <c r="L2522" s="15"/>
      <c r="M2522" s="15"/>
      <c r="N2522" s="15"/>
    </row>
    <row r="2523" spans="9:14" ht="48.2" customHeight="1" x14ac:dyDescent="0.25">
      <c r="I2523" s="15"/>
      <c r="J2523" s="15"/>
      <c r="K2523" s="15"/>
      <c r="L2523" s="15"/>
      <c r="M2523" s="15"/>
      <c r="N2523" s="15"/>
    </row>
    <row r="2524" spans="9:14" ht="48.2" customHeight="1" x14ac:dyDescent="0.25">
      <c r="I2524" s="15"/>
      <c r="J2524" s="15"/>
      <c r="K2524" s="15"/>
      <c r="L2524" s="15"/>
      <c r="M2524" s="15"/>
      <c r="N2524" s="15"/>
    </row>
    <row r="2525" spans="9:14" ht="48.2" customHeight="1" x14ac:dyDescent="0.25">
      <c r="I2525" s="15"/>
      <c r="J2525" s="15"/>
      <c r="K2525" s="15"/>
      <c r="L2525" s="15"/>
      <c r="M2525" s="15"/>
      <c r="N2525" s="15"/>
    </row>
    <row r="2526" spans="9:14" ht="48.2" customHeight="1" x14ac:dyDescent="0.25">
      <c r="I2526" s="15"/>
      <c r="J2526" s="15"/>
      <c r="K2526" s="15"/>
      <c r="L2526" s="15"/>
      <c r="M2526" s="15"/>
      <c r="N2526" s="15"/>
    </row>
    <row r="2527" spans="9:14" ht="48.2" customHeight="1" x14ac:dyDescent="0.25">
      <c r="I2527" s="15"/>
      <c r="J2527" s="15"/>
      <c r="K2527" s="15"/>
      <c r="L2527" s="15"/>
      <c r="M2527" s="15"/>
      <c r="N2527" s="15"/>
    </row>
    <row r="2528" spans="9:14" ht="48.2" customHeight="1" x14ac:dyDescent="0.25">
      <c r="I2528" s="15"/>
      <c r="J2528" s="15"/>
      <c r="K2528" s="15"/>
      <c r="L2528" s="15"/>
      <c r="M2528" s="15"/>
      <c r="N2528" s="15"/>
    </row>
    <row r="2529" spans="9:14" ht="48.2" customHeight="1" x14ac:dyDescent="0.25">
      <c r="I2529" s="15"/>
      <c r="J2529" s="15"/>
      <c r="K2529" s="15"/>
      <c r="L2529" s="15"/>
      <c r="M2529" s="15"/>
      <c r="N2529" s="15"/>
    </row>
    <row r="2530" spans="9:14" ht="48.2" customHeight="1" x14ac:dyDescent="0.25">
      <c r="I2530" s="15"/>
      <c r="J2530" s="15"/>
      <c r="K2530" s="15"/>
      <c r="L2530" s="15"/>
      <c r="M2530" s="15"/>
      <c r="N2530" s="15"/>
    </row>
    <row r="2531" spans="9:14" ht="48.2" customHeight="1" x14ac:dyDescent="0.25">
      <c r="I2531" s="15"/>
      <c r="J2531" s="15"/>
      <c r="K2531" s="15"/>
      <c r="L2531" s="15"/>
      <c r="M2531" s="15"/>
      <c r="N2531" s="15"/>
    </row>
    <row r="2532" spans="9:14" ht="48.2" customHeight="1" x14ac:dyDescent="0.25">
      <c r="I2532" s="15"/>
      <c r="J2532" s="15"/>
      <c r="K2532" s="15"/>
      <c r="L2532" s="15"/>
      <c r="M2532" s="15"/>
      <c r="N2532" s="15"/>
    </row>
    <row r="2533" spans="9:14" ht="48.2" customHeight="1" x14ac:dyDescent="0.25">
      <c r="I2533" s="15"/>
      <c r="J2533" s="15"/>
      <c r="K2533" s="15"/>
      <c r="L2533" s="15"/>
      <c r="M2533" s="15"/>
      <c r="N2533" s="15"/>
    </row>
    <row r="2534" spans="9:14" ht="48.2" customHeight="1" x14ac:dyDescent="0.25">
      <c r="I2534" s="15"/>
      <c r="J2534" s="15"/>
      <c r="K2534" s="15"/>
      <c r="L2534" s="15"/>
      <c r="M2534" s="15"/>
      <c r="N2534" s="15"/>
    </row>
    <row r="2535" spans="9:14" ht="48.2" customHeight="1" x14ac:dyDescent="0.25">
      <c r="I2535" s="15"/>
      <c r="J2535" s="15"/>
      <c r="K2535" s="15"/>
      <c r="L2535" s="15"/>
      <c r="M2535" s="15"/>
      <c r="N2535" s="15"/>
    </row>
    <row r="2536" spans="9:14" ht="48.2" customHeight="1" x14ac:dyDescent="0.25">
      <c r="I2536" s="15"/>
      <c r="J2536" s="15"/>
      <c r="K2536" s="15"/>
      <c r="L2536" s="15"/>
      <c r="M2536" s="15"/>
      <c r="N2536" s="15"/>
    </row>
    <row r="2537" spans="9:14" ht="48.2" customHeight="1" x14ac:dyDescent="0.25">
      <c r="I2537" s="15"/>
      <c r="J2537" s="15"/>
      <c r="K2537" s="15"/>
      <c r="L2537" s="15"/>
      <c r="M2537" s="15"/>
      <c r="N2537" s="15"/>
    </row>
    <row r="2538" spans="9:14" ht="48.2" customHeight="1" x14ac:dyDescent="0.25">
      <c r="I2538" s="15"/>
      <c r="J2538" s="15"/>
      <c r="K2538" s="15"/>
      <c r="L2538" s="15"/>
      <c r="M2538" s="15"/>
      <c r="N2538" s="15"/>
    </row>
    <row r="2539" spans="9:14" ht="48.2" customHeight="1" x14ac:dyDescent="0.25">
      <c r="I2539" s="15"/>
      <c r="J2539" s="15"/>
      <c r="K2539" s="15"/>
      <c r="L2539" s="15"/>
      <c r="M2539" s="15"/>
      <c r="N2539" s="15"/>
    </row>
    <row r="2540" spans="9:14" ht="48.2" customHeight="1" x14ac:dyDescent="0.25">
      <c r="I2540" s="15"/>
      <c r="J2540" s="15"/>
      <c r="K2540" s="15"/>
      <c r="L2540" s="15"/>
      <c r="M2540" s="15"/>
      <c r="N2540" s="15"/>
    </row>
    <row r="2541" spans="9:14" ht="48.2" customHeight="1" x14ac:dyDescent="0.25">
      <c r="I2541" s="15"/>
      <c r="J2541" s="15"/>
      <c r="K2541" s="15"/>
      <c r="L2541" s="15"/>
      <c r="M2541" s="15"/>
      <c r="N2541" s="15"/>
    </row>
    <row r="2542" spans="9:14" ht="48.2" customHeight="1" x14ac:dyDescent="0.25">
      <c r="I2542" s="15"/>
      <c r="J2542" s="15"/>
      <c r="K2542" s="15"/>
      <c r="L2542" s="15"/>
      <c r="M2542" s="15"/>
      <c r="N2542" s="15"/>
    </row>
    <row r="2543" spans="9:14" ht="48.2" customHeight="1" x14ac:dyDescent="0.25">
      <c r="I2543" s="15"/>
      <c r="J2543" s="15"/>
      <c r="K2543" s="15"/>
      <c r="L2543" s="15"/>
      <c r="M2543" s="15"/>
      <c r="N2543" s="15"/>
    </row>
    <row r="2544" spans="9:14" ht="48.2" customHeight="1" x14ac:dyDescent="0.25">
      <c r="I2544" s="15"/>
      <c r="J2544" s="15"/>
      <c r="K2544" s="15"/>
      <c r="L2544" s="15"/>
      <c r="M2544" s="15"/>
      <c r="N2544" s="15"/>
    </row>
    <row r="2545" spans="9:14" ht="48.2" customHeight="1" x14ac:dyDescent="0.25">
      <c r="I2545" s="15"/>
      <c r="J2545" s="15"/>
      <c r="K2545" s="15"/>
      <c r="L2545" s="15"/>
      <c r="M2545" s="15"/>
      <c r="N2545" s="15"/>
    </row>
    <row r="2546" spans="9:14" ht="48.2" customHeight="1" x14ac:dyDescent="0.25">
      <c r="I2546" s="15"/>
      <c r="J2546" s="15"/>
      <c r="K2546" s="15"/>
      <c r="L2546" s="15"/>
      <c r="M2546" s="15"/>
      <c r="N2546" s="15"/>
    </row>
    <row r="2547" spans="9:14" ht="48.2" customHeight="1" x14ac:dyDescent="0.25">
      <c r="I2547" s="15"/>
      <c r="J2547" s="15"/>
      <c r="K2547" s="15"/>
      <c r="L2547" s="15"/>
      <c r="M2547" s="15"/>
      <c r="N2547" s="15"/>
    </row>
    <row r="2548" spans="9:14" ht="48.2" customHeight="1" x14ac:dyDescent="0.25">
      <c r="I2548" s="15"/>
      <c r="J2548" s="15"/>
      <c r="K2548" s="15"/>
      <c r="L2548" s="15"/>
      <c r="M2548" s="15"/>
      <c r="N2548" s="15"/>
    </row>
    <row r="2549" spans="9:14" ht="48.2" customHeight="1" x14ac:dyDescent="0.25">
      <c r="I2549" s="15"/>
      <c r="J2549" s="15"/>
      <c r="K2549" s="15"/>
      <c r="L2549" s="15"/>
      <c r="M2549" s="15"/>
      <c r="N2549" s="15"/>
    </row>
    <row r="2550" spans="9:14" ht="48.2" customHeight="1" x14ac:dyDescent="0.25">
      <c r="I2550" s="15"/>
      <c r="J2550" s="15"/>
      <c r="K2550" s="15"/>
      <c r="L2550" s="15"/>
      <c r="M2550" s="15"/>
      <c r="N2550" s="15"/>
    </row>
    <row r="2551" spans="9:14" ht="48.2" customHeight="1" x14ac:dyDescent="0.25">
      <c r="I2551" s="15"/>
      <c r="J2551" s="15"/>
      <c r="K2551" s="15"/>
      <c r="L2551" s="15"/>
      <c r="M2551" s="15"/>
      <c r="N2551" s="15"/>
    </row>
    <row r="2552" spans="9:14" ht="48.2" customHeight="1" x14ac:dyDescent="0.25">
      <c r="I2552" s="15"/>
      <c r="J2552" s="15"/>
      <c r="K2552" s="15"/>
      <c r="L2552" s="15"/>
      <c r="M2552" s="15"/>
      <c r="N2552" s="15"/>
    </row>
    <row r="2553" spans="9:14" ht="48.2" customHeight="1" x14ac:dyDescent="0.25">
      <c r="I2553" s="15"/>
      <c r="J2553" s="15"/>
      <c r="K2553" s="15"/>
      <c r="L2553" s="15"/>
      <c r="M2553" s="15"/>
      <c r="N2553" s="15"/>
    </row>
    <row r="2554" spans="9:14" ht="48.2" customHeight="1" x14ac:dyDescent="0.25">
      <c r="I2554" s="15"/>
      <c r="J2554" s="15"/>
      <c r="K2554" s="15"/>
      <c r="L2554" s="15"/>
      <c r="M2554" s="15"/>
      <c r="N2554" s="15"/>
    </row>
    <row r="2555" spans="9:14" ht="48.2" customHeight="1" x14ac:dyDescent="0.25">
      <c r="I2555" s="15"/>
      <c r="J2555" s="15"/>
      <c r="K2555" s="15"/>
      <c r="L2555" s="15"/>
      <c r="M2555" s="15"/>
      <c r="N2555" s="15"/>
    </row>
    <row r="2556" spans="9:14" ht="48.2" customHeight="1" x14ac:dyDescent="0.25">
      <c r="I2556" s="15"/>
      <c r="J2556" s="15"/>
      <c r="K2556" s="15"/>
      <c r="L2556" s="15"/>
      <c r="M2556" s="15"/>
      <c r="N2556" s="15"/>
    </row>
    <row r="2557" spans="9:14" ht="48.2" customHeight="1" x14ac:dyDescent="0.25">
      <c r="I2557" s="15"/>
      <c r="J2557" s="15"/>
      <c r="K2557" s="15"/>
      <c r="L2557" s="15"/>
      <c r="M2557" s="15"/>
      <c r="N2557" s="15"/>
    </row>
    <row r="2558" spans="9:14" ht="48.2" customHeight="1" x14ac:dyDescent="0.25">
      <c r="I2558" s="15"/>
      <c r="J2558" s="15"/>
      <c r="K2558" s="15"/>
      <c r="L2558" s="15"/>
      <c r="M2558" s="15"/>
      <c r="N2558" s="15"/>
    </row>
    <row r="2559" spans="9:14" ht="48.2" customHeight="1" x14ac:dyDescent="0.25">
      <c r="I2559" s="15"/>
      <c r="J2559" s="15"/>
      <c r="K2559" s="15"/>
      <c r="L2559" s="15"/>
      <c r="M2559" s="15"/>
      <c r="N2559" s="15"/>
    </row>
    <row r="2560" spans="9:14" ht="48.2" customHeight="1" x14ac:dyDescent="0.25">
      <c r="I2560" s="15"/>
      <c r="J2560" s="15"/>
      <c r="K2560" s="15"/>
      <c r="L2560" s="15"/>
      <c r="M2560" s="15"/>
      <c r="N2560" s="15"/>
    </row>
    <row r="2561" spans="9:14" ht="48.2" customHeight="1" x14ac:dyDescent="0.25">
      <c r="I2561" s="15"/>
      <c r="J2561" s="15"/>
      <c r="K2561" s="15"/>
      <c r="L2561" s="15"/>
      <c r="M2561" s="15"/>
      <c r="N2561" s="15"/>
    </row>
    <row r="2562" spans="9:14" ht="48.2" customHeight="1" x14ac:dyDescent="0.25">
      <c r="I2562" s="15"/>
      <c r="J2562" s="15"/>
      <c r="K2562" s="15"/>
      <c r="L2562" s="15"/>
      <c r="M2562" s="15"/>
      <c r="N2562" s="15"/>
    </row>
    <row r="2563" spans="9:14" ht="48.2" customHeight="1" x14ac:dyDescent="0.25">
      <c r="I2563" s="15"/>
      <c r="J2563" s="15"/>
      <c r="K2563" s="15"/>
      <c r="L2563" s="15"/>
      <c r="M2563" s="15"/>
      <c r="N2563" s="15"/>
    </row>
    <row r="2564" spans="9:14" ht="48.2" customHeight="1" x14ac:dyDescent="0.25">
      <c r="I2564" s="15"/>
      <c r="J2564" s="15"/>
      <c r="K2564" s="15"/>
      <c r="L2564" s="15"/>
      <c r="M2564" s="15"/>
      <c r="N2564" s="15"/>
    </row>
    <row r="2565" spans="9:14" ht="48.2" customHeight="1" x14ac:dyDescent="0.25">
      <c r="I2565" s="15"/>
      <c r="J2565" s="15"/>
      <c r="K2565" s="15"/>
      <c r="L2565" s="15"/>
      <c r="M2565" s="15"/>
      <c r="N2565" s="15"/>
    </row>
    <row r="2566" spans="9:14" ht="48.2" customHeight="1" x14ac:dyDescent="0.25">
      <c r="I2566" s="15"/>
      <c r="J2566" s="15"/>
      <c r="K2566" s="15"/>
      <c r="L2566" s="15"/>
      <c r="M2566" s="15"/>
      <c r="N2566" s="15"/>
    </row>
    <row r="2567" spans="9:14" ht="48.2" customHeight="1" x14ac:dyDescent="0.25">
      <c r="I2567" s="15"/>
      <c r="J2567" s="15"/>
      <c r="K2567" s="15"/>
      <c r="L2567" s="15"/>
      <c r="M2567" s="15"/>
      <c r="N2567" s="15"/>
    </row>
    <row r="2568" spans="9:14" ht="48.2" customHeight="1" x14ac:dyDescent="0.25">
      <c r="I2568" s="15"/>
      <c r="J2568" s="15"/>
      <c r="K2568" s="15"/>
      <c r="L2568" s="15"/>
      <c r="M2568" s="15"/>
      <c r="N2568" s="15"/>
    </row>
    <row r="2569" spans="9:14" ht="48.2" customHeight="1" x14ac:dyDescent="0.25">
      <c r="I2569" s="15"/>
      <c r="J2569" s="15"/>
      <c r="K2569" s="15"/>
      <c r="L2569" s="15"/>
      <c r="M2569" s="15"/>
      <c r="N2569" s="15"/>
    </row>
    <row r="2570" spans="9:14" ht="48.2" customHeight="1" x14ac:dyDescent="0.25">
      <c r="I2570" s="15"/>
      <c r="J2570" s="15"/>
      <c r="K2570" s="15"/>
      <c r="L2570" s="15"/>
      <c r="M2570" s="15"/>
      <c r="N2570" s="15"/>
    </row>
    <row r="2571" spans="9:14" ht="48.2" customHeight="1" x14ac:dyDescent="0.25">
      <c r="I2571" s="15"/>
      <c r="J2571" s="15"/>
      <c r="K2571" s="15"/>
      <c r="L2571" s="15"/>
      <c r="M2571" s="15"/>
      <c r="N2571" s="15"/>
    </row>
    <row r="2572" spans="9:14" ht="48.2" customHeight="1" x14ac:dyDescent="0.25">
      <c r="I2572" s="15"/>
      <c r="J2572" s="15"/>
      <c r="K2572" s="15"/>
      <c r="L2572" s="15"/>
      <c r="M2572" s="15"/>
      <c r="N2572" s="15"/>
    </row>
    <row r="2573" spans="9:14" ht="48.2" customHeight="1" x14ac:dyDescent="0.25">
      <c r="I2573" s="15"/>
      <c r="J2573" s="15"/>
      <c r="K2573" s="15"/>
      <c r="L2573" s="15"/>
      <c r="M2573" s="15"/>
      <c r="N2573" s="15"/>
    </row>
    <row r="2574" spans="9:14" ht="48.2" customHeight="1" x14ac:dyDescent="0.25">
      <c r="I2574" s="15"/>
      <c r="J2574" s="15"/>
      <c r="K2574" s="15"/>
      <c r="L2574" s="15"/>
      <c r="M2574" s="15"/>
      <c r="N2574" s="15"/>
    </row>
    <row r="2575" spans="9:14" ht="48.2" customHeight="1" x14ac:dyDescent="0.25">
      <c r="I2575" s="15"/>
      <c r="J2575" s="15"/>
      <c r="K2575" s="15"/>
      <c r="L2575" s="15"/>
      <c r="M2575" s="15"/>
      <c r="N2575" s="15"/>
    </row>
    <row r="2576" spans="9:14" ht="48.2" customHeight="1" x14ac:dyDescent="0.25">
      <c r="I2576" s="15"/>
      <c r="J2576" s="15"/>
      <c r="K2576" s="15"/>
      <c r="L2576" s="15"/>
      <c r="M2576" s="15"/>
      <c r="N2576" s="15"/>
    </row>
    <row r="2577" spans="9:14" ht="48.2" customHeight="1" x14ac:dyDescent="0.25">
      <c r="I2577" s="15"/>
      <c r="J2577" s="15"/>
      <c r="K2577" s="15"/>
      <c r="L2577" s="15"/>
      <c r="M2577" s="15"/>
      <c r="N2577" s="15"/>
    </row>
    <row r="2578" spans="9:14" ht="48.2" customHeight="1" x14ac:dyDescent="0.25">
      <c r="I2578" s="15"/>
      <c r="J2578" s="15"/>
      <c r="K2578" s="15"/>
      <c r="L2578" s="15"/>
      <c r="M2578" s="15"/>
      <c r="N2578" s="15"/>
    </row>
    <row r="2579" spans="9:14" ht="48.2" customHeight="1" x14ac:dyDescent="0.25">
      <c r="I2579" s="15"/>
      <c r="J2579" s="15"/>
      <c r="K2579" s="15"/>
      <c r="L2579" s="15"/>
      <c r="M2579" s="15"/>
      <c r="N2579" s="15"/>
    </row>
    <row r="2580" spans="9:14" ht="48.2" customHeight="1" x14ac:dyDescent="0.25">
      <c r="I2580" s="15"/>
      <c r="J2580" s="15"/>
      <c r="K2580" s="15"/>
      <c r="L2580" s="15"/>
      <c r="M2580" s="15"/>
      <c r="N2580" s="15"/>
    </row>
    <row r="2581" spans="9:14" ht="48.2" customHeight="1" x14ac:dyDescent="0.25">
      <c r="I2581" s="15"/>
      <c r="J2581" s="15"/>
      <c r="K2581" s="15"/>
      <c r="L2581" s="15"/>
      <c r="M2581" s="15"/>
      <c r="N2581" s="15"/>
    </row>
    <row r="2582" spans="9:14" ht="48.2" customHeight="1" x14ac:dyDescent="0.25">
      <c r="I2582" s="15"/>
      <c r="J2582" s="15"/>
      <c r="K2582" s="15"/>
      <c r="L2582" s="15"/>
      <c r="M2582" s="15"/>
      <c r="N2582" s="15"/>
    </row>
    <row r="2583" spans="9:14" ht="48.2" customHeight="1" x14ac:dyDescent="0.25">
      <c r="I2583" s="15"/>
      <c r="J2583" s="15"/>
      <c r="K2583" s="15"/>
      <c r="L2583" s="15"/>
      <c r="M2583" s="15"/>
      <c r="N2583" s="15"/>
    </row>
    <row r="2584" spans="9:14" ht="48.2" customHeight="1" x14ac:dyDescent="0.25">
      <c r="I2584" s="15"/>
      <c r="J2584" s="15"/>
      <c r="K2584" s="15"/>
      <c r="L2584" s="15"/>
      <c r="M2584" s="15"/>
      <c r="N2584" s="15"/>
    </row>
    <row r="2585" spans="9:14" ht="48.2" customHeight="1" x14ac:dyDescent="0.25">
      <c r="I2585" s="15"/>
      <c r="J2585" s="15"/>
      <c r="K2585" s="15"/>
      <c r="L2585" s="15"/>
      <c r="M2585" s="15"/>
      <c r="N2585" s="15"/>
    </row>
    <row r="2586" spans="9:14" ht="48.2" customHeight="1" x14ac:dyDescent="0.25">
      <c r="I2586" s="15"/>
      <c r="J2586" s="15"/>
      <c r="K2586" s="15"/>
      <c r="L2586" s="15"/>
      <c r="M2586" s="15"/>
      <c r="N2586" s="15"/>
    </row>
    <row r="2587" spans="9:14" ht="48.2" customHeight="1" x14ac:dyDescent="0.25">
      <c r="I2587" s="15"/>
      <c r="J2587" s="15"/>
      <c r="K2587" s="15"/>
      <c r="L2587" s="15"/>
      <c r="M2587" s="15"/>
      <c r="N2587" s="15"/>
    </row>
    <row r="2588" spans="9:14" ht="48.2" customHeight="1" x14ac:dyDescent="0.25">
      <c r="I2588" s="15"/>
      <c r="J2588" s="15"/>
      <c r="K2588" s="15"/>
      <c r="L2588" s="15"/>
      <c r="M2588" s="15"/>
      <c r="N2588" s="15"/>
    </row>
    <row r="2589" spans="9:14" ht="48.2" customHeight="1" x14ac:dyDescent="0.25">
      <c r="I2589" s="15"/>
      <c r="J2589" s="15"/>
      <c r="K2589" s="15"/>
      <c r="L2589" s="15"/>
      <c r="M2589" s="15"/>
      <c r="N2589" s="15"/>
    </row>
    <row r="2590" spans="9:14" ht="48.2" customHeight="1" x14ac:dyDescent="0.25">
      <c r="I2590" s="15"/>
      <c r="J2590" s="15"/>
      <c r="K2590" s="15"/>
      <c r="L2590" s="15"/>
      <c r="M2590" s="15"/>
      <c r="N2590" s="15"/>
    </row>
    <row r="2591" spans="9:14" ht="48.2" customHeight="1" x14ac:dyDescent="0.25">
      <c r="I2591" s="15"/>
      <c r="J2591" s="15"/>
      <c r="K2591" s="15"/>
      <c r="L2591" s="15"/>
      <c r="M2591" s="15"/>
      <c r="N2591" s="15"/>
    </row>
    <row r="2592" spans="9:14" ht="48.2" customHeight="1" x14ac:dyDescent="0.25">
      <c r="I2592" s="15"/>
      <c r="J2592" s="15"/>
      <c r="K2592" s="15"/>
      <c r="L2592" s="15"/>
      <c r="M2592" s="15"/>
      <c r="N2592" s="15"/>
    </row>
    <row r="2593" spans="9:14" ht="48.2" customHeight="1" x14ac:dyDescent="0.25">
      <c r="I2593" s="15"/>
      <c r="J2593" s="15"/>
      <c r="K2593" s="15"/>
      <c r="L2593" s="15"/>
      <c r="M2593" s="15"/>
      <c r="N2593" s="15"/>
    </row>
    <row r="2594" spans="9:14" ht="48.2" customHeight="1" x14ac:dyDescent="0.25">
      <c r="I2594" s="15"/>
      <c r="J2594" s="15"/>
      <c r="K2594" s="15"/>
      <c r="L2594" s="15"/>
      <c r="M2594" s="15"/>
      <c r="N2594" s="15"/>
    </row>
    <row r="2595" spans="9:14" ht="48.2" customHeight="1" x14ac:dyDescent="0.25">
      <c r="I2595" s="15"/>
      <c r="J2595" s="15"/>
      <c r="K2595" s="15"/>
      <c r="L2595" s="15"/>
      <c r="M2595" s="15"/>
      <c r="N2595" s="15"/>
    </row>
    <row r="2596" spans="9:14" ht="48.2" customHeight="1" x14ac:dyDescent="0.25">
      <c r="I2596" s="15"/>
      <c r="J2596" s="15"/>
      <c r="K2596" s="15"/>
      <c r="L2596" s="15"/>
      <c r="M2596" s="15"/>
      <c r="N2596" s="15"/>
    </row>
    <row r="2597" spans="9:14" ht="48.2" customHeight="1" x14ac:dyDescent="0.25">
      <c r="I2597" s="15"/>
      <c r="J2597" s="15"/>
      <c r="K2597" s="15"/>
      <c r="L2597" s="15"/>
      <c r="M2597" s="15"/>
      <c r="N2597" s="15"/>
    </row>
    <row r="2598" spans="9:14" ht="48.2" customHeight="1" x14ac:dyDescent="0.25">
      <c r="I2598" s="15"/>
      <c r="J2598" s="15"/>
      <c r="K2598" s="15"/>
      <c r="L2598" s="15"/>
      <c r="M2598" s="15"/>
      <c r="N2598" s="15"/>
    </row>
    <row r="2599" spans="9:14" ht="48.2" customHeight="1" x14ac:dyDescent="0.25">
      <c r="I2599" s="15"/>
      <c r="J2599" s="15"/>
      <c r="K2599" s="15"/>
      <c r="L2599" s="15"/>
      <c r="M2599" s="15"/>
      <c r="N2599" s="15"/>
    </row>
    <row r="2600" spans="9:14" ht="48.2" customHeight="1" x14ac:dyDescent="0.25">
      <c r="I2600" s="15"/>
      <c r="J2600" s="15"/>
      <c r="K2600" s="15"/>
      <c r="L2600" s="15"/>
      <c r="M2600" s="15"/>
      <c r="N2600" s="15"/>
    </row>
    <row r="2601" spans="9:14" ht="48.2" customHeight="1" x14ac:dyDescent="0.25">
      <c r="I2601" s="15"/>
      <c r="J2601" s="15"/>
      <c r="K2601" s="15"/>
      <c r="L2601" s="15"/>
      <c r="M2601" s="15"/>
      <c r="N2601" s="15"/>
    </row>
    <row r="2602" spans="9:14" ht="48.2" customHeight="1" x14ac:dyDescent="0.25">
      <c r="I2602" s="15"/>
      <c r="J2602" s="15"/>
      <c r="K2602" s="15"/>
      <c r="L2602" s="15"/>
      <c r="M2602" s="15"/>
      <c r="N2602" s="15"/>
    </row>
    <row r="2603" spans="9:14" ht="48.2" customHeight="1" x14ac:dyDescent="0.25">
      <c r="I2603" s="15"/>
      <c r="J2603" s="15"/>
      <c r="K2603" s="15"/>
      <c r="L2603" s="15"/>
      <c r="M2603" s="15"/>
      <c r="N2603" s="15"/>
    </row>
    <row r="2604" spans="9:14" ht="48.2" customHeight="1" x14ac:dyDescent="0.25">
      <c r="I2604" s="15"/>
      <c r="J2604" s="15"/>
      <c r="K2604" s="15"/>
      <c r="L2604" s="15"/>
      <c r="M2604" s="15"/>
      <c r="N2604" s="15"/>
    </row>
    <row r="2605" spans="9:14" ht="48.2" customHeight="1" x14ac:dyDescent="0.25">
      <c r="I2605" s="15"/>
      <c r="J2605" s="15"/>
      <c r="K2605" s="15"/>
      <c r="L2605" s="15"/>
      <c r="M2605" s="15"/>
      <c r="N2605" s="15"/>
    </row>
    <row r="2606" spans="9:14" ht="48.2" customHeight="1" x14ac:dyDescent="0.25">
      <c r="I2606" s="15"/>
      <c r="J2606" s="15"/>
      <c r="K2606" s="15"/>
      <c r="L2606" s="15"/>
      <c r="M2606" s="15"/>
      <c r="N2606" s="15"/>
    </row>
    <row r="2607" spans="9:14" ht="48.2" customHeight="1" x14ac:dyDescent="0.25">
      <c r="I2607" s="15"/>
      <c r="J2607" s="15"/>
      <c r="K2607" s="15"/>
      <c r="L2607" s="15"/>
      <c r="M2607" s="15"/>
      <c r="N2607" s="15"/>
    </row>
    <row r="2608" spans="9:14" ht="48.2" customHeight="1" x14ac:dyDescent="0.25">
      <c r="I2608" s="15"/>
      <c r="J2608" s="15"/>
      <c r="K2608" s="15"/>
      <c r="L2608" s="15"/>
      <c r="M2608" s="15"/>
      <c r="N2608" s="15"/>
    </row>
    <row r="2609" spans="9:14" ht="48.2" customHeight="1" x14ac:dyDescent="0.25">
      <c r="I2609" s="15"/>
      <c r="J2609" s="15"/>
      <c r="K2609" s="15"/>
      <c r="L2609" s="15"/>
      <c r="M2609" s="15"/>
      <c r="N2609" s="15"/>
    </row>
    <row r="2610" spans="9:14" ht="48.2" customHeight="1" x14ac:dyDescent="0.25">
      <c r="I2610" s="15"/>
      <c r="J2610" s="15"/>
      <c r="K2610" s="15"/>
      <c r="L2610" s="15"/>
      <c r="M2610" s="15"/>
      <c r="N2610" s="15"/>
    </row>
    <row r="2611" spans="9:14" ht="48.2" customHeight="1" x14ac:dyDescent="0.25">
      <c r="I2611" s="15"/>
      <c r="J2611" s="15"/>
      <c r="K2611" s="15"/>
      <c r="L2611" s="15"/>
      <c r="M2611" s="15"/>
      <c r="N2611" s="15"/>
    </row>
    <row r="2612" spans="9:14" ht="48.2" customHeight="1" x14ac:dyDescent="0.25">
      <c r="I2612" s="15"/>
      <c r="J2612" s="15"/>
      <c r="K2612" s="15"/>
      <c r="L2612" s="15"/>
      <c r="M2612" s="15"/>
      <c r="N2612" s="15"/>
    </row>
    <row r="2613" spans="9:14" ht="48.2" customHeight="1" x14ac:dyDescent="0.25">
      <c r="I2613" s="15"/>
      <c r="J2613" s="15"/>
      <c r="K2613" s="15"/>
      <c r="L2613" s="15"/>
      <c r="M2613" s="15"/>
      <c r="N2613" s="15"/>
    </row>
    <row r="2614" spans="9:14" ht="48.2" customHeight="1" x14ac:dyDescent="0.25">
      <c r="I2614" s="15"/>
      <c r="J2614" s="15"/>
      <c r="K2614" s="15"/>
      <c r="L2614" s="15"/>
      <c r="M2614" s="15"/>
      <c r="N2614" s="15"/>
    </row>
    <row r="2615" spans="9:14" ht="48.2" customHeight="1" x14ac:dyDescent="0.25">
      <c r="I2615" s="15"/>
      <c r="J2615" s="15"/>
      <c r="K2615" s="15"/>
      <c r="L2615" s="15"/>
      <c r="M2615" s="15"/>
      <c r="N2615" s="15"/>
    </row>
    <row r="2616" spans="9:14" ht="48.2" customHeight="1" x14ac:dyDescent="0.25">
      <c r="I2616" s="15"/>
      <c r="J2616" s="15"/>
      <c r="K2616" s="15"/>
      <c r="L2616" s="15"/>
      <c r="M2616" s="15"/>
      <c r="N2616" s="15"/>
    </row>
    <row r="2617" spans="9:14" ht="48.2" customHeight="1" x14ac:dyDescent="0.25">
      <c r="I2617" s="15"/>
      <c r="J2617" s="15"/>
      <c r="K2617" s="15"/>
      <c r="L2617" s="15"/>
      <c r="M2617" s="15"/>
      <c r="N2617" s="15"/>
    </row>
    <row r="2618" spans="9:14" ht="48.2" customHeight="1" x14ac:dyDescent="0.25">
      <c r="I2618" s="15"/>
      <c r="J2618" s="15"/>
      <c r="K2618" s="15"/>
      <c r="L2618" s="15"/>
      <c r="M2618" s="15"/>
      <c r="N2618" s="15"/>
    </row>
    <row r="2619" spans="9:14" ht="48.2" customHeight="1" x14ac:dyDescent="0.25">
      <c r="I2619" s="15"/>
      <c r="J2619" s="15"/>
      <c r="K2619" s="15"/>
      <c r="L2619" s="15"/>
      <c r="M2619" s="15"/>
      <c r="N2619" s="15"/>
    </row>
    <row r="2620" spans="9:14" ht="48.2" customHeight="1" x14ac:dyDescent="0.25">
      <c r="I2620" s="15"/>
      <c r="J2620" s="15"/>
      <c r="K2620" s="15"/>
      <c r="L2620" s="15"/>
      <c r="M2620" s="15"/>
      <c r="N2620" s="15"/>
    </row>
    <row r="2621" spans="9:14" ht="48.2" customHeight="1" x14ac:dyDescent="0.25">
      <c r="I2621" s="15"/>
      <c r="J2621" s="15"/>
      <c r="K2621" s="15"/>
      <c r="L2621" s="15"/>
      <c r="M2621" s="15"/>
      <c r="N2621" s="15"/>
    </row>
    <row r="2622" spans="9:14" ht="48.2" customHeight="1" x14ac:dyDescent="0.25">
      <c r="I2622" s="15"/>
      <c r="J2622" s="15"/>
      <c r="K2622" s="15"/>
      <c r="L2622" s="15"/>
      <c r="M2622" s="15"/>
      <c r="N2622" s="15"/>
    </row>
    <row r="2623" spans="9:14" ht="48.2" customHeight="1" x14ac:dyDescent="0.25">
      <c r="I2623" s="15"/>
      <c r="J2623" s="15"/>
      <c r="K2623" s="15"/>
      <c r="L2623" s="15"/>
      <c r="M2623" s="15"/>
      <c r="N2623" s="15"/>
    </row>
    <row r="2624" spans="9:14" ht="48.2" customHeight="1" x14ac:dyDescent="0.25">
      <c r="I2624" s="15"/>
      <c r="J2624" s="15"/>
      <c r="K2624" s="15"/>
      <c r="L2624" s="15"/>
      <c r="M2624" s="15"/>
      <c r="N2624" s="15"/>
    </row>
    <row r="2625" spans="9:14" ht="48.2" customHeight="1" x14ac:dyDescent="0.25">
      <c r="I2625" s="15"/>
      <c r="J2625" s="15"/>
      <c r="K2625" s="15"/>
      <c r="L2625" s="15"/>
      <c r="M2625" s="15"/>
      <c r="N2625" s="15"/>
    </row>
    <row r="2626" spans="9:14" ht="48.2" customHeight="1" x14ac:dyDescent="0.25">
      <c r="I2626" s="15"/>
      <c r="J2626" s="15"/>
      <c r="K2626" s="15"/>
      <c r="L2626" s="15"/>
      <c r="M2626" s="15"/>
      <c r="N2626" s="15"/>
    </row>
    <row r="2627" spans="9:14" ht="48.2" customHeight="1" x14ac:dyDescent="0.25">
      <c r="I2627" s="15"/>
      <c r="J2627" s="15"/>
      <c r="K2627" s="15"/>
      <c r="L2627" s="15"/>
      <c r="M2627" s="15"/>
      <c r="N2627" s="15"/>
    </row>
    <row r="2628" spans="9:14" ht="48.2" customHeight="1" x14ac:dyDescent="0.25">
      <c r="I2628" s="15"/>
      <c r="J2628" s="15"/>
      <c r="K2628" s="15"/>
      <c r="L2628" s="15"/>
      <c r="M2628" s="15"/>
      <c r="N2628" s="15"/>
    </row>
    <row r="2629" spans="9:14" ht="48.2" customHeight="1" x14ac:dyDescent="0.25">
      <c r="I2629" s="15"/>
      <c r="J2629" s="15"/>
      <c r="K2629" s="15"/>
      <c r="L2629" s="15"/>
      <c r="M2629" s="15"/>
      <c r="N2629" s="15"/>
    </row>
    <row r="2630" spans="9:14" ht="48.2" customHeight="1" x14ac:dyDescent="0.25">
      <c r="I2630" s="15"/>
      <c r="J2630" s="15"/>
      <c r="K2630" s="15"/>
      <c r="L2630" s="15"/>
      <c r="M2630" s="15"/>
      <c r="N2630" s="15"/>
    </row>
    <row r="2631" spans="9:14" ht="48.2" customHeight="1" x14ac:dyDescent="0.25">
      <c r="I2631" s="15"/>
      <c r="J2631" s="15"/>
      <c r="K2631" s="15"/>
      <c r="L2631" s="15"/>
      <c r="M2631" s="15"/>
      <c r="N2631" s="15"/>
    </row>
    <row r="2632" spans="9:14" ht="48.2" customHeight="1" x14ac:dyDescent="0.25">
      <c r="I2632" s="15"/>
      <c r="J2632" s="15"/>
      <c r="K2632" s="15"/>
      <c r="L2632" s="15"/>
      <c r="M2632" s="15"/>
      <c r="N2632" s="15"/>
    </row>
    <row r="2633" spans="9:14" ht="48.2" customHeight="1" x14ac:dyDescent="0.25">
      <c r="I2633" s="15"/>
      <c r="J2633" s="15"/>
      <c r="K2633" s="15"/>
      <c r="L2633" s="15"/>
      <c r="M2633" s="15"/>
      <c r="N2633" s="15"/>
    </row>
    <row r="2634" spans="9:14" ht="48.2" customHeight="1" x14ac:dyDescent="0.25">
      <c r="I2634" s="15"/>
      <c r="J2634" s="15"/>
      <c r="K2634" s="15"/>
      <c r="L2634" s="15"/>
      <c r="M2634" s="15"/>
      <c r="N2634" s="15"/>
    </row>
    <row r="2635" spans="9:14" ht="48.2" customHeight="1" x14ac:dyDescent="0.25">
      <c r="I2635" s="15"/>
      <c r="J2635" s="15"/>
      <c r="K2635" s="15"/>
      <c r="L2635" s="15"/>
      <c r="M2635" s="15"/>
      <c r="N2635" s="15"/>
    </row>
    <row r="2636" spans="9:14" ht="48.2" customHeight="1" x14ac:dyDescent="0.25">
      <c r="I2636" s="15"/>
      <c r="J2636" s="15"/>
      <c r="K2636" s="15"/>
      <c r="L2636" s="15"/>
      <c r="M2636" s="15"/>
      <c r="N2636" s="15"/>
    </row>
    <row r="2637" spans="9:14" ht="48.2" customHeight="1" x14ac:dyDescent="0.25">
      <c r="I2637" s="15"/>
      <c r="J2637" s="15"/>
      <c r="K2637" s="15"/>
      <c r="L2637" s="15"/>
      <c r="M2637" s="15"/>
      <c r="N2637" s="15"/>
    </row>
    <row r="2638" spans="9:14" ht="48.2" customHeight="1" x14ac:dyDescent="0.25">
      <c r="I2638" s="15"/>
      <c r="J2638" s="15"/>
      <c r="K2638" s="15"/>
      <c r="L2638" s="15"/>
      <c r="M2638" s="15"/>
      <c r="N2638" s="15"/>
    </row>
    <row r="2639" spans="9:14" ht="48.2" customHeight="1" x14ac:dyDescent="0.25">
      <c r="I2639" s="15"/>
      <c r="J2639" s="15"/>
      <c r="K2639" s="15"/>
      <c r="L2639" s="15"/>
      <c r="M2639" s="15"/>
      <c r="N2639" s="15"/>
    </row>
    <row r="2640" spans="9:14" ht="48.2" customHeight="1" x14ac:dyDescent="0.25">
      <c r="I2640" s="15"/>
      <c r="J2640" s="15"/>
      <c r="K2640" s="15"/>
      <c r="L2640" s="15"/>
      <c r="M2640" s="15"/>
      <c r="N2640" s="15"/>
    </row>
    <row r="2641" spans="9:14" ht="48.2" customHeight="1" x14ac:dyDescent="0.25">
      <c r="I2641" s="15"/>
      <c r="J2641" s="15"/>
      <c r="K2641" s="15"/>
      <c r="L2641" s="15"/>
      <c r="M2641" s="15"/>
      <c r="N2641" s="15"/>
    </row>
    <row r="2642" spans="9:14" ht="48.2" customHeight="1" x14ac:dyDescent="0.25">
      <c r="I2642" s="15"/>
      <c r="J2642" s="15"/>
      <c r="K2642" s="15"/>
      <c r="L2642" s="15"/>
      <c r="M2642" s="15"/>
      <c r="N2642" s="15"/>
    </row>
    <row r="2643" spans="9:14" ht="48.2" customHeight="1" x14ac:dyDescent="0.25">
      <c r="I2643" s="15"/>
      <c r="J2643" s="15"/>
      <c r="K2643" s="15"/>
      <c r="L2643" s="15"/>
      <c r="M2643" s="15"/>
      <c r="N2643" s="15"/>
    </row>
    <row r="2644" spans="9:14" ht="48.2" customHeight="1" x14ac:dyDescent="0.25">
      <c r="I2644" s="15"/>
      <c r="J2644" s="15"/>
      <c r="K2644" s="15"/>
      <c r="L2644" s="15"/>
      <c r="M2644" s="15"/>
      <c r="N2644" s="15"/>
    </row>
    <row r="2645" spans="9:14" ht="48.2" customHeight="1" x14ac:dyDescent="0.25">
      <c r="I2645" s="15"/>
      <c r="J2645" s="15"/>
      <c r="K2645" s="15"/>
      <c r="L2645" s="15"/>
      <c r="M2645" s="15"/>
      <c r="N2645" s="15"/>
    </row>
    <row r="2646" spans="9:14" ht="48.2" customHeight="1" x14ac:dyDescent="0.25">
      <c r="I2646" s="15"/>
      <c r="J2646" s="15"/>
      <c r="K2646" s="15"/>
      <c r="L2646" s="15"/>
      <c r="M2646" s="15"/>
      <c r="N2646" s="15"/>
    </row>
    <row r="2647" spans="9:14" ht="48.2" customHeight="1" x14ac:dyDescent="0.25">
      <c r="I2647" s="15"/>
      <c r="J2647" s="15"/>
      <c r="K2647" s="15"/>
      <c r="L2647" s="15"/>
      <c r="M2647" s="15"/>
      <c r="N2647" s="15"/>
    </row>
    <row r="2648" spans="9:14" ht="48.2" customHeight="1" x14ac:dyDescent="0.25">
      <c r="I2648" s="15"/>
      <c r="J2648" s="15"/>
      <c r="K2648" s="15"/>
      <c r="L2648" s="15"/>
      <c r="M2648" s="15"/>
      <c r="N2648" s="15"/>
    </row>
    <row r="2649" spans="9:14" ht="48.2" customHeight="1" x14ac:dyDescent="0.25">
      <c r="I2649" s="15"/>
      <c r="J2649" s="15"/>
      <c r="K2649" s="15"/>
      <c r="L2649" s="15"/>
      <c r="M2649" s="15"/>
      <c r="N2649" s="15"/>
    </row>
    <row r="2650" spans="9:14" ht="48.2" customHeight="1" x14ac:dyDescent="0.25">
      <c r="I2650" s="15"/>
      <c r="J2650" s="15"/>
      <c r="K2650" s="15"/>
      <c r="L2650" s="15"/>
      <c r="M2650" s="15"/>
      <c r="N2650" s="15"/>
    </row>
    <row r="2651" spans="9:14" ht="48.2" customHeight="1" x14ac:dyDescent="0.25">
      <c r="I2651" s="15"/>
      <c r="J2651" s="15"/>
      <c r="K2651" s="15"/>
      <c r="L2651" s="15"/>
      <c r="M2651" s="15"/>
      <c r="N2651" s="15"/>
    </row>
    <row r="2652" spans="9:14" ht="48.2" customHeight="1" x14ac:dyDescent="0.25">
      <c r="I2652" s="15"/>
      <c r="J2652" s="15"/>
      <c r="K2652" s="15"/>
      <c r="L2652" s="15"/>
      <c r="M2652" s="15"/>
      <c r="N2652" s="15"/>
    </row>
    <row r="2653" spans="9:14" ht="48.2" customHeight="1" x14ac:dyDescent="0.25">
      <c r="I2653" s="15"/>
      <c r="J2653" s="15"/>
      <c r="K2653" s="15"/>
      <c r="L2653" s="15"/>
      <c r="M2653" s="15"/>
      <c r="N2653" s="15"/>
    </row>
    <row r="2654" spans="9:14" ht="48.2" customHeight="1" x14ac:dyDescent="0.25">
      <c r="I2654" s="15"/>
      <c r="J2654" s="15"/>
      <c r="K2654" s="15"/>
      <c r="L2654" s="15"/>
      <c r="M2654" s="15"/>
      <c r="N2654" s="15"/>
    </row>
    <row r="2655" spans="9:14" ht="48.2" customHeight="1" x14ac:dyDescent="0.25">
      <c r="I2655" s="15"/>
      <c r="J2655" s="15"/>
      <c r="K2655" s="15"/>
      <c r="L2655" s="15"/>
      <c r="M2655" s="15"/>
      <c r="N2655" s="15"/>
    </row>
    <row r="2656" spans="9:14" ht="48.2" customHeight="1" x14ac:dyDescent="0.25">
      <c r="I2656" s="15"/>
      <c r="J2656" s="15"/>
      <c r="K2656" s="15"/>
      <c r="L2656" s="15"/>
      <c r="M2656" s="15"/>
      <c r="N2656" s="15"/>
    </row>
    <row r="2657" spans="9:14" ht="48.2" customHeight="1" x14ac:dyDescent="0.25">
      <c r="I2657" s="15"/>
      <c r="J2657" s="15"/>
      <c r="K2657" s="15"/>
      <c r="L2657" s="15"/>
      <c r="M2657" s="15"/>
      <c r="N2657" s="15"/>
    </row>
    <row r="2658" spans="9:14" ht="48.2" customHeight="1" x14ac:dyDescent="0.25">
      <c r="I2658" s="15"/>
      <c r="J2658" s="15"/>
      <c r="K2658" s="15"/>
      <c r="L2658" s="15"/>
      <c r="M2658" s="15"/>
      <c r="N2658" s="15"/>
    </row>
    <row r="2659" spans="9:14" ht="48.2" customHeight="1" x14ac:dyDescent="0.25">
      <c r="I2659" s="15"/>
      <c r="J2659" s="15"/>
      <c r="K2659" s="15"/>
      <c r="L2659" s="15"/>
      <c r="M2659" s="15"/>
      <c r="N2659" s="15"/>
    </row>
    <row r="2660" spans="9:14" ht="48.2" customHeight="1" x14ac:dyDescent="0.25">
      <c r="I2660" s="15"/>
      <c r="J2660" s="15"/>
      <c r="K2660" s="15"/>
      <c r="L2660" s="15"/>
      <c r="M2660" s="15"/>
      <c r="N2660" s="15"/>
    </row>
    <row r="2661" spans="9:14" ht="48.2" customHeight="1" x14ac:dyDescent="0.25">
      <c r="I2661" s="15"/>
      <c r="J2661" s="15"/>
      <c r="K2661" s="15"/>
      <c r="L2661" s="15"/>
      <c r="M2661" s="15"/>
      <c r="N2661" s="15"/>
    </row>
    <row r="2662" spans="9:14" ht="48.2" customHeight="1" x14ac:dyDescent="0.25">
      <c r="I2662" s="15"/>
      <c r="J2662" s="15"/>
      <c r="K2662" s="15"/>
      <c r="L2662" s="15"/>
      <c r="M2662" s="15"/>
      <c r="N2662" s="15"/>
    </row>
    <row r="2663" spans="9:14" ht="48.2" customHeight="1" x14ac:dyDescent="0.25">
      <c r="I2663" s="15"/>
      <c r="J2663" s="15"/>
      <c r="K2663" s="15"/>
      <c r="L2663" s="15"/>
      <c r="M2663" s="15"/>
      <c r="N2663" s="15"/>
    </row>
    <row r="2664" spans="9:14" ht="48.2" customHeight="1" x14ac:dyDescent="0.25">
      <c r="I2664" s="15"/>
      <c r="J2664" s="15"/>
      <c r="K2664" s="15"/>
      <c r="L2664" s="15"/>
      <c r="M2664" s="15"/>
      <c r="N2664" s="15"/>
    </row>
    <row r="2665" spans="9:14" ht="48.2" customHeight="1" x14ac:dyDescent="0.25">
      <c r="I2665" s="15"/>
      <c r="J2665" s="15"/>
      <c r="K2665" s="15"/>
      <c r="L2665" s="15"/>
      <c r="M2665" s="15"/>
      <c r="N2665" s="15"/>
    </row>
    <row r="2666" spans="9:14" ht="48.2" customHeight="1" x14ac:dyDescent="0.25">
      <c r="I2666" s="15"/>
      <c r="J2666" s="15"/>
      <c r="K2666" s="15"/>
      <c r="L2666" s="15"/>
      <c r="M2666" s="15"/>
      <c r="N2666" s="15"/>
    </row>
    <row r="2667" spans="9:14" ht="48.2" customHeight="1" x14ac:dyDescent="0.25">
      <c r="I2667" s="15"/>
      <c r="J2667" s="15"/>
      <c r="K2667" s="15"/>
      <c r="L2667" s="15"/>
      <c r="M2667" s="15"/>
      <c r="N2667" s="15"/>
    </row>
    <row r="2668" spans="9:14" ht="48.2" customHeight="1" x14ac:dyDescent="0.25">
      <c r="I2668" s="15"/>
      <c r="J2668" s="15"/>
      <c r="K2668" s="15"/>
      <c r="L2668" s="15"/>
      <c r="M2668" s="15"/>
      <c r="N2668" s="15"/>
    </row>
    <row r="2669" spans="9:14" ht="48.2" customHeight="1" x14ac:dyDescent="0.25">
      <c r="I2669" s="15"/>
      <c r="J2669" s="15"/>
      <c r="K2669" s="15"/>
      <c r="L2669" s="15"/>
      <c r="M2669" s="15"/>
      <c r="N2669" s="15"/>
    </row>
    <row r="2670" spans="9:14" ht="48.2" customHeight="1" x14ac:dyDescent="0.25">
      <c r="I2670" s="15"/>
      <c r="J2670" s="15"/>
      <c r="K2670" s="15"/>
      <c r="L2670" s="15"/>
      <c r="M2670" s="15"/>
      <c r="N2670" s="15"/>
    </row>
    <row r="2671" spans="9:14" ht="48.2" customHeight="1" x14ac:dyDescent="0.25">
      <c r="I2671" s="15"/>
      <c r="J2671" s="15"/>
      <c r="K2671" s="15"/>
      <c r="L2671" s="15"/>
      <c r="M2671" s="15"/>
      <c r="N2671" s="15"/>
    </row>
    <row r="2672" spans="9:14" ht="48.2" customHeight="1" x14ac:dyDescent="0.25">
      <c r="I2672" s="15"/>
      <c r="J2672" s="15"/>
      <c r="K2672" s="15"/>
      <c r="L2672" s="15"/>
      <c r="M2672" s="15"/>
      <c r="N2672" s="15"/>
    </row>
    <row r="2673" spans="9:14" ht="48.2" customHeight="1" x14ac:dyDescent="0.25">
      <c r="I2673" s="15"/>
      <c r="J2673" s="15"/>
      <c r="K2673" s="15"/>
      <c r="L2673" s="15"/>
      <c r="M2673" s="15"/>
      <c r="N2673" s="15"/>
    </row>
    <row r="2674" spans="9:14" ht="48.2" customHeight="1" x14ac:dyDescent="0.25">
      <c r="I2674" s="15"/>
      <c r="J2674" s="15"/>
      <c r="K2674" s="15"/>
      <c r="L2674" s="15"/>
      <c r="M2674" s="15"/>
      <c r="N2674" s="15"/>
    </row>
    <row r="2675" spans="9:14" ht="48.2" customHeight="1" x14ac:dyDescent="0.25">
      <c r="I2675" s="15"/>
      <c r="J2675" s="15"/>
      <c r="K2675" s="15"/>
      <c r="L2675" s="15"/>
      <c r="M2675" s="15"/>
      <c r="N2675" s="15"/>
    </row>
    <row r="2676" spans="9:14" ht="48.2" customHeight="1" x14ac:dyDescent="0.25">
      <c r="I2676" s="15"/>
      <c r="J2676" s="15"/>
      <c r="K2676" s="15"/>
      <c r="L2676" s="15"/>
      <c r="M2676" s="15"/>
      <c r="N2676" s="15"/>
    </row>
    <row r="2677" spans="9:14" ht="48.2" customHeight="1" x14ac:dyDescent="0.25">
      <c r="I2677" s="15"/>
      <c r="J2677" s="15"/>
      <c r="K2677" s="15"/>
      <c r="L2677" s="15"/>
      <c r="M2677" s="15"/>
      <c r="N2677" s="15"/>
    </row>
    <row r="2678" spans="9:14" ht="48.2" customHeight="1" x14ac:dyDescent="0.25">
      <c r="I2678" s="15"/>
      <c r="J2678" s="15"/>
      <c r="K2678" s="15"/>
      <c r="L2678" s="15"/>
      <c r="M2678" s="15"/>
      <c r="N2678" s="15"/>
    </row>
    <row r="2679" spans="9:14" ht="48.2" customHeight="1" x14ac:dyDescent="0.25">
      <c r="I2679" s="15"/>
      <c r="J2679" s="15"/>
      <c r="K2679" s="15"/>
      <c r="L2679" s="15"/>
      <c r="M2679" s="15"/>
      <c r="N2679" s="15"/>
    </row>
    <row r="2680" spans="9:14" ht="48.2" customHeight="1" x14ac:dyDescent="0.25">
      <c r="I2680" s="15"/>
      <c r="J2680" s="15"/>
      <c r="K2680" s="15"/>
      <c r="L2680" s="15"/>
      <c r="M2680" s="15"/>
      <c r="N2680" s="15"/>
    </row>
    <row r="2681" spans="9:14" ht="48.2" customHeight="1" x14ac:dyDescent="0.25">
      <c r="I2681" s="15"/>
      <c r="J2681" s="15"/>
      <c r="K2681" s="15"/>
      <c r="L2681" s="15"/>
      <c r="M2681" s="15"/>
      <c r="N2681" s="15"/>
    </row>
    <row r="2682" spans="9:14" ht="48.2" customHeight="1" x14ac:dyDescent="0.25">
      <c r="I2682" s="15"/>
      <c r="J2682" s="15"/>
      <c r="K2682" s="15"/>
      <c r="L2682" s="15"/>
      <c r="M2682" s="15"/>
      <c r="N2682" s="15"/>
    </row>
    <row r="2683" spans="9:14" ht="48.2" customHeight="1" x14ac:dyDescent="0.25">
      <c r="I2683" s="15"/>
      <c r="J2683" s="15"/>
      <c r="K2683" s="15"/>
      <c r="L2683" s="15"/>
      <c r="M2683" s="15"/>
      <c r="N2683" s="15"/>
    </row>
    <row r="2684" spans="9:14" ht="48.2" customHeight="1" x14ac:dyDescent="0.25">
      <c r="I2684" s="15"/>
      <c r="J2684" s="15"/>
      <c r="K2684" s="15"/>
      <c r="L2684" s="15"/>
      <c r="M2684" s="15"/>
      <c r="N2684" s="15"/>
    </row>
    <row r="2685" spans="9:14" ht="48.2" customHeight="1" x14ac:dyDescent="0.25">
      <c r="I2685" s="15"/>
      <c r="J2685" s="15"/>
      <c r="K2685" s="15"/>
      <c r="L2685" s="15"/>
      <c r="M2685" s="15"/>
      <c r="N2685" s="15"/>
    </row>
    <row r="2686" spans="9:14" ht="48.2" customHeight="1" x14ac:dyDescent="0.25">
      <c r="I2686" s="15"/>
      <c r="J2686" s="15"/>
      <c r="K2686" s="15"/>
      <c r="L2686" s="15"/>
      <c r="M2686" s="15"/>
      <c r="N2686" s="15"/>
    </row>
    <row r="2687" spans="9:14" ht="48.2" customHeight="1" x14ac:dyDescent="0.25">
      <c r="I2687" s="15"/>
      <c r="J2687" s="15"/>
      <c r="K2687" s="15"/>
      <c r="L2687" s="15"/>
      <c r="M2687" s="15"/>
      <c r="N2687" s="15"/>
    </row>
    <row r="2688" spans="9:14" ht="48.2" customHeight="1" x14ac:dyDescent="0.25">
      <c r="I2688" s="15"/>
      <c r="J2688" s="15"/>
      <c r="K2688" s="15"/>
      <c r="L2688" s="15"/>
      <c r="M2688" s="15"/>
      <c r="N2688" s="15"/>
    </row>
    <row r="2689" spans="9:14" ht="48.2" customHeight="1" x14ac:dyDescent="0.25">
      <c r="I2689" s="15"/>
      <c r="J2689" s="15"/>
      <c r="K2689" s="15"/>
      <c r="L2689" s="15"/>
      <c r="M2689" s="15"/>
      <c r="N2689" s="15"/>
    </row>
    <row r="2690" spans="9:14" ht="48.2" customHeight="1" x14ac:dyDescent="0.25">
      <c r="I2690" s="15"/>
      <c r="J2690" s="15"/>
      <c r="K2690" s="15"/>
      <c r="L2690" s="15"/>
      <c r="M2690" s="15"/>
      <c r="N2690" s="15"/>
    </row>
    <row r="2691" spans="9:14" ht="48.2" customHeight="1" x14ac:dyDescent="0.25">
      <c r="I2691" s="15"/>
      <c r="J2691" s="15"/>
      <c r="K2691" s="15"/>
      <c r="L2691" s="15"/>
      <c r="M2691" s="15"/>
      <c r="N2691" s="15"/>
    </row>
    <row r="2692" spans="9:14" ht="48.2" customHeight="1" x14ac:dyDescent="0.25">
      <c r="I2692" s="15"/>
      <c r="J2692" s="15"/>
      <c r="K2692" s="15"/>
      <c r="L2692" s="15"/>
      <c r="M2692" s="15"/>
      <c r="N2692" s="15"/>
    </row>
    <row r="2693" spans="9:14" ht="48.2" customHeight="1" x14ac:dyDescent="0.25">
      <c r="I2693" s="15"/>
      <c r="J2693" s="15"/>
      <c r="K2693" s="15"/>
      <c r="L2693" s="15"/>
      <c r="M2693" s="15"/>
      <c r="N2693" s="15"/>
    </row>
    <row r="2694" spans="9:14" ht="48.2" customHeight="1" x14ac:dyDescent="0.25">
      <c r="I2694" s="15"/>
      <c r="J2694" s="15"/>
      <c r="K2694" s="15"/>
      <c r="L2694" s="15"/>
      <c r="M2694" s="15"/>
      <c r="N2694" s="15"/>
    </row>
    <row r="2695" spans="9:14" ht="48.2" customHeight="1" x14ac:dyDescent="0.25">
      <c r="I2695" s="15"/>
      <c r="J2695" s="15"/>
      <c r="K2695" s="15"/>
      <c r="L2695" s="15"/>
      <c r="M2695" s="15"/>
      <c r="N2695" s="15"/>
    </row>
    <row r="2696" spans="9:14" ht="48.2" customHeight="1" x14ac:dyDescent="0.25">
      <c r="I2696" s="15"/>
      <c r="J2696" s="15"/>
      <c r="K2696" s="15"/>
      <c r="L2696" s="15"/>
      <c r="M2696" s="15"/>
      <c r="N2696" s="15"/>
    </row>
    <row r="2697" spans="9:14" ht="48.2" customHeight="1" x14ac:dyDescent="0.25">
      <c r="I2697" s="15"/>
      <c r="J2697" s="15"/>
      <c r="K2697" s="15"/>
      <c r="L2697" s="15"/>
      <c r="M2697" s="15"/>
      <c r="N2697" s="15"/>
    </row>
    <row r="2698" spans="9:14" ht="48.2" customHeight="1" x14ac:dyDescent="0.25">
      <c r="I2698" s="15"/>
      <c r="J2698" s="15"/>
      <c r="K2698" s="15"/>
      <c r="L2698" s="15"/>
      <c r="M2698" s="15"/>
      <c r="N2698" s="15"/>
    </row>
    <row r="2699" spans="9:14" ht="48.2" customHeight="1" x14ac:dyDescent="0.25">
      <c r="I2699" s="15"/>
      <c r="J2699" s="15"/>
      <c r="K2699" s="15"/>
      <c r="L2699" s="15"/>
      <c r="M2699" s="15"/>
      <c r="N2699" s="15"/>
    </row>
    <row r="2700" spans="9:14" ht="48.2" customHeight="1" x14ac:dyDescent="0.25">
      <c r="I2700" s="15"/>
      <c r="J2700" s="15"/>
      <c r="K2700" s="15"/>
      <c r="L2700" s="15"/>
      <c r="M2700" s="15"/>
      <c r="N2700" s="15"/>
    </row>
    <row r="2701" spans="9:14" ht="48.2" customHeight="1" x14ac:dyDescent="0.25">
      <c r="I2701" s="15"/>
      <c r="J2701" s="15"/>
      <c r="K2701" s="15"/>
      <c r="L2701" s="15"/>
      <c r="M2701" s="15"/>
      <c r="N2701" s="15"/>
    </row>
    <row r="2702" spans="9:14" ht="48.2" customHeight="1" x14ac:dyDescent="0.25">
      <c r="I2702" s="15"/>
      <c r="J2702" s="15"/>
      <c r="K2702" s="15"/>
      <c r="L2702" s="15"/>
      <c r="M2702" s="15"/>
      <c r="N2702" s="15"/>
    </row>
    <row r="2703" spans="9:14" ht="48.2" customHeight="1" x14ac:dyDescent="0.25">
      <c r="I2703" s="15"/>
      <c r="J2703" s="15"/>
      <c r="K2703" s="15"/>
      <c r="L2703" s="15"/>
      <c r="M2703" s="15"/>
      <c r="N2703" s="15"/>
    </row>
    <row r="2704" spans="9:14" ht="48.2" customHeight="1" x14ac:dyDescent="0.25">
      <c r="I2704" s="15"/>
      <c r="J2704" s="15"/>
      <c r="K2704" s="15"/>
      <c r="L2704" s="15"/>
      <c r="M2704" s="15"/>
      <c r="N2704" s="15"/>
    </row>
    <row r="2705" spans="9:14" ht="48.2" customHeight="1" x14ac:dyDescent="0.25">
      <c r="I2705" s="15"/>
      <c r="J2705" s="15"/>
      <c r="K2705" s="15"/>
      <c r="L2705" s="15"/>
      <c r="M2705" s="15"/>
      <c r="N2705" s="15"/>
    </row>
    <row r="2706" spans="9:14" ht="48.2" customHeight="1" x14ac:dyDescent="0.25">
      <c r="I2706" s="15"/>
      <c r="J2706" s="15"/>
      <c r="K2706" s="15"/>
      <c r="L2706" s="15"/>
      <c r="M2706" s="15"/>
      <c r="N2706" s="15"/>
    </row>
    <row r="2707" spans="9:14" ht="48.2" customHeight="1" x14ac:dyDescent="0.25">
      <c r="I2707" s="15"/>
      <c r="J2707" s="15"/>
      <c r="K2707" s="15"/>
      <c r="L2707" s="15"/>
      <c r="M2707" s="15"/>
      <c r="N2707" s="15"/>
    </row>
    <row r="2708" spans="9:14" ht="48.2" customHeight="1" x14ac:dyDescent="0.25">
      <c r="I2708" s="15"/>
      <c r="J2708" s="15"/>
      <c r="K2708" s="15"/>
      <c r="L2708" s="15"/>
      <c r="M2708" s="15"/>
      <c r="N2708" s="15"/>
    </row>
    <row r="2709" spans="9:14" ht="48.2" customHeight="1" x14ac:dyDescent="0.25">
      <c r="I2709" s="15"/>
      <c r="J2709" s="15"/>
      <c r="K2709" s="15"/>
      <c r="L2709" s="15"/>
      <c r="M2709" s="15"/>
      <c r="N2709" s="15"/>
    </row>
    <row r="2710" spans="9:14" ht="48.2" customHeight="1" x14ac:dyDescent="0.25">
      <c r="I2710" s="15"/>
      <c r="J2710" s="15"/>
      <c r="K2710" s="15"/>
      <c r="L2710" s="15"/>
      <c r="M2710" s="15"/>
      <c r="N2710" s="15"/>
    </row>
    <row r="2711" spans="9:14" ht="48.2" customHeight="1" x14ac:dyDescent="0.25">
      <c r="I2711" s="15"/>
      <c r="J2711" s="15"/>
      <c r="K2711" s="15"/>
      <c r="L2711" s="15"/>
      <c r="M2711" s="15"/>
      <c r="N2711" s="15"/>
    </row>
    <row r="2712" spans="9:14" ht="48.2" customHeight="1" x14ac:dyDescent="0.25">
      <c r="I2712" s="15"/>
      <c r="J2712" s="15"/>
      <c r="K2712" s="15"/>
      <c r="L2712" s="15"/>
      <c r="M2712" s="15"/>
      <c r="N2712" s="15"/>
    </row>
    <row r="2713" spans="9:14" ht="48.2" customHeight="1" x14ac:dyDescent="0.25">
      <c r="I2713" s="15"/>
      <c r="J2713" s="15"/>
      <c r="K2713" s="15"/>
      <c r="L2713" s="15"/>
      <c r="M2713" s="15"/>
      <c r="N2713" s="15"/>
    </row>
    <row r="2714" spans="9:14" ht="48.2" customHeight="1" x14ac:dyDescent="0.25">
      <c r="I2714" s="15"/>
      <c r="J2714" s="15"/>
      <c r="K2714" s="15"/>
      <c r="L2714" s="15"/>
      <c r="M2714" s="15"/>
      <c r="N2714" s="15"/>
    </row>
    <row r="2715" spans="9:14" ht="48.2" customHeight="1" x14ac:dyDescent="0.25">
      <c r="I2715" s="15"/>
      <c r="J2715" s="15"/>
      <c r="K2715" s="15"/>
      <c r="L2715" s="15"/>
      <c r="M2715" s="15"/>
      <c r="N2715" s="15"/>
    </row>
    <row r="2716" spans="9:14" ht="48.2" customHeight="1" x14ac:dyDescent="0.25">
      <c r="I2716" s="15"/>
      <c r="J2716" s="15"/>
      <c r="K2716" s="15"/>
      <c r="L2716" s="15"/>
      <c r="M2716" s="15"/>
      <c r="N2716" s="15"/>
    </row>
    <row r="2717" spans="9:14" ht="48.2" customHeight="1" x14ac:dyDescent="0.25">
      <c r="I2717" s="15"/>
      <c r="J2717" s="15"/>
      <c r="K2717" s="15"/>
      <c r="L2717" s="15"/>
      <c r="M2717" s="15"/>
      <c r="N2717" s="15"/>
    </row>
    <row r="2718" spans="9:14" ht="48.2" customHeight="1" x14ac:dyDescent="0.25">
      <c r="I2718" s="15"/>
      <c r="J2718" s="15"/>
      <c r="K2718" s="15"/>
      <c r="L2718" s="15"/>
      <c r="M2718" s="15"/>
      <c r="N2718" s="15"/>
    </row>
    <row r="2719" spans="9:14" ht="48.2" customHeight="1" x14ac:dyDescent="0.25">
      <c r="I2719" s="15"/>
      <c r="J2719" s="15"/>
      <c r="K2719" s="15"/>
      <c r="L2719" s="15"/>
      <c r="M2719" s="15"/>
      <c r="N2719" s="15"/>
    </row>
    <row r="2720" spans="9:14" ht="48.2" customHeight="1" x14ac:dyDescent="0.25">
      <c r="I2720" s="15"/>
      <c r="J2720" s="15"/>
      <c r="K2720" s="15"/>
      <c r="L2720" s="15"/>
      <c r="M2720" s="15"/>
      <c r="N2720" s="15"/>
    </row>
    <row r="2721" spans="9:14" ht="48.2" customHeight="1" x14ac:dyDescent="0.25">
      <c r="I2721" s="15"/>
      <c r="J2721" s="15"/>
      <c r="K2721" s="15"/>
      <c r="L2721" s="15"/>
      <c r="M2721" s="15"/>
      <c r="N2721" s="15"/>
    </row>
    <row r="2722" spans="9:14" ht="48.2" customHeight="1" x14ac:dyDescent="0.25">
      <c r="I2722" s="15"/>
      <c r="J2722" s="15"/>
      <c r="K2722" s="15"/>
      <c r="L2722" s="15"/>
      <c r="M2722" s="15"/>
      <c r="N2722" s="15"/>
    </row>
    <row r="2723" spans="9:14" ht="48.2" customHeight="1" x14ac:dyDescent="0.25">
      <c r="I2723" s="15"/>
      <c r="J2723" s="15"/>
      <c r="K2723" s="15"/>
      <c r="L2723" s="15"/>
      <c r="M2723" s="15"/>
      <c r="N2723" s="15"/>
    </row>
    <row r="2724" spans="9:14" ht="48.2" customHeight="1" x14ac:dyDescent="0.25">
      <c r="I2724" s="15"/>
      <c r="J2724" s="15"/>
      <c r="K2724" s="15"/>
      <c r="L2724" s="15"/>
      <c r="M2724" s="15"/>
      <c r="N2724" s="15"/>
    </row>
    <row r="2725" spans="9:14" ht="48.2" customHeight="1" x14ac:dyDescent="0.25">
      <c r="I2725" s="15"/>
      <c r="J2725" s="15"/>
      <c r="K2725" s="15"/>
      <c r="L2725" s="15"/>
      <c r="M2725" s="15"/>
      <c r="N2725" s="15"/>
    </row>
    <row r="2726" spans="9:14" ht="48.2" customHeight="1" x14ac:dyDescent="0.25">
      <c r="I2726" s="15"/>
      <c r="J2726" s="15"/>
      <c r="K2726" s="15"/>
      <c r="L2726" s="15"/>
      <c r="M2726" s="15"/>
      <c r="N2726" s="15"/>
    </row>
    <row r="2727" spans="9:14" ht="48.2" customHeight="1" x14ac:dyDescent="0.25">
      <c r="I2727" s="15"/>
      <c r="J2727" s="15"/>
      <c r="K2727" s="15"/>
      <c r="L2727" s="15"/>
      <c r="M2727" s="15"/>
      <c r="N2727" s="15"/>
    </row>
    <row r="2728" spans="9:14" ht="48.2" customHeight="1" x14ac:dyDescent="0.25">
      <c r="I2728" s="15"/>
      <c r="J2728" s="15"/>
      <c r="K2728" s="15"/>
      <c r="L2728" s="15"/>
      <c r="M2728" s="15"/>
      <c r="N2728" s="15"/>
    </row>
    <row r="2729" spans="9:14" ht="48.2" customHeight="1" x14ac:dyDescent="0.25">
      <c r="I2729" s="15"/>
      <c r="J2729" s="15"/>
      <c r="K2729" s="15"/>
      <c r="L2729" s="15"/>
      <c r="M2729" s="15"/>
      <c r="N2729" s="15"/>
    </row>
    <row r="2730" spans="9:14" ht="48.2" customHeight="1" x14ac:dyDescent="0.25">
      <c r="I2730" s="15"/>
      <c r="J2730" s="15"/>
      <c r="K2730" s="15"/>
      <c r="L2730" s="15"/>
      <c r="M2730" s="15"/>
      <c r="N2730" s="15"/>
    </row>
    <row r="2731" spans="9:14" ht="48.2" customHeight="1" x14ac:dyDescent="0.25">
      <c r="I2731" s="15"/>
      <c r="J2731" s="15"/>
      <c r="K2731" s="15"/>
      <c r="L2731" s="15"/>
      <c r="M2731" s="15"/>
      <c r="N2731" s="15"/>
    </row>
    <row r="2732" spans="9:14" ht="48.2" customHeight="1" x14ac:dyDescent="0.25">
      <c r="I2732" s="15"/>
      <c r="J2732" s="15"/>
      <c r="K2732" s="15"/>
      <c r="L2732" s="15"/>
      <c r="M2732" s="15"/>
      <c r="N2732" s="15"/>
    </row>
    <row r="2733" spans="9:14" ht="48.2" customHeight="1" x14ac:dyDescent="0.25">
      <c r="I2733" s="15"/>
      <c r="J2733" s="15"/>
      <c r="K2733" s="15"/>
      <c r="L2733" s="15"/>
      <c r="M2733" s="15"/>
      <c r="N2733" s="15"/>
    </row>
    <row r="2734" spans="9:14" ht="48.2" customHeight="1" x14ac:dyDescent="0.25">
      <c r="I2734" s="15"/>
      <c r="J2734" s="15"/>
      <c r="K2734" s="15"/>
      <c r="L2734" s="15"/>
      <c r="M2734" s="15"/>
      <c r="N2734" s="15"/>
    </row>
    <row r="2735" spans="9:14" ht="48.2" customHeight="1" x14ac:dyDescent="0.25">
      <c r="I2735" s="15"/>
      <c r="J2735" s="15"/>
      <c r="K2735" s="15"/>
      <c r="L2735" s="15"/>
      <c r="M2735" s="15"/>
      <c r="N2735" s="15"/>
    </row>
    <row r="2736" spans="9:14" ht="48.2" customHeight="1" x14ac:dyDescent="0.25">
      <c r="I2736" s="15"/>
      <c r="J2736" s="15"/>
      <c r="K2736" s="15"/>
      <c r="L2736" s="15"/>
      <c r="M2736" s="15"/>
      <c r="N2736" s="15"/>
    </row>
    <row r="2737" spans="9:14" ht="48.2" customHeight="1" x14ac:dyDescent="0.25">
      <c r="I2737" s="15"/>
      <c r="J2737" s="15"/>
      <c r="K2737" s="15"/>
      <c r="L2737" s="15"/>
      <c r="M2737" s="15"/>
      <c r="N2737" s="15"/>
    </row>
    <row r="2738" spans="9:14" ht="48.2" customHeight="1" x14ac:dyDescent="0.25">
      <c r="I2738" s="15"/>
      <c r="J2738" s="15"/>
      <c r="K2738" s="15"/>
      <c r="L2738" s="15"/>
      <c r="M2738" s="15"/>
      <c r="N2738" s="15"/>
    </row>
    <row r="2739" spans="9:14" ht="48.2" customHeight="1" x14ac:dyDescent="0.25">
      <c r="I2739" s="15"/>
      <c r="J2739" s="15"/>
      <c r="K2739" s="15"/>
      <c r="L2739" s="15"/>
      <c r="M2739" s="15"/>
      <c r="N2739" s="15"/>
    </row>
    <row r="2740" spans="9:14" ht="48.2" customHeight="1" x14ac:dyDescent="0.25">
      <c r="I2740" s="15"/>
      <c r="J2740" s="15"/>
      <c r="K2740" s="15"/>
      <c r="L2740" s="15"/>
      <c r="M2740" s="15"/>
      <c r="N2740" s="15"/>
    </row>
    <row r="2741" spans="9:14" ht="48.2" customHeight="1" x14ac:dyDescent="0.25">
      <c r="I2741" s="15"/>
      <c r="J2741" s="15"/>
      <c r="K2741" s="15"/>
      <c r="L2741" s="15"/>
      <c r="M2741" s="15"/>
      <c r="N2741" s="15"/>
    </row>
    <row r="2742" spans="9:14" ht="48.2" customHeight="1" x14ac:dyDescent="0.25">
      <c r="I2742" s="15"/>
      <c r="J2742" s="15"/>
      <c r="K2742" s="15"/>
      <c r="L2742" s="15"/>
      <c r="M2742" s="15"/>
      <c r="N2742" s="15"/>
    </row>
    <row r="2743" spans="9:14" ht="48.2" customHeight="1" x14ac:dyDescent="0.25">
      <c r="I2743" s="15"/>
      <c r="J2743" s="15"/>
      <c r="K2743" s="15"/>
      <c r="L2743" s="15"/>
      <c r="M2743" s="15"/>
      <c r="N2743" s="15"/>
    </row>
    <row r="2744" spans="9:14" ht="48.2" customHeight="1" x14ac:dyDescent="0.25">
      <c r="I2744" s="15"/>
      <c r="J2744" s="15"/>
      <c r="K2744" s="15"/>
      <c r="L2744" s="15"/>
      <c r="M2744" s="15"/>
      <c r="N2744" s="15"/>
    </row>
    <row r="2745" spans="9:14" ht="48.2" customHeight="1" x14ac:dyDescent="0.25">
      <c r="I2745" s="15"/>
      <c r="J2745" s="15"/>
      <c r="K2745" s="15"/>
      <c r="L2745" s="15"/>
      <c r="M2745" s="15"/>
      <c r="N2745" s="15"/>
    </row>
    <row r="2746" spans="9:14" ht="48.2" customHeight="1" x14ac:dyDescent="0.25">
      <c r="I2746" s="15"/>
      <c r="J2746" s="15"/>
      <c r="K2746" s="15"/>
      <c r="L2746" s="15"/>
      <c r="M2746" s="15"/>
      <c r="N2746" s="15"/>
    </row>
    <row r="2747" spans="9:14" ht="48.2" customHeight="1" x14ac:dyDescent="0.25">
      <c r="I2747" s="15"/>
      <c r="J2747" s="15"/>
      <c r="K2747" s="15"/>
      <c r="L2747" s="15"/>
      <c r="M2747" s="15"/>
      <c r="N2747" s="15"/>
    </row>
    <row r="2748" spans="9:14" ht="48.2" customHeight="1" x14ac:dyDescent="0.25">
      <c r="I2748" s="15"/>
      <c r="J2748" s="15"/>
      <c r="K2748" s="15"/>
      <c r="L2748" s="15"/>
      <c r="M2748" s="15"/>
      <c r="N2748" s="15"/>
    </row>
    <row r="2749" spans="9:14" ht="48.2" customHeight="1" x14ac:dyDescent="0.25">
      <c r="I2749" s="15"/>
      <c r="J2749" s="15"/>
      <c r="K2749" s="15"/>
      <c r="L2749" s="15"/>
      <c r="M2749" s="15"/>
      <c r="N2749" s="15"/>
    </row>
    <row r="2750" spans="9:14" ht="48.2" customHeight="1" x14ac:dyDescent="0.25">
      <c r="I2750" s="15"/>
      <c r="J2750" s="15"/>
      <c r="K2750" s="15"/>
      <c r="L2750" s="15"/>
      <c r="M2750" s="15"/>
      <c r="N2750" s="15"/>
    </row>
    <row r="2751" spans="9:14" ht="48.2" customHeight="1" x14ac:dyDescent="0.25">
      <c r="I2751" s="15"/>
      <c r="J2751" s="15"/>
      <c r="K2751" s="15"/>
      <c r="L2751" s="15"/>
      <c r="M2751" s="15"/>
      <c r="N2751" s="15"/>
    </row>
    <row r="2752" spans="9:14" ht="48.2" customHeight="1" x14ac:dyDescent="0.25">
      <c r="I2752" s="15"/>
      <c r="J2752" s="15"/>
      <c r="K2752" s="15"/>
      <c r="L2752" s="15"/>
      <c r="M2752" s="15"/>
      <c r="N2752" s="15"/>
    </row>
    <row r="2753" spans="9:14" ht="48.2" customHeight="1" x14ac:dyDescent="0.25">
      <c r="I2753" s="15"/>
      <c r="J2753" s="15"/>
      <c r="K2753" s="15"/>
      <c r="L2753" s="15"/>
      <c r="M2753" s="15"/>
      <c r="N2753" s="15"/>
    </row>
    <row r="2754" spans="9:14" ht="48.2" customHeight="1" x14ac:dyDescent="0.25">
      <c r="I2754" s="15"/>
      <c r="J2754" s="15"/>
      <c r="K2754" s="15"/>
      <c r="L2754" s="15"/>
      <c r="M2754" s="15"/>
      <c r="N2754" s="15"/>
    </row>
    <row r="2755" spans="9:14" ht="48.2" customHeight="1" x14ac:dyDescent="0.25">
      <c r="I2755" s="15"/>
      <c r="J2755" s="15"/>
      <c r="K2755" s="15"/>
      <c r="L2755" s="15"/>
      <c r="M2755" s="15"/>
      <c r="N2755" s="15"/>
    </row>
    <row r="2756" spans="9:14" ht="48.2" customHeight="1" x14ac:dyDescent="0.25">
      <c r="I2756" s="15"/>
      <c r="J2756" s="15"/>
      <c r="K2756" s="15"/>
      <c r="L2756" s="15"/>
      <c r="M2756" s="15"/>
      <c r="N2756" s="15"/>
    </row>
    <row r="2757" spans="9:14" ht="48.2" customHeight="1" x14ac:dyDescent="0.25">
      <c r="I2757" s="15"/>
      <c r="J2757" s="15"/>
      <c r="K2757" s="15"/>
      <c r="L2757" s="15"/>
      <c r="M2757" s="15"/>
      <c r="N2757" s="15"/>
    </row>
    <row r="2758" spans="9:14" ht="48.2" customHeight="1" x14ac:dyDescent="0.25">
      <c r="I2758" s="15"/>
      <c r="J2758" s="15"/>
      <c r="K2758" s="15"/>
      <c r="L2758" s="15"/>
      <c r="M2758" s="15"/>
      <c r="N2758" s="15"/>
    </row>
    <row r="2759" spans="9:14" ht="48.2" customHeight="1" x14ac:dyDescent="0.25">
      <c r="I2759" s="15"/>
      <c r="J2759" s="15"/>
      <c r="K2759" s="15"/>
      <c r="L2759" s="15"/>
      <c r="M2759" s="15"/>
      <c r="N2759" s="15"/>
    </row>
    <row r="2760" spans="9:14" ht="48.2" customHeight="1" x14ac:dyDescent="0.25">
      <c r="I2760" s="15"/>
      <c r="J2760" s="15"/>
      <c r="K2760" s="15"/>
      <c r="L2760" s="15"/>
      <c r="M2760" s="15"/>
      <c r="N2760" s="15"/>
    </row>
    <row r="2761" spans="9:14" ht="48.2" customHeight="1" x14ac:dyDescent="0.25">
      <c r="I2761" s="15"/>
      <c r="J2761" s="15"/>
      <c r="K2761" s="15"/>
      <c r="L2761" s="15"/>
      <c r="M2761" s="15"/>
      <c r="N2761" s="15"/>
    </row>
    <row r="2762" spans="9:14" ht="48.2" customHeight="1" x14ac:dyDescent="0.25">
      <c r="I2762" s="15"/>
      <c r="J2762" s="15"/>
      <c r="K2762" s="15"/>
      <c r="L2762" s="15"/>
      <c r="M2762" s="15"/>
      <c r="N2762" s="15"/>
    </row>
    <row r="2763" spans="9:14" ht="48.2" customHeight="1" x14ac:dyDescent="0.25">
      <c r="I2763" s="15"/>
      <c r="J2763" s="15"/>
      <c r="K2763" s="15"/>
      <c r="L2763" s="15"/>
      <c r="M2763" s="15"/>
      <c r="N2763" s="15"/>
    </row>
    <row r="2764" spans="9:14" ht="48.2" customHeight="1" x14ac:dyDescent="0.25">
      <c r="I2764" s="15"/>
      <c r="J2764" s="15"/>
      <c r="K2764" s="15"/>
      <c r="L2764" s="15"/>
      <c r="M2764" s="15"/>
      <c r="N2764" s="15"/>
    </row>
    <row r="2765" spans="9:14" ht="48.2" customHeight="1" x14ac:dyDescent="0.25">
      <c r="I2765" s="15"/>
      <c r="J2765" s="15"/>
      <c r="K2765" s="15"/>
      <c r="L2765" s="15"/>
      <c r="M2765" s="15"/>
      <c r="N2765" s="15"/>
    </row>
    <row r="2766" spans="9:14" ht="48.2" customHeight="1" x14ac:dyDescent="0.25">
      <c r="I2766" s="15"/>
      <c r="J2766" s="15"/>
      <c r="K2766" s="15"/>
      <c r="L2766" s="15"/>
      <c r="M2766" s="15"/>
      <c r="N2766" s="15"/>
    </row>
    <row r="2767" spans="9:14" ht="48.2" customHeight="1" x14ac:dyDescent="0.25">
      <c r="I2767" s="15"/>
      <c r="J2767" s="15"/>
      <c r="K2767" s="15"/>
      <c r="L2767" s="15"/>
      <c r="M2767" s="15"/>
      <c r="N2767" s="15"/>
    </row>
    <row r="2768" spans="9:14" ht="48.2" customHeight="1" x14ac:dyDescent="0.25">
      <c r="I2768" s="15"/>
      <c r="J2768" s="15"/>
      <c r="K2768" s="15"/>
      <c r="L2768" s="15"/>
      <c r="M2768" s="15"/>
      <c r="N2768" s="15"/>
    </row>
    <row r="2769" spans="9:14" ht="48.2" customHeight="1" x14ac:dyDescent="0.25">
      <c r="I2769" s="15"/>
      <c r="J2769" s="15"/>
      <c r="K2769" s="15"/>
      <c r="L2769" s="15"/>
      <c r="M2769" s="15"/>
      <c r="N2769" s="15"/>
    </row>
    <row r="2770" spans="9:14" ht="48.2" customHeight="1" x14ac:dyDescent="0.25">
      <c r="I2770" s="15"/>
      <c r="J2770" s="15"/>
      <c r="K2770" s="15"/>
      <c r="L2770" s="15"/>
      <c r="M2770" s="15"/>
      <c r="N2770" s="15"/>
    </row>
    <row r="2771" spans="9:14" ht="48.2" customHeight="1" x14ac:dyDescent="0.25">
      <c r="I2771" s="15"/>
      <c r="J2771" s="15"/>
      <c r="K2771" s="15"/>
      <c r="L2771" s="15"/>
      <c r="M2771" s="15"/>
      <c r="N2771" s="15"/>
    </row>
    <row r="2772" spans="9:14" ht="48.2" customHeight="1" x14ac:dyDescent="0.25">
      <c r="I2772" s="15"/>
      <c r="J2772" s="15"/>
      <c r="K2772" s="15"/>
      <c r="L2772" s="15"/>
      <c r="M2772" s="15"/>
      <c r="N2772" s="15"/>
    </row>
    <row r="2773" spans="9:14" ht="48.2" customHeight="1" x14ac:dyDescent="0.25">
      <c r="I2773" s="15"/>
      <c r="J2773" s="15"/>
      <c r="K2773" s="15"/>
      <c r="L2773" s="15"/>
      <c r="M2773" s="15"/>
      <c r="N2773" s="15"/>
    </row>
    <row r="2774" spans="9:14" ht="48.2" customHeight="1" x14ac:dyDescent="0.25">
      <c r="I2774" s="15"/>
      <c r="J2774" s="15"/>
      <c r="K2774" s="15"/>
      <c r="L2774" s="15"/>
      <c r="M2774" s="15"/>
      <c r="N2774" s="15"/>
    </row>
    <row r="2775" spans="9:14" ht="48.2" customHeight="1" x14ac:dyDescent="0.25">
      <c r="I2775" s="15"/>
      <c r="J2775" s="15"/>
      <c r="K2775" s="15"/>
      <c r="L2775" s="15"/>
      <c r="M2775" s="15"/>
      <c r="N2775" s="15"/>
    </row>
    <row r="2776" spans="9:14" ht="48.2" customHeight="1" x14ac:dyDescent="0.25">
      <c r="I2776" s="15"/>
      <c r="J2776" s="15"/>
      <c r="K2776" s="15"/>
      <c r="L2776" s="15"/>
      <c r="M2776" s="15"/>
      <c r="N2776" s="15"/>
    </row>
    <row r="2777" spans="9:14" ht="48.2" customHeight="1" x14ac:dyDescent="0.25">
      <c r="I2777" s="15"/>
      <c r="J2777" s="15"/>
      <c r="K2777" s="15"/>
      <c r="L2777" s="15"/>
      <c r="M2777" s="15"/>
      <c r="N2777" s="15"/>
    </row>
    <row r="2778" spans="9:14" ht="48.2" customHeight="1" x14ac:dyDescent="0.25">
      <c r="I2778" s="15"/>
      <c r="J2778" s="15"/>
      <c r="K2778" s="15"/>
      <c r="L2778" s="15"/>
      <c r="M2778" s="15"/>
      <c r="N2778" s="15"/>
    </row>
    <row r="2779" spans="9:14" ht="48.2" customHeight="1" x14ac:dyDescent="0.25">
      <c r="I2779" s="15"/>
      <c r="J2779" s="15"/>
      <c r="K2779" s="15"/>
      <c r="L2779" s="15"/>
      <c r="M2779" s="15"/>
      <c r="N2779" s="15"/>
    </row>
    <row r="2780" spans="9:14" ht="48.2" customHeight="1" x14ac:dyDescent="0.25">
      <c r="I2780" s="15"/>
      <c r="J2780" s="15"/>
      <c r="K2780" s="15"/>
      <c r="L2780" s="15"/>
      <c r="M2780" s="15"/>
      <c r="N2780" s="15"/>
    </row>
    <row r="2781" spans="9:14" ht="48.2" customHeight="1" x14ac:dyDescent="0.25">
      <c r="I2781" s="15"/>
      <c r="J2781" s="15"/>
      <c r="K2781" s="15"/>
      <c r="L2781" s="15"/>
      <c r="M2781" s="15"/>
      <c r="N2781" s="15"/>
    </row>
    <row r="2782" spans="9:14" ht="48.2" customHeight="1" x14ac:dyDescent="0.25">
      <c r="I2782" s="15"/>
      <c r="J2782" s="15"/>
      <c r="K2782" s="15"/>
      <c r="L2782" s="15"/>
      <c r="M2782" s="15"/>
      <c r="N2782" s="15"/>
    </row>
    <row r="2783" spans="9:14" ht="48.2" customHeight="1" x14ac:dyDescent="0.25">
      <c r="I2783" s="15"/>
      <c r="J2783" s="15"/>
      <c r="K2783" s="15"/>
      <c r="L2783" s="15"/>
      <c r="M2783" s="15"/>
      <c r="N2783" s="15"/>
    </row>
    <row r="2784" spans="9:14" ht="48.2" customHeight="1" x14ac:dyDescent="0.25">
      <c r="I2784" s="15"/>
      <c r="J2784" s="15"/>
      <c r="K2784" s="15"/>
      <c r="L2784" s="15"/>
      <c r="M2784" s="15"/>
      <c r="N2784" s="15"/>
    </row>
    <row r="2785" spans="9:14" ht="48.2" customHeight="1" x14ac:dyDescent="0.25">
      <c r="I2785" s="15"/>
      <c r="J2785" s="15"/>
      <c r="K2785" s="15"/>
      <c r="L2785" s="15"/>
      <c r="M2785" s="15"/>
      <c r="N2785" s="15"/>
    </row>
    <row r="2786" spans="9:14" ht="48.2" customHeight="1" x14ac:dyDescent="0.25">
      <c r="I2786" s="15"/>
      <c r="J2786" s="15"/>
      <c r="K2786" s="15"/>
      <c r="L2786" s="15"/>
      <c r="M2786" s="15"/>
      <c r="N2786" s="15"/>
    </row>
    <row r="2787" spans="9:14" ht="48.2" customHeight="1" x14ac:dyDescent="0.25">
      <c r="I2787" s="15"/>
      <c r="J2787" s="15"/>
      <c r="K2787" s="15"/>
      <c r="L2787" s="15"/>
      <c r="M2787" s="15"/>
      <c r="N2787" s="15"/>
    </row>
    <row r="2788" spans="9:14" ht="48.2" customHeight="1" x14ac:dyDescent="0.25">
      <c r="I2788" s="15"/>
      <c r="J2788" s="15"/>
      <c r="K2788" s="15"/>
      <c r="L2788" s="15"/>
      <c r="M2788" s="15"/>
      <c r="N2788" s="15"/>
    </row>
    <row r="2789" spans="9:14" ht="48.2" customHeight="1" x14ac:dyDescent="0.25">
      <c r="I2789" s="15"/>
      <c r="J2789" s="15"/>
      <c r="K2789" s="15"/>
      <c r="L2789" s="15"/>
      <c r="M2789" s="15"/>
      <c r="N2789" s="15"/>
    </row>
    <row r="2790" spans="9:14" ht="48.2" customHeight="1" x14ac:dyDescent="0.25">
      <c r="I2790" s="15"/>
      <c r="J2790" s="15"/>
      <c r="K2790" s="15"/>
      <c r="L2790" s="15"/>
      <c r="M2790" s="15"/>
      <c r="N2790" s="15"/>
    </row>
    <row r="2791" spans="9:14" ht="48.2" customHeight="1" x14ac:dyDescent="0.25">
      <c r="I2791" s="15"/>
      <c r="J2791" s="15"/>
      <c r="K2791" s="15"/>
      <c r="L2791" s="15"/>
      <c r="M2791" s="15"/>
      <c r="N2791" s="15"/>
    </row>
    <row r="2792" spans="9:14" ht="48.2" customHeight="1" x14ac:dyDescent="0.25">
      <c r="I2792" s="15"/>
      <c r="J2792" s="15"/>
      <c r="K2792" s="15"/>
      <c r="L2792" s="15"/>
      <c r="M2792" s="15"/>
      <c r="N2792" s="15"/>
    </row>
    <row r="2793" spans="9:14" ht="48.2" customHeight="1" x14ac:dyDescent="0.25">
      <c r="I2793" s="15"/>
      <c r="J2793" s="15"/>
      <c r="K2793" s="15"/>
      <c r="L2793" s="15"/>
      <c r="M2793" s="15"/>
      <c r="N2793" s="15"/>
    </row>
    <row r="2794" spans="9:14" ht="48.2" customHeight="1" x14ac:dyDescent="0.25">
      <c r="I2794" s="15"/>
      <c r="J2794" s="15"/>
      <c r="K2794" s="15"/>
      <c r="L2794" s="15"/>
      <c r="M2794" s="15"/>
      <c r="N2794" s="15"/>
    </row>
    <row r="2795" spans="9:14" ht="48.2" customHeight="1" x14ac:dyDescent="0.25">
      <c r="I2795" s="15"/>
      <c r="J2795" s="15"/>
      <c r="K2795" s="15"/>
      <c r="L2795" s="15"/>
      <c r="M2795" s="15"/>
      <c r="N2795" s="15"/>
    </row>
    <row r="2796" spans="9:14" ht="48.2" customHeight="1" x14ac:dyDescent="0.25">
      <c r="I2796" s="15"/>
      <c r="J2796" s="15"/>
      <c r="K2796" s="15"/>
      <c r="L2796" s="15"/>
      <c r="M2796" s="15"/>
      <c r="N2796" s="15"/>
    </row>
    <row r="2797" spans="9:14" ht="48.2" customHeight="1" x14ac:dyDescent="0.25">
      <c r="I2797" s="15"/>
      <c r="J2797" s="15"/>
      <c r="K2797" s="15"/>
      <c r="L2797" s="15"/>
      <c r="M2797" s="15"/>
      <c r="N2797" s="15"/>
    </row>
    <row r="2798" spans="9:14" ht="48.2" customHeight="1" x14ac:dyDescent="0.25">
      <c r="I2798" s="15"/>
      <c r="J2798" s="15"/>
      <c r="K2798" s="15"/>
      <c r="L2798" s="15"/>
      <c r="M2798" s="15"/>
      <c r="N2798" s="15"/>
    </row>
    <row r="2799" spans="9:14" ht="48.2" customHeight="1" x14ac:dyDescent="0.25">
      <c r="I2799" s="15"/>
      <c r="J2799" s="15"/>
      <c r="K2799" s="15"/>
      <c r="L2799" s="15"/>
      <c r="M2799" s="15"/>
      <c r="N2799" s="15"/>
    </row>
    <row r="2800" spans="9:14" ht="48.2" customHeight="1" x14ac:dyDescent="0.25">
      <c r="I2800" s="15"/>
      <c r="J2800" s="15"/>
      <c r="K2800" s="15"/>
      <c r="L2800" s="15"/>
      <c r="M2800" s="15"/>
      <c r="N2800" s="15"/>
    </row>
    <row r="2801" spans="9:14" ht="48.2" customHeight="1" x14ac:dyDescent="0.25">
      <c r="I2801" s="15"/>
      <c r="J2801" s="15"/>
      <c r="K2801" s="15"/>
      <c r="L2801" s="15"/>
      <c r="M2801" s="15"/>
      <c r="N2801" s="15"/>
    </row>
    <row r="2802" spans="9:14" ht="48.2" customHeight="1" x14ac:dyDescent="0.25">
      <c r="I2802" s="15"/>
      <c r="J2802" s="15"/>
      <c r="K2802" s="15"/>
      <c r="L2802" s="15"/>
      <c r="M2802" s="15"/>
      <c r="N2802" s="15"/>
    </row>
    <row r="2803" spans="9:14" ht="48.2" customHeight="1" x14ac:dyDescent="0.25">
      <c r="I2803" s="15"/>
      <c r="J2803" s="15"/>
      <c r="K2803" s="15"/>
      <c r="L2803" s="15"/>
      <c r="M2803" s="15"/>
      <c r="N2803" s="15"/>
    </row>
    <row r="2804" spans="9:14" ht="48.2" customHeight="1" x14ac:dyDescent="0.25">
      <c r="I2804" s="15"/>
      <c r="J2804" s="15"/>
      <c r="K2804" s="15"/>
      <c r="L2804" s="15"/>
      <c r="M2804" s="15"/>
      <c r="N2804" s="15"/>
    </row>
    <row r="2805" spans="9:14" ht="48.2" customHeight="1" x14ac:dyDescent="0.25">
      <c r="I2805" s="15"/>
      <c r="J2805" s="15"/>
      <c r="K2805" s="15"/>
      <c r="L2805" s="15"/>
      <c r="M2805" s="15"/>
      <c r="N2805" s="15"/>
    </row>
    <row r="2806" spans="9:14" ht="48.2" customHeight="1" x14ac:dyDescent="0.25">
      <c r="I2806" s="15"/>
      <c r="J2806" s="15"/>
      <c r="K2806" s="15"/>
      <c r="L2806" s="15"/>
      <c r="M2806" s="15"/>
      <c r="N2806" s="15"/>
    </row>
    <row r="2807" spans="9:14" ht="48.2" customHeight="1" x14ac:dyDescent="0.25">
      <c r="I2807" s="15"/>
      <c r="J2807" s="15"/>
      <c r="K2807" s="15"/>
      <c r="L2807" s="15"/>
      <c r="M2807" s="15"/>
      <c r="N2807" s="15"/>
    </row>
    <row r="2808" spans="9:14" ht="48.2" customHeight="1" x14ac:dyDescent="0.25">
      <c r="I2808" s="15"/>
      <c r="J2808" s="15"/>
      <c r="K2808" s="15"/>
      <c r="L2808" s="15"/>
      <c r="M2808" s="15"/>
      <c r="N2808" s="15"/>
    </row>
    <row r="2809" spans="9:14" ht="48.2" customHeight="1" x14ac:dyDescent="0.25">
      <c r="I2809" s="15"/>
      <c r="J2809" s="15"/>
      <c r="K2809" s="15"/>
      <c r="L2809" s="15"/>
      <c r="M2809" s="15"/>
      <c r="N2809" s="15"/>
    </row>
    <row r="2810" spans="9:14" ht="48.2" customHeight="1" x14ac:dyDescent="0.25">
      <c r="I2810" s="15"/>
      <c r="J2810" s="15"/>
      <c r="K2810" s="15"/>
      <c r="L2810" s="15"/>
      <c r="M2810" s="15"/>
      <c r="N2810" s="15"/>
    </row>
    <row r="2811" spans="9:14" ht="48.2" customHeight="1" x14ac:dyDescent="0.25">
      <c r="I2811" s="15"/>
      <c r="J2811" s="15"/>
      <c r="K2811" s="15"/>
      <c r="L2811" s="15"/>
      <c r="M2811" s="15"/>
      <c r="N2811" s="15"/>
    </row>
    <row r="2812" spans="9:14" ht="48.2" customHeight="1" x14ac:dyDescent="0.25">
      <c r="I2812" s="15"/>
      <c r="J2812" s="15"/>
      <c r="K2812" s="15"/>
      <c r="L2812" s="15"/>
      <c r="M2812" s="15"/>
      <c r="N2812" s="15"/>
    </row>
    <row r="2813" spans="9:14" ht="48.2" customHeight="1" x14ac:dyDescent="0.25">
      <c r="I2813" s="15"/>
      <c r="J2813" s="15"/>
      <c r="K2813" s="15"/>
      <c r="L2813" s="15"/>
      <c r="M2813" s="15"/>
      <c r="N2813" s="15"/>
    </row>
    <row r="2814" spans="9:14" ht="48.2" customHeight="1" x14ac:dyDescent="0.25">
      <c r="I2814" s="15"/>
      <c r="J2814" s="15"/>
      <c r="K2814" s="15"/>
      <c r="L2814" s="15"/>
      <c r="M2814" s="15"/>
      <c r="N2814" s="15"/>
    </row>
    <row r="2815" spans="9:14" ht="48.2" customHeight="1" x14ac:dyDescent="0.25">
      <c r="I2815" s="15"/>
      <c r="J2815" s="15"/>
      <c r="K2815" s="15"/>
      <c r="L2815" s="15"/>
      <c r="M2815" s="15"/>
      <c r="N2815" s="15"/>
    </row>
    <row r="2816" spans="9:14" ht="48.2" customHeight="1" x14ac:dyDescent="0.25">
      <c r="I2816" s="15"/>
      <c r="J2816" s="15"/>
      <c r="K2816" s="15"/>
      <c r="L2816" s="15"/>
      <c r="M2816" s="15"/>
      <c r="N2816" s="15"/>
    </row>
    <row r="2817" spans="9:14" ht="48.2" customHeight="1" x14ac:dyDescent="0.25">
      <c r="I2817" s="15"/>
      <c r="J2817" s="15"/>
      <c r="K2817" s="15"/>
      <c r="L2817" s="15"/>
      <c r="M2817" s="15"/>
      <c r="N2817" s="15"/>
    </row>
    <row r="2818" spans="9:14" ht="48.2" customHeight="1" x14ac:dyDescent="0.25">
      <c r="I2818" s="15"/>
      <c r="J2818" s="15"/>
      <c r="K2818" s="15"/>
      <c r="L2818" s="15"/>
      <c r="M2818" s="15"/>
      <c r="N2818" s="15"/>
    </row>
    <row r="2819" spans="9:14" ht="48.2" customHeight="1" x14ac:dyDescent="0.25">
      <c r="I2819" s="15"/>
      <c r="J2819" s="15"/>
      <c r="K2819" s="15"/>
      <c r="L2819" s="15"/>
      <c r="M2819" s="15"/>
      <c r="N2819" s="15"/>
    </row>
    <row r="2820" spans="9:14" ht="48.2" customHeight="1" x14ac:dyDescent="0.25">
      <c r="I2820" s="15"/>
      <c r="J2820" s="15"/>
      <c r="K2820" s="15"/>
      <c r="L2820" s="15"/>
      <c r="M2820" s="15"/>
      <c r="N2820" s="15"/>
    </row>
    <row r="2821" spans="9:14" ht="48.2" customHeight="1" x14ac:dyDescent="0.25">
      <c r="I2821" s="15"/>
      <c r="J2821" s="15"/>
      <c r="K2821" s="15"/>
      <c r="L2821" s="15"/>
      <c r="M2821" s="15"/>
      <c r="N2821" s="15"/>
    </row>
    <row r="2822" spans="9:14" ht="48.2" customHeight="1" x14ac:dyDescent="0.25">
      <c r="I2822" s="15"/>
      <c r="J2822" s="15"/>
      <c r="K2822" s="15"/>
      <c r="L2822" s="15"/>
      <c r="M2822" s="15"/>
      <c r="N2822" s="15"/>
    </row>
    <row r="2823" spans="9:14" ht="48.2" customHeight="1" x14ac:dyDescent="0.25">
      <c r="I2823" s="15"/>
      <c r="J2823" s="15"/>
      <c r="K2823" s="15"/>
      <c r="L2823" s="15"/>
      <c r="M2823" s="15"/>
      <c r="N2823" s="15"/>
    </row>
    <row r="2824" spans="9:14" ht="48.2" customHeight="1" x14ac:dyDescent="0.25">
      <c r="I2824" s="15"/>
      <c r="J2824" s="15"/>
      <c r="K2824" s="15"/>
      <c r="L2824" s="15"/>
      <c r="M2824" s="15"/>
      <c r="N2824" s="15"/>
    </row>
    <row r="2825" spans="9:14" ht="48.2" customHeight="1" x14ac:dyDescent="0.25">
      <c r="I2825" s="15"/>
      <c r="J2825" s="15"/>
      <c r="K2825" s="15"/>
      <c r="L2825" s="15"/>
      <c r="M2825" s="15"/>
      <c r="N2825" s="15"/>
    </row>
    <row r="2826" spans="9:14" ht="48.2" customHeight="1" x14ac:dyDescent="0.25">
      <c r="I2826" s="15"/>
      <c r="J2826" s="15"/>
      <c r="K2826" s="15"/>
      <c r="L2826" s="15"/>
      <c r="M2826" s="15"/>
      <c r="N2826" s="15"/>
    </row>
    <row r="2827" spans="9:14" ht="48.2" customHeight="1" x14ac:dyDescent="0.25">
      <c r="I2827" s="15"/>
      <c r="J2827" s="15"/>
      <c r="K2827" s="15"/>
      <c r="L2827" s="15"/>
      <c r="M2827" s="15"/>
      <c r="N2827" s="15"/>
    </row>
    <row r="2828" spans="9:14" ht="48.2" customHeight="1" x14ac:dyDescent="0.25">
      <c r="I2828" s="15"/>
      <c r="J2828" s="15"/>
      <c r="K2828" s="15"/>
      <c r="L2828" s="15"/>
      <c r="M2828" s="15"/>
      <c r="N2828" s="15"/>
    </row>
    <row r="2829" spans="9:14" ht="48.2" customHeight="1" x14ac:dyDescent="0.25">
      <c r="I2829" s="15"/>
      <c r="J2829" s="15"/>
      <c r="K2829" s="15"/>
      <c r="L2829" s="15"/>
      <c r="M2829" s="15"/>
      <c r="N2829" s="15"/>
    </row>
    <row r="2830" spans="9:14" ht="48.2" customHeight="1" x14ac:dyDescent="0.25">
      <c r="I2830" s="15"/>
      <c r="J2830" s="15"/>
      <c r="K2830" s="15"/>
      <c r="L2830" s="15"/>
      <c r="M2830" s="15"/>
      <c r="N2830" s="15"/>
    </row>
    <row r="2831" spans="9:14" ht="48.2" customHeight="1" x14ac:dyDescent="0.25">
      <c r="I2831" s="15"/>
      <c r="J2831" s="15"/>
      <c r="K2831" s="15"/>
      <c r="L2831" s="15"/>
      <c r="M2831" s="15"/>
      <c r="N2831" s="15"/>
    </row>
    <row r="2832" spans="9:14" ht="48.2" customHeight="1" x14ac:dyDescent="0.25">
      <c r="I2832" s="15"/>
      <c r="J2832" s="15"/>
      <c r="K2832" s="15"/>
      <c r="L2832" s="15"/>
      <c r="M2832" s="15"/>
      <c r="N2832" s="15"/>
    </row>
    <row r="2833" spans="9:14" ht="48.2" customHeight="1" x14ac:dyDescent="0.25">
      <c r="I2833" s="15"/>
      <c r="J2833" s="15"/>
      <c r="K2833" s="15"/>
      <c r="L2833" s="15"/>
      <c r="M2833" s="15"/>
      <c r="N2833" s="15"/>
    </row>
    <row r="2834" spans="9:14" ht="48.2" customHeight="1" x14ac:dyDescent="0.25">
      <c r="I2834" s="15"/>
      <c r="J2834" s="15"/>
      <c r="K2834" s="15"/>
      <c r="L2834" s="15"/>
      <c r="M2834" s="15"/>
      <c r="N2834" s="15"/>
    </row>
    <row r="2835" spans="9:14" ht="48.2" customHeight="1" x14ac:dyDescent="0.25">
      <c r="I2835" s="15"/>
      <c r="J2835" s="15"/>
      <c r="K2835" s="15"/>
      <c r="L2835" s="15"/>
      <c r="M2835" s="15"/>
      <c r="N2835" s="15"/>
    </row>
    <row r="2836" spans="9:14" ht="48.2" customHeight="1" x14ac:dyDescent="0.25">
      <c r="I2836" s="15"/>
      <c r="J2836" s="15"/>
      <c r="K2836" s="15"/>
      <c r="L2836" s="15"/>
      <c r="M2836" s="15"/>
      <c r="N2836" s="15"/>
    </row>
    <row r="2837" spans="9:14" ht="48.2" customHeight="1" x14ac:dyDescent="0.25">
      <c r="I2837" s="15"/>
      <c r="J2837" s="15"/>
      <c r="K2837" s="15"/>
      <c r="L2837" s="15"/>
      <c r="M2837" s="15"/>
      <c r="N2837" s="15"/>
    </row>
    <row r="2838" spans="9:14" ht="48.2" customHeight="1" x14ac:dyDescent="0.25">
      <c r="I2838" s="15"/>
      <c r="J2838" s="15"/>
      <c r="K2838" s="15"/>
      <c r="L2838" s="15"/>
      <c r="M2838" s="15"/>
      <c r="N2838" s="15"/>
    </row>
    <row r="2839" spans="9:14" ht="48.2" customHeight="1" x14ac:dyDescent="0.25">
      <c r="I2839" s="15"/>
      <c r="J2839" s="15"/>
      <c r="K2839" s="15"/>
      <c r="L2839" s="15"/>
      <c r="M2839" s="15"/>
      <c r="N2839" s="15"/>
    </row>
    <row r="2840" spans="9:14" ht="48.2" customHeight="1" x14ac:dyDescent="0.25">
      <c r="I2840" s="15"/>
      <c r="J2840" s="15"/>
      <c r="K2840" s="15"/>
      <c r="L2840" s="15"/>
      <c r="M2840" s="15"/>
      <c r="N2840" s="15"/>
    </row>
    <row r="2841" spans="9:14" ht="48.2" customHeight="1" x14ac:dyDescent="0.25">
      <c r="I2841" s="15"/>
      <c r="J2841" s="15"/>
      <c r="K2841" s="15"/>
      <c r="L2841" s="15"/>
      <c r="M2841" s="15"/>
      <c r="N2841" s="15"/>
    </row>
    <row r="2842" spans="9:14" ht="48.2" customHeight="1" x14ac:dyDescent="0.25">
      <c r="I2842" s="15"/>
      <c r="J2842" s="15"/>
      <c r="K2842" s="15"/>
      <c r="L2842" s="15"/>
      <c r="M2842" s="15"/>
      <c r="N2842" s="15"/>
    </row>
    <row r="2843" spans="9:14" ht="48.2" customHeight="1" x14ac:dyDescent="0.25">
      <c r="I2843" s="15"/>
      <c r="J2843" s="15"/>
      <c r="K2843" s="15"/>
      <c r="L2843" s="15"/>
      <c r="M2843" s="15"/>
      <c r="N2843" s="15"/>
    </row>
    <row r="2844" spans="9:14" ht="48.2" customHeight="1" x14ac:dyDescent="0.25">
      <c r="I2844" s="15"/>
      <c r="J2844" s="15"/>
      <c r="K2844" s="15"/>
      <c r="L2844" s="15"/>
      <c r="M2844" s="15"/>
      <c r="N2844" s="15"/>
    </row>
    <row r="2845" spans="9:14" ht="48.2" customHeight="1" x14ac:dyDescent="0.25">
      <c r="I2845" s="15"/>
      <c r="J2845" s="15"/>
      <c r="K2845" s="15"/>
      <c r="L2845" s="15"/>
      <c r="M2845" s="15"/>
      <c r="N2845" s="15"/>
    </row>
    <row r="2846" spans="9:14" ht="48.2" customHeight="1" x14ac:dyDescent="0.25">
      <c r="I2846" s="15"/>
      <c r="J2846" s="15"/>
      <c r="K2846" s="15"/>
      <c r="L2846" s="15"/>
      <c r="M2846" s="15"/>
      <c r="N2846" s="15"/>
    </row>
    <row r="2847" spans="9:14" ht="48.2" customHeight="1" x14ac:dyDescent="0.25">
      <c r="I2847" s="15"/>
      <c r="J2847" s="15"/>
      <c r="K2847" s="15"/>
      <c r="L2847" s="15"/>
      <c r="M2847" s="15"/>
      <c r="N2847" s="15"/>
    </row>
    <row r="2848" spans="9:14" ht="48.2" customHeight="1" x14ac:dyDescent="0.25">
      <c r="I2848" s="15"/>
      <c r="J2848" s="15"/>
      <c r="K2848" s="15"/>
      <c r="L2848" s="15"/>
      <c r="M2848" s="15"/>
      <c r="N2848" s="15"/>
    </row>
    <row r="2849" spans="9:14" ht="48.2" customHeight="1" x14ac:dyDescent="0.25">
      <c r="I2849" s="15"/>
      <c r="J2849" s="15"/>
      <c r="K2849" s="15"/>
      <c r="L2849" s="15"/>
      <c r="M2849" s="15"/>
      <c r="N2849" s="15"/>
    </row>
    <row r="2850" spans="9:14" ht="48.2" customHeight="1" x14ac:dyDescent="0.25">
      <c r="I2850" s="15"/>
      <c r="J2850" s="15"/>
      <c r="K2850" s="15"/>
      <c r="L2850" s="15"/>
      <c r="M2850" s="15"/>
      <c r="N2850" s="15"/>
    </row>
    <row r="2851" spans="9:14" ht="48.2" customHeight="1" x14ac:dyDescent="0.25">
      <c r="I2851" s="15"/>
      <c r="J2851" s="15"/>
      <c r="K2851" s="15"/>
      <c r="L2851" s="15"/>
      <c r="M2851" s="15"/>
      <c r="N2851" s="15"/>
    </row>
    <row r="2852" spans="9:14" ht="48.2" customHeight="1" x14ac:dyDescent="0.25">
      <c r="I2852" s="15"/>
      <c r="J2852" s="15"/>
      <c r="K2852" s="15"/>
      <c r="L2852" s="15"/>
      <c r="M2852" s="15"/>
      <c r="N2852" s="15"/>
    </row>
    <row r="2853" spans="9:14" ht="48.2" customHeight="1" x14ac:dyDescent="0.25">
      <c r="I2853" s="15"/>
      <c r="J2853" s="15"/>
      <c r="K2853" s="15"/>
      <c r="L2853" s="15"/>
      <c r="M2853" s="15"/>
      <c r="N2853" s="15"/>
    </row>
    <row r="2854" spans="9:14" ht="48.2" customHeight="1" x14ac:dyDescent="0.25">
      <c r="I2854" s="15"/>
      <c r="J2854" s="15"/>
      <c r="K2854" s="15"/>
      <c r="L2854" s="15"/>
      <c r="M2854" s="15"/>
      <c r="N2854" s="15"/>
    </row>
    <row r="2855" spans="9:14" ht="48.2" customHeight="1" x14ac:dyDescent="0.25">
      <c r="I2855" s="15"/>
      <c r="J2855" s="15"/>
      <c r="K2855" s="15"/>
      <c r="L2855" s="15"/>
      <c r="M2855" s="15"/>
      <c r="N2855" s="15"/>
    </row>
    <row r="2856" spans="9:14" ht="48.2" customHeight="1" x14ac:dyDescent="0.25">
      <c r="I2856" s="15"/>
      <c r="J2856" s="15"/>
      <c r="K2856" s="15"/>
      <c r="L2856" s="15"/>
      <c r="M2856" s="15"/>
      <c r="N2856" s="15"/>
    </row>
    <row r="2857" spans="9:14" ht="48.2" customHeight="1" x14ac:dyDescent="0.25">
      <c r="I2857" s="15"/>
      <c r="J2857" s="15"/>
      <c r="K2857" s="15"/>
      <c r="L2857" s="15"/>
      <c r="M2857" s="15"/>
      <c r="N2857" s="15"/>
    </row>
    <row r="2858" spans="9:14" ht="48.2" customHeight="1" x14ac:dyDescent="0.25">
      <c r="I2858" s="15"/>
      <c r="J2858" s="15"/>
      <c r="K2858" s="15"/>
      <c r="L2858" s="15"/>
      <c r="M2858" s="15"/>
      <c r="N2858" s="15"/>
    </row>
    <row r="2859" spans="9:14" ht="48.2" customHeight="1" x14ac:dyDescent="0.25">
      <c r="I2859" s="15"/>
      <c r="J2859" s="15"/>
      <c r="K2859" s="15"/>
      <c r="L2859" s="15"/>
      <c r="M2859" s="15"/>
      <c r="N2859" s="15"/>
    </row>
    <row r="2860" spans="9:14" ht="48.2" customHeight="1" x14ac:dyDescent="0.25">
      <c r="I2860" s="15"/>
      <c r="J2860" s="15"/>
      <c r="K2860" s="15"/>
      <c r="L2860" s="15"/>
      <c r="M2860" s="15"/>
      <c r="N2860" s="15"/>
    </row>
    <row r="2861" spans="9:14" ht="48.2" customHeight="1" x14ac:dyDescent="0.25">
      <c r="I2861" s="15"/>
      <c r="J2861" s="15"/>
      <c r="K2861" s="15"/>
      <c r="L2861" s="15"/>
      <c r="M2861" s="15"/>
      <c r="N2861" s="15"/>
    </row>
    <row r="2862" spans="9:14" ht="48.2" customHeight="1" x14ac:dyDescent="0.25">
      <c r="I2862" s="15"/>
      <c r="J2862" s="15"/>
      <c r="K2862" s="15"/>
      <c r="L2862" s="15"/>
      <c r="M2862" s="15"/>
      <c r="N2862" s="15"/>
    </row>
    <row r="2863" spans="9:14" ht="48.2" customHeight="1" x14ac:dyDescent="0.25">
      <c r="I2863" s="15"/>
      <c r="J2863" s="15"/>
      <c r="K2863" s="15"/>
      <c r="L2863" s="15"/>
      <c r="M2863" s="15"/>
      <c r="N2863" s="15"/>
    </row>
    <row r="2864" spans="9:14" ht="48.2" customHeight="1" x14ac:dyDescent="0.25">
      <c r="I2864" s="15"/>
      <c r="J2864" s="15"/>
      <c r="K2864" s="15"/>
      <c r="L2864" s="15"/>
      <c r="M2864" s="15"/>
      <c r="N2864" s="15"/>
    </row>
    <row r="2865" spans="9:14" ht="48.2" customHeight="1" x14ac:dyDescent="0.25">
      <c r="I2865" s="15"/>
      <c r="J2865" s="15"/>
      <c r="K2865" s="15"/>
      <c r="L2865" s="15"/>
      <c r="M2865" s="15"/>
      <c r="N2865" s="15"/>
    </row>
    <row r="2866" spans="9:14" ht="48.2" customHeight="1" x14ac:dyDescent="0.25">
      <c r="I2866" s="15"/>
      <c r="J2866" s="15"/>
      <c r="K2866" s="15"/>
      <c r="L2866" s="15"/>
      <c r="M2866" s="15"/>
      <c r="N2866" s="15"/>
    </row>
    <row r="2867" spans="9:14" ht="48.2" customHeight="1" x14ac:dyDescent="0.25">
      <c r="I2867" s="15"/>
      <c r="J2867" s="15"/>
      <c r="K2867" s="15"/>
      <c r="L2867" s="15"/>
      <c r="M2867" s="15"/>
      <c r="N2867" s="15"/>
    </row>
    <row r="2868" spans="9:14" ht="48.2" customHeight="1" x14ac:dyDescent="0.25">
      <c r="I2868" s="15"/>
      <c r="J2868" s="15"/>
      <c r="K2868" s="15"/>
      <c r="L2868" s="15"/>
      <c r="M2868" s="15"/>
      <c r="N2868" s="15"/>
    </row>
    <row r="2869" spans="9:14" ht="48.2" customHeight="1" x14ac:dyDescent="0.25">
      <c r="I2869" s="15"/>
      <c r="J2869" s="15"/>
      <c r="K2869" s="15"/>
      <c r="L2869" s="15"/>
      <c r="M2869" s="15"/>
      <c r="N2869" s="15"/>
    </row>
    <row r="2870" spans="9:14" ht="48.2" customHeight="1" x14ac:dyDescent="0.25">
      <c r="I2870" s="15"/>
      <c r="J2870" s="15"/>
      <c r="K2870" s="15"/>
      <c r="L2870" s="15"/>
      <c r="M2870" s="15"/>
      <c r="N2870" s="15"/>
    </row>
    <row r="2871" spans="9:14" ht="48.2" customHeight="1" x14ac:dyDescent="0.25">
      <c r="I2871" s="15"/>
      <c r="J2871" s="15"/>
      <c r="K2871" s="15"/>
      <c r="L2871" s="15"/>
      <c r="M2871" s="15"/>
      <c r="N2871" s="15"/>
    </row>
    <row r="2872" spans="9:14" ht="48.2" customHeight="1" x14ac:dyDescent="0.25">
      <c r="I2872" s="15"/>
      <c r="J2872" s="15"/>
      <c r="K2872" s="15"/>
      <c r="L2872" s="15"/>
      <c r="M2872" s="15"/>
      <c r="N2872" s="15"/>
    </row>
    <row r="2873" spans="9:14" ht="48.2" customHeight="1" x14ac:dyDescent="0.25">
      <c r="I2873" s="15"/>
      <c r="J2873" s="15"/>
      <c r="K2873" s="15"/>
      <c r="L2873" s="15"/>
      <c r="M2873" s="15"/>
      <c r="N2873" s="15"/>
    </row>
    <row r="2874" spans="9:14" ht="48.2" customHeight="1" x14ac:dyDescent="0.25">
      <c r="I2874" s="15"/>
      <c r="J2874" s="15"/>
      <c r="K2874" s="15"/>
      <c r="L2874" s="15"/>
      <c r="M2874" s="15"/>
      <c r="N2874" s="15"/>
    </row>
    <row r="2875" spans="9:14" ht="48.2" customHeight="1" x14ac:dyDescent="0.25">
      <c r="I2875" s="15"/>
      <c r="J2875" s="15"/>
      <c r="K2875" s="15"/>
      <c r="L2875" s="15"/>
      <c r="M2875" s="15"/>
      <c r="N2875" s="15"/>
    </row>
    <row r="2876" spans="9:14" ht="48.2" customHeight="1" x14ac:dyDescent="0.25">
      <c r="I2876" s="15"/>
      <c r="J2876" s="15"/>
      <c r="K2876" s="15"/>
      <c r="L2876" s="15"/>
      <c r="M2876" s="15"/>
      <c r="N2876" s="15"/>
    </row>
    <row r="2877" spans="9:14" ht="48.2" customHeight="1" x14ac:dyDescent="0.25">
      <c r="I2877" s="15"/>
      <c r="J2877" s="15"/>
      <c r="K2877" s="15"/>
      <c r="L2877" s="15"/>
      <c r="M2877" s="15"/>
      <c r="N2877" s="15"/>
    </row>
    <row r="2878" spans="9:14" ht="48.2" customHeight="1" x14ac:dyDescent="0.25">
      <c r="I2878" s="15"/>
      <c r="J2878" s="15"/>
      <c r="K2878" s="15"/>
      <c r="L2878" s="15"/>
      <c r="M2878" s="15"/>
      <c r="N2878" s="15"/>
    </row>
    <row r="2879" spans="9:14" ht="48.2" customHeight="1" x14ac:dyDescent="0.25">
      <c r="I2879" s="15"/>
      <c r="J2879" s="15"/>
      <c r="K2879" s="15"/>
      <c r="L2879" s="15"/>
      <c r="M2879" s="15"/>
      <c r="N2879" s="15"/>
    </row>
    <row r="2880" spans="9:14" ht="48.2" customHeight="1" x14ac:dyDescent="0.25">
      <c r="I2880" s="15"/>
      <c r="J2880" s="15"/>
      <c r="K2880" s="15"/>
      <c r="L2880" s="15"/>
      <c r="M2880" s="15"/>
      <c r="N2880" s="15"/>
    </row>
    <row r="2881" spans="9:14" ht="48.2" customHeight="1" x14ac:dyDescent="0.25">
      <c r="I2881" s="15"/>
      <c r="J2881" s="15"/>
      <c r="K2881" s="15"/>
      <c r="L2881" s="15"/>
      <c r="M2881" s="15"/>
      <c r="N2881" s="15"/>
    </row>
    <row r="2882" spans="9:14" ht="48.2" customHeight="1" x14ac:dyDescent="0.25">
      <c r="I2882" s="15"/>
      <c r="J2882" s="15"/>
      <c r="K2882" s="15"/>
      <c r="L2882" s="15"/>
      <c r="M2882" s="15"/>
      <c r="N2882" s="15"/>
    </row>
    <row r="2883" spans="9:14" ht="48.2" customHeight="1" x14ac:dyDescent="0.25">
      <c r="I2883" s="15"/>
      <c r="J2883" s="15"/>
      <c r="K2883" s="15"/>
      <c r="L2883" s="15"/>
      <c r="M2883" s="15"/>
      <c r="N2883" s="15"/>
    </row>
    <row r="2884" spans="9:14" ht="48.2" customHeight="1" x14ac:dyDescent="0.25">
      <c r="I2884" s="15"/>
      <c r="J2884" s="15"/>
      <c r="K2884" s="15"/>
      <c r="L2884" s="15"/>
      <c r="M2884" s="15"/>
      <c r="N2884" s="15"/>
    </row>
    <row r="2885" spans="9:14" ht="48.2" customHeight="1" x14ac:dyDescent="0.25">
      <c r="I2885" s="15"/>
      <c r="J2885" s="15"/>
      <c r="K2885" s="15"/>
      <c r="L2885" s="15"/>
      <c r="M2885" s="15"/>
      <c r="N2885" s="15"/>
    </row>
    <row r="2886" spans="9:14" ht="48.2" customHeight="1" x14ac:dyDescent="0.25">
      <c r="I2886" s="15"/>
      <c r="J2886" s="15"/>
      <c r="K2886" s="15"/>
      <c r="L2886" s="15"/>
      <c r="M2886" s="15"/>
      <c r="N2886" s="15"/>
    </row>
    <row r="2887" spans="9:14" ht="48.2" customHeight="1" x14ac:dyDescent="0.25">
      <c r="I2887" s="15"/>
      <c r="J2887" s="15"/>
      <c r="K2887" s="15"/>
      <c r="L2887" s="15"/>
      <c r="M2887" s="15"/>
      <c r="N2887" s="15"/>
    </row>
    <row r="2888" spans="9:14" ht="48.2" customHeight="1" x14ac:dyDescent="0.25">
      <c r="I2888" s="15"/>
      <c r="J2888" s="15"/>
      <c r="K2888" s="15"/>
      <c r="L2888" s="15"/>
      <c r="M2888" s="15"/>
      <c r="N2888" s="15"/>
    </row>
    <row r="2889" spans="9:14" ht="48.2" customHeight="1" x14ac:dyDescent="0.25">
      <c r="I2889" s="15"/>
      <c r="J2889" s="15"/>
      <c r="K2889" s="15"/>
      <c r="L2889" s="15"/>
      <c r="M2889" s="15"/>
      <c r="N2889" s="15"/>
    </row>
    <row r="2890" spans="9:14" ht="48.2" customHeight="1" x14ac:dyDescent="0.25">
      <c r="I2890" s="15"/>
      <c r="J2890" s="15"/>
      <c r="K2890" s="15"/>
      <c r="L2890" s="15"/>
      <c r="M2890" s="15"/>
      <c r="N2890" s="15"/>
    </row>
    <row r="2891" spans="9:14" ht="48.2" customHeight="1" x14ac:dyDescent="0.25">
      <c r="I2891" s="15"/>
      <c r="J2891" s="15"/>
      <c r="K2891" s="15"/>
      <c r="L2891" s="15"/>
      <c r="M2891" s="15"/>
      <c r="N2891" s="15"/>
    </row>
    <row r="2892" spans="9:14" ht="48.2" customHeight="1" x14ac:dyDescent="0.25">
      <c r="I2892" s="15"/>
      <c r="J2892" s="15"/>
      <c r="K2892" s="15"/>
      <c r="L2892" s="15"/>
      <c r="M2892" s="15"/>
      <c r="N2892" s="15"/>
    </row>
    <row r="2893" spans="9:14" ht="48.2" customHeight="1" x14ac:dyDescent="0.25">
      <c r="I2893" s="15"/>
      <c r="J2893" s="15"/>
      <c r="K2893" s="15"/>
      <c r="L2893" s="15"/>
      <c r="M2893" s="15"/>
      <c r="N2893" s="15"/>
    </row>
    <row r="2894" spans="9:14" ht="48.2" customHeight="1" x14ac:dyDescent="0.25">
      <c r="I2894" s="15"/>
      <c r="J2894" s="15"/>
      <c r="K2894" s="15"/>
      <c r="L2894" s="15"/>
      <c r="M2894" s="15"/>
      <c r="N2894" s="15"/>
    </row>
    <row r="2895" spans="9:14" ht="48.2" customHeight="1" x14ac:dyDescent="0.25">
      <c r="I2895" s="15"/>
      <c r="J2895" s="15"/>
      <c r="K2895" s="15"/>
      <c r="L2895" s="15"/>
      <c r="M2895" s="15"/>
      <c r="N2895" s="15"/>
    </row>
    <row r="2896" spans="9:14" ht="48.2" customHeight="1" x14ac:dyDescent="0.25">
      <c r="I2896" s="15"/>
      <c r="J2896" s="15"/>
      <c r="K2896" s="15"/>
      <c r="L2896" s="15"/>
      <c r="M2896" s="15"/>
      <c r="N2896" s="15"/>
    </row>
    <row r="2897" spans="9:14" ht="48.2" customHeight="1" x14ac:dyDescent="0.25">
      <c r="I2897" s="15"/>
      <c r="J2897" s="15"/>
      <c r="K2897" s="15"/>
      <c r="L2897" s="15"/>
      <c r="M2897" s="15"/>
      <c r="N2897" s="15"/>
    </row>
    <row r="2898" spans="9:14" ht="48.2" customHeight="1" x14ac:dyDescent="0.25">
      <c r="I2898" s="15"/>
      <c r="J2898" s="15"/>
      <c r="K2898" s="15"/>
      <c r="L2898" s="15"/>
      <c r="M2898" s="15"/>
      <c r="N2898" s="15"/>
    </row>
    <row r="2899" spans="9:14" ht="48.2" customHeight="1" x14ac:dyDescent="0.25">
      <c r="I2899" s="15"/>
      <c r="J2899" s="15"/>
      <c r="K2899" s="15"/>
      <c r="L2899" s="15"/>
      <c r="M2899" s="15"/>
      <c r="N2899" s="15"/>
    </row>
    <row r="2900" spans="9:14" ht="48.2" customHeight="1" x14ac:dyDescent="0.25">
      <c r="I2900" s="15"/>
      <c r="J2900" s="15"/>
      <c r="K2900" s="15"/>
      <c r="L2900" s="15"/>
      <c r="M2900" s="15"/>
      <c r="N2900" s="15"/>
    </row>
    <row r="2901" spans="9:14" ht="48.2" customHeight="1" x14ac:dyDescent="0.25">
      <c r="I2901" s="15"/>
      <c r="J2901" s="15"/>
      <c r="K2901" s="15"/>
      <c r="L2901" s="15"/>
      <c r="M2901" s="15"/>
      <c r="N2901" s="15"/>
    </row>
    <row r="2902" spans="9:14" ht="48.2" customHeight="1" x14ac:dyDescent="0.25">
      <c r="I2902" s="15"/>
      <c r="J2902" s="15"/>
      <c r="K2902" s="15"/>
      <c r="L2902" s="15"/>
      <c r="M2902" s="15"/>
      <c r="N2902" s="15"/>
    </row>
    <row r="2903" spans="9:14" ht="48.2" customHeight="1" x14ac:dyDescent="0.25">
      <c r="I2903" s="15"/>
      <c r="J2903" s="15"/>
      <c r="K2903" s="15"/>
      <c r="L2903" s="15"/>
      <c r="M2903" s="15"/>
      <c r="N2903" s="15"/>
    </row>
    <row r="2904" spans="9:14" ht="48.2" customHeight="1" x14ac:dyDescent="0.25">
      <c r="I2904" s="15"/>
      <c r="J2904" s="15"/>
      <c r="K2904" s="15"/>
      <c r="L2904" s="15"/>
      <c r="M2904" s="15"/>
      <c r="N2904" s="15"/>
    </row>
    <row r="2905" spans="9:14" ht="48.2" customHeight="1" x14ac:dyDescent="0.25">
      <c r="I2905" s="15"/>
      <c r="J2905" s="15"/>
      <c r="K2905" s="15"/>
      <c r="L2905" s="15"/>
      <c r="M2905" s="15"/>
      <c r="N2905" s="15"/>
    </row>
    <row r="2906" spans="9:14" ht="48.2" customHeight="1" x14ac:dyDescent="0.25">
      <c r="I2906" s="15"/>
      <c r="J2906" s="15"/>
      <c r="K2906" s="15"/>
      <c r="L2906" s="15"/>
      <c r="M2906" s="15"/>
      <c r="N2906" s="15"/>
    </row>
    <row r="2907" spans="9:14" ht="48.2" customHeight="1" x14ac:dyDescent="0.25">
      <c r="I2907" s="15"/>
      <c r="J2907" s="15"/>
      <c r="K2907" s="15"/>
      <c r="L2907" s="15"/>
      <c r="M2907" s="15"/>
      <c r="N2907" s="15"/>
    </row>
    <row r="2908" spans="9:14" ht="48.2" customHeight="1" x14ac:dyDescent="0.25">
      <c r="I2908" s="15"/>
      <c r="J2908" s="15"/>
      <c r="K2908" s="15"/>
      <c r="L2908" s="15"/>
      <c r="M2908" s="15"/>
      <c r="N2908" s="15"/>
    </row>
    <row r="2909" spans="9:14" ht="48.2" customHeight="1" x14ac:dyDescent="0.25">
      <c r="I2909" s="15"/>
      <c r="J2909" s="15"/>
      <c r="K2909" s="15"/>
      <c r="L2909" s="15"/>
      <c r="M2909" s="15"/>
      <c r="N2909" s="15"/>
    </row>
    <row r="2910" spans="9:14" ht="48.2" customHeight="1" x14ac:dyDescent="0.25">
      <c r="I2910" s="15"/>
      <c r="J2910" s="15"/>
      <c r="K2910" s="15"/>
      <c r="L2910" s="15"/>
      <c r="M2910" s="15"/>
      <c r="N2910" s="15"/>
    </row>
    <row r="2911" spans="9:14" ht="48.2" customHeight="1" x14ac:dyDescent="0.25">
      <c r="I2911" s="15"/>
      <c r="J2911" s="15"/>
      <c r="K2911" s="15"/>
      <c r="L2911" s="15"/>
      <c r="M2911" s="15"/>
      <c r="N2911" s="15"/>
    </row>
    <row r="2912" spans="9:14" ht="48.2" customHeight="1" x14ac:dyDescent="0.25">
      <c r="I2912" s="15"/>
      <c r="J2912" s="15"/>
      <c r="K2912" s="15"/>
      <c r="L2912" s="15"/>
      <c r="M2912" s="15"/>
      <c r="N2912" s="15"/>
    </row>
    <row r="2913" spans="9:14" ht="48.2" customHeight="1" x14ac:dyDescent="0.25">
      <c r="I2913" s="15"/>
      <c r="J2913" s="15"/>
      <c r="K2913" s="15"/>
      <c r="L2913" s="15"/>
      <c r="M2913" s="15"/>
      <c r="N2913" s="15"/>
    </row>
    <row r="2914" spans="9:14" ht="48.2" customHeight="1" x14ac:dyDescent="0.25">
      <c r="I2914" s="15"/>
      <c r="J2914" s="15"/>
      <c r="K2914" s="15"/>
      <c r="L2914" s="15"/>
      <c r="M2914" s="15"/>
      <c r="N2914" s="15"/>
    </row>
    <row r="2915" spans="9:14" ht="48.2" customHeight="1" x14ac:dyDescent="0.25">
      <c r="I2915" s="15"/>
      <c r="J2915" s="15"/>
      <c r="K2915" s="15"/>
      <c r="L2915" s="15"/>
      <c r="M2915" s="15"/>
      <c r="N2915" s="15"/>
    </row>
    <row r="2916" spans="9:14" ht="48.2" customHeight="1" x14ac:dyDescent="0.25">
      <c r="I2916" s="15"/>
      <c r="J2916" s="15"/>
      <c r="K2916" s="15"/>
      <c r="L2916" s="15"/>
      <c r="M2916" s="15"/>
      <c r="N2916" s="15"/>
    </row>
    <row r="2917" spans="9:14" ht="48.2" customHeight="1" x14ac:dyDescent="0.25">
      <c r="I2917" s="15"/>
      <c r="J2917" s="15"/>
      <c r="K2917" s="15"/>
      <c r="L2917" s="15"/>
      <c r="M2917" s="15"/>
      <c r="N2917" s="15"/>
    </row>
    <row r="2918" spans="9:14" ht="48.2" customHeight="1" x14ac:dyDescent="0.25">
      <c r="I2918" s="15"/>
      <c r="J2918" s="15"/>
      <c r="K2918" s="15"/>
      <c r="L2918" s="15"/>
      <c r="M2918" s="15"/>
      <c r="N2918" s="15"/>
    </row>
    <row r="2919" spans="9:14" ht="48.2" customHeight="1" x14ac:dyDescent="0.25">
      <c r="I2919" s="15"/>
      <c r="J2919" s="15"/>
      <c r="K2919" s="15"/>
      <c r="L2919" s="15"/>
      <c r="M2919" s="15"/>
      <c r="N2919" s="15"/>
    </row>
    <row r="2920" spans="9:14" ht="48.2" customHeight="1" x14ac:dyDescent="0.25">
      <c r="I2920" s="15"/>
      <c r="J2920" s="15"/>
      <c r="K2920" s="15"/>
      <c r="L2920" s="15"/>
      <c r="M2920" s="15"/>
      <c r="N2920" s="15"/>
    </row>
    <row r="2921" spans="9:14" ht="48.2" customHeight="1" x14ac:dyDescent="0.25">
      <c r="I2921" s="15"/>
      <c r="J2921" s="15"/>
      <c r="K2921" s="15"/>
      <c r="L2921" s="15"/>
      <c r="M2921" s="15"/>
      <c r="N2921" s="15"/>
    </row>
    <row r="2922" spans="9:14" ht="48.2" customHeight="1" x14ac:dyDescent="0.25">
      <c r="I2922" s="15"/>
      <c r="J2922" s="15"/>
      <c r="K2922" s="15"/>
      <c r="L2922" s="15"/>
      <c r="M2922" s="15"/>
      <c r="N2922" s="15"/>
    </row>
    <row r="2923" spans="9:14" ht="48.2" customHeight="1" x14ac:dyDescent="0.25">
      <c r="I2923" s="15"/>
      <c r="J2923" s="15"/>
      <c r="K2923" s="15"/>
      <c r="L2923" s="15"/>
      <c r="M2923" s="15"/>
      <c r="N2923" s="15"/>
    </row>
    <row r="2924" spans="9:14" ht="48.2" customHeight="1" x14ac:dyDescent="0.25">
      <c r="I2924" s="15"/>
      <c r="J2924" s="15"/>
      <c r="K2924" s="15"/>
      <c r="L2924" s="15"/>
      <c r="M2924" s="15"/>
      <c r="N2924" s="15"/>
    </row>
    <row r="2925" spans="9:14" ht="48.2" customHeight="1" x14ac:dyDescent="0.25">
      <c r="I2925" s="15"/>
      <c r="J2925" s="15"/>
      <c r="K2925" s="15"/>
      <c r="L2925" s="15"/>
      <c r="M2925" s="15"/>
      <c r="N2925" s="15"/>
    </row>
    <row r="2926" spans="9:14" ht="48.2" customHeight="1" x14ac:dyDescent="0.25">
      <c r="I2926" s="15"/>
      <c r="J2926" s="15"/>
      <c r="K2926" s="15"/>
      <c r="L2926" s="15"/>
      <c r="M2926" s="15"/>
      <c r="N2926" s="15"/>
    </row>
    <row r="2927" spans="9:14" ht="48.2" customHeight="1" x14ac:dyDescent="0.25">
      <c r="I2927" s="15"/>
      <c r="J2927" s="15"/>
      <c r="K2927" s="15"/>
      <c r="L2927" s="15"/>
      <c r="M2927" s="15"/>
      <c r="N2927" s="15"/>
    </row>
    <row r="2928" spans="9:14" ht="48.2" customHeight="1" x14ac:dyDescent="0.25">
      <c r="I2928" s="15"/>
      <c r="J2928" s="15"/>
      <c r="K2928" s="15"/>
      <c r="L2928" s="15"/>
      <c r="M2928" s="15"/>
      <c r="N2928" s="15"/>
    </row>
    <row r="2929" spans="9:14" ht="48.2" customHeight="1" x14ac:dyDescent="0.25">
      <c r="I2929" s="15"/>
      <c r="J2929" s="15"/>
      <c r="K2929" s="15"/>
      <c r="L2929" s="15"/>
      <c r="M2929" s="15"/>
      <c r="N2929" s="15"/>
    </row>
    <row r="2930" spans="9:14" ht="48.2" customHeight="1" x14ac:dyDescent="0.25">
      <c r="I2930" s="15"/>
      <c r="J2930" s="15"/>
      <c r="K2930" s="15"/>
      <c r="L2930" s="15"/>
      <c r="M2930" s="15"/>
      <c r="N2930" s="15"/>
    </row>
    <row r="2931" spans="9:14" ht="48.2" customHeight="1" x14ac:dyDescent="0.25">
      <c r="I2931" s="15"/>
      <c r="J2931" s="15"/>
      <c r="K2931" s="15"/>
      <c r="L2931" s="15"/>
      <c r="M2931" s="15"/>
      <c r="N2931" s="15"/>
    </row>
    <row r="2932" spans="9:14" ht="48.2" customHeight="1" x14ac:dyDescent="0.25">
      <c r="I2932" s="15"/>
      <c r="J2932" s="15"/>
      <c r="K2932" s="15"/>
      <c r="L2932" s="15"/>
      <c r="M2932" s="15"/>
      <c r="N2932" s="15"/>
    </row>
    <row r="2933" spans="9:14" ht="48.2" customHeight="1" x14ac:dyDescent="0.25">
      <c r="I2933" s="15"/>
      <c r="J2933" s="15"/>
      <c r="K2933" s="15"/>
      <c r="L2933" s="15"/>
      <c r="M2933" s="15"/>
      <c r="N2933" s="15"/>
    </row>
    <row r="2934" spans="9:14" ht="48.2" customHeight="1" x14ac:dyDescent="0.25">
      <c r="I2934" s="15"/>
      <c r="J2934" s="15"/>
      <c r="K2934" s="15"/>
      <c r="L2934" s="15"/>
      <c r="M2934" s="15"/>
      <c r="N2934" s="15"/>
    </row>
    <row r="2935" spans="9:14" ht="48.2" customHeight="1" x14ac:dyDescent="0.25">
      <c r="I2935" s="15"/>
      <c r="J2935" s="15"/>
      <c r="K2935" s="15"/>
      <c r="L2935" s="15"/>
      <c r="M2935" s="15"/>
      <c r="N2935" s="15"/>
    </row>
    <row r="2936" spans="9:14" ht="48.2" customHeight="1" x14ac:dyDescent="0.25">
      <c r="I2936" s="15"/>
      <c r="J2936" s="15"/>
      <c r="K2936" s="15"/>
      <c r="L2936" s="15"/>
      <c r="M2936" s="15"/>
      <c r="N2936" s="15"/>
    </row>
    <row r="2937" spans="9:14" ht="48.2" customHeight="1" x14ac:dyDescent="0.25">
      <c r="I2937" s="15"/>
      <c r="J2937" s="15"/>
      <c r="K2937" s="15"/>
      <c r="L2937" s="15"/>
      <c r="M2937" s="15"/>
      <c r="N2937" s="15"/>
    </row>
    <row r="2938" spans="9:14" ht="48.2" customHeight="1" x14ac:dyDescent="0.25">
      <c r="I2938" s="15"/>
      <c r="J2938" s="15"/>
      <c r="K2938" s="15"/>
      <c r="L2938" s="15"/>
      <c r="M2938" s="15"/>
      <c r="N2938" s="15"/>
    </row>
    <row r="2939" spans="9:14" ht="48.2" customHeight="1" x14ac:dyDescent="0.25">
      <c r="I2939" s="15"/>
      <c r="J2939" s="15"/>
      <c r="K2939" s="15"/>
      <c r="L2939" s="15"/>
      <c r="M2939" s="15"/>
      <c r="N2939" s="15"/>
    </row>
    <row r="2940" spans="9:14" ht="48.2" customHeight="1" x14ac:dyDescent="0.25">
      <c r="I2940" s="15"/>
      <c r="J2940" s="15"/>
      <c r="K2940" s="15"/>
      <c r="L2940" s="15"/>
      <c r="M2940" s="15"/>
      <c r="N2940" s="15"/>
    </row>
    <row r="2941" spans="9:14" ht="48.2" customHeight="1" x14ac:dyDescent="0.25">
      <c r="I2941" s="15"/>
      <c r="J2941" s="15"/>
      <c r="K2941" s="15"/>
      <c r="L2941" s="15"/>
      <c r="M2941" s="15"/>
      <c r="N2941" s="15"/>
    </row>
    <row r="2942" spans="9:14" ht="48.2" customHeight="1" x14ac:dyDescent="0.25">
      <c r="I2942" s="15"/>
      <c r="J2942" s="15"/>
      <c r="K2942" s="15"/>
      <c r="L2942" s="15"/>
      <c r="M2942" s="15"/>
      <c r="N2942" s="15"/>
    </row>
    <row r="2943" spans="9:14" ht="48.2" customHeight="1" x14ac:dyDescent="0.25">
      <c r="I2943" s="15"/>
      <c r="J2943" s="15"/>
      <c r="K2943" s="15"/>
      <c r="L2943" s="15"/>
      <c r="M2943" s="15"/>
      <c r="N2943" s="15"/>
    </row>
    <row r="2944" spans="9:14" ht="48.2" customHeight="1" x14ac:dyDescent="0.25">
      <c r="I2944" s="15"/>
      <c r="J2944" s="15"/>
      <c r="K2944" s="15"/>
      <c r="L2944" s="15"/>
      <c r="M2944" s="15"/>
      <c r="N2944" s="15"/>
    </row>
    <row r="2945" spans="9:14" ht="48.2" customHeight="1" x14ac:dyDescent="0.25">
      <c r="I2945" s="15"/>
      <c r="J2945" s="15"/>
      <c r="K2945" s="15"/>
      <c r="L2945" s="15"/>
      <c r="M2945" s="15"/>
      <c r="N2945" s="15"/>
    </row>
    <row r="2946" spans="9:14" ht="48.2" customHeight="1" x14ac:dyDescent="0.25">
      <c r="I2946" s="15"/>
      <c r="J2946" s="15"/>
      <c r="K2946" s="15"/>
      <c r="L2946" s="15"/>
      <c r="M2946" s="15"/>
      <c r="N2946" s="15"/>
    </row>
    <row r="2947" spans="9:14" ht="48.2" customHeight="1" x14ac:dyDescent="0.25">
      <c r="I2947" s="15"/>
      <c r="J2947" s="15"/>
      <c r="K2947" s="15"/>
      <c r="L2947" s="15"/>
      <c r="M2947" s="15"/>
      <c r="N2947" s="15"/>
    </row>
    <row r="2948" spans="9:14" ht="48.2" customHeight="1" x14ac:dyDescent="0.25">
      <c r="I2948" s="15"/>
      <c r="J2948" s="15"/>
      <c r="K2948" s="15"/>
      <c r="L2948" s="15"/>
      <c r="M2948" s="15"/>
      <c r="N2948" s="15"/>
    </row>
    <row r="2949" spans="9:14" ht="48.2" customHeight="1" x14ac:dyDescent="0.25">
      <c r="I2949" s="15"/>
      <c r="J2949" s="15"/>
      <c r="K2949" s="15"/>
      <c r="L2949" s="15"/>
      <c r="M2949" s="15"/>
      <c r="N2949" s="15"/>
    </row>
    <row r="2950" spans="9:14" ht="48.2" customHeight="1" x14ac:dyDescent="0.25">
      <c r="I2950" s="15"/>
      <c r="J2950" s="15"/>
      <c r="K2950" s="15"/>
      <c r="L2950" s="15"/>
      <c r="M2950" s="15"/>
      <c r="N2950" s="15"/>
    </row>
    <row r="2951" spans="9:14" ht="48.2" customHeight="1" x14ac:dyDescent="0.25">
      <c r="I2951" s="15"/>
      <c r="J2951" s="15"/>
      <c r="K2951" s="15"/>
      <c r="L2951" s="15"/>
      <c r="M2951" s="15"/>
      <c r="N2951" s="15"/>
    </row>
    <row r="2952" spans="9:14" ht="48.2" customHeight="1" x14ac:dyDescent="0.25">
      <c r="I2952" s="15"/>
      <c r="J2952" s="15"/>
      <c r="K2952" s="15"/>
      <c r="L2952" s="15"/>
      <c r="M2952" s="15"/>
      <c r="N2952" s="15"/>
    </row>
    <row r="2953" spans="9:14" ht="48.2" customHeight="1" x14ac:dyDescent="0.25">
      <c r="I2953" s="15"/>
      <c r="J2953" s="15"/>
      <c r="K2953" s="15"/>
      <c r="L2953" s="15"/>
      <c r="M2953" s="15"/>
      <c r="N2953" s="15"/>
    </row>
    <row r="2954" spans="9:14" ht="48.2" customHeight="1" x14ac:dyDescent="0.25">
      <c r="I2954" s="15"/>
      <c r="J2954" s="15"/>
      <c r="K2954" s="15"/>
      <c r="L2954" s="15"/>
      <c r="M2954" s="15"/>
      <c r="N2954" s="15"/>
    </row>
    <row r="2955" spans="9:14" ht="48.2" customHeight="1" x14ac:dyDescent="0.25">
      <c r="I2955" s="15"/>
      <c r="J2955" s="15"/>
      <c r="K2955" s="15"/>
      <c r="L2955" s="15"/>
      <c r="M2955" s="15"/>
      <c r="N2955" s="15"/>
    </row>
    <row r="2956" spans="9:14" ht="48.2" customHeight="1" x14ac:dyDescent="0.25">
      <c r="I2956" s="15"/>
      <c r="J2956" s="15"/>
      <c r="K2956" s="15"/>
      <c r="L2956" s="15"/>
      <c r="M2956" s="15"/>
      <c r="N2956" s="15"/>
    </row>
    <row r="2957" spans="9:14" ht="48.2" customHeight="1" x14ac:dyDescent="0.25">
      <c r="I2957" s="15"/>
      <c r="J2957" s="15"/>
      <c r="K2957" s="15"/>
      <c r="L2957" s="15"/>
      <c r="M2957" s="15"/>
      <c r="N2957" s="15"/>
    </row>
    <row r="2958" spans="9:14" ht="48.2" customHeight="1" x14ac:dyDescent="0.25">
      <c r="I2958" s="15"/>
      <c r="J2958" s="15"/>
      <c r="K2958" s="15"/>
      <c r="L2958" s="15"/>
      <c r="M2958" s="15"/>
      <c r="N2958" s="15"/>
    </row>
    <row r="2959" spans="9:14" ht="48.2" customHeight="1" x14ac:dyDescent="0.25">
      <c r="I2959" s="15"/>
      <c r="J2959" s="15"/>
      <c r="K2959" s="15"/>
      <c r="L2959" s="15"/>
      <c r="M2959" s="15"/>
      <c r="N2959" s="15"/>
    </row>
    <row r="2960" spans="9:14" ht="48.2" customHeight="1" x14ac:dyDescent="0.25">
      <c r="I2960" s="15"/>
      <c r="J2960" s="15"/>
      <c r="K2960" s="15"/>
      <c r="L2960" s="15"/>
      <c r="M2960" s="15"/>
      <c r="N2960" s="15"/>
    </row>
    <row r="2961" spans="9:14" ht="48.2" customHeight="1" x14ac:dyDescent="0.25">
      <c r="I2961" s="15"/>
      <c r="J2961" s="15"/>
      <c r="K2961" s="15"/>
      <c r="L2961" s="15"/>
      <c r="M2961" s="15"/>
      <c r="N2961" s="15"/>
    </row>
    <row r="2962" spans="9:14" ht="48.2" customHeight="1" x14ac:dyDescent="0.25">
      <c r="I2962" s="15"/>
      <c r="J2962" s="15"/>
      <c r="K2962" s="15"/>
      <c r="L2962" s="15"/>
      <c r="M2962" s="15"/>
      <c r="N2962" s="15"/>
    </row>
    <row r="2963" spans="9:14" ht="48.2" customHeight="1" x14ac:dyDescent="0.25">
      <c r="I2963" s="15"/>
      <c r="J2963" s="15"/>
      <c r="K2963" s="15"/>
      <c r="L2963" s="15"/>
      <c r="M2963" s="15"/>
      <c r="N2963" s="15"/>
    </row>
    <row r="2964" spans="9:14" ht="48.2" customHeight="1" x14ac:dyDescent="0.25">
      <c r="I2964" s="15"/>
      <c r="J2964" s="15"/>
      <c r="K2964" s="15"/>
      <c r="L2964" s="15"/>
      <c r="M2964" s="15"/>
      <c r="N2964" s="15"/>
    </row>
    <row r="2965" spans="9:14" ht="48.2" customHeight="1" x14ac:dyDescent="0.25">
      <c r="I2965" s="15"/>
      <c r="J2965" s="15"/>
      <c r="K2965" s="15"/>
      <c r="L2965" s="15"/>
      <c r="M2965" s="15"/>
      <c r="N2965" s="15"/>
    </row>
    <row r="2966" spans="9:14" ht="48.2" customHeight="1" x14ac:dyDescent="0.25">
      <c r="I2966" s="15"/>
      <c r="J2966" s="15"/>
      <c r="K2966" s="15"/>
      <c r="L2966" s="15"/>
      <c r="M2966" s="15"/>
      <c r="N2966" s="15"/>
    </row>
    <row r="2967" spans="9:14" ht="48.2" customHeight="1" x14ac:dyDescent="0.25">
      <c r="I2967" s="15"/>
      <c r="J2967" s="15"/>
      <c r="K2967" s="15"/>
      <c r="L2967" s="15"/>
      <c r="M2967" s="15"/>
      <c r="N2967" s="15"/>
    </row>
    <row r="2968" spans="9:14" ht="48.2" customHeight="1" x14ac:dyDescent="0.25">
      <c r="I2968" s="15"/>
      <c r="J2968" s="15"/>
      <c r="K2968" s="15"/>
      <c r="L2968" s="15"/>
      <c r="M2968" s="15"/>
      <c r="N2968" s="15"/>
    </row>
    <row r="2969" spans="9:14" ht="48.2" customHeight="1" x14ac:dyDescent="0.25">
      <c r="I2969" s="15"/>
      <c r="J2969" s="15"/>
      <c r="K2969" s="15"/>
      <c r="L2969" s="15"/>
      <c r="M2969" s="15"/>
      <c r="N2969" s="15"/>
    </row>
    <row r="2970" spans="9:14" ht="48.2" customHeight="1" x14ac:dyDescent="0.25">
      <c r="I2970" s="15"/>
      <c r="J2970" s="15"/>
      <c r="K2970" s="15"/>
      <c r="L2970" s="15"/>
      <c r="M2970" s="15"/>
      <c r="N2970" s="15"/>
    </row>
    <row r="2971" spans="9:14" ht="48.2" customHeight="1" x14ac:dyDescent="0.25">
      <c r="I2971" s="15"/>
      <c r="J2971" s="15"/>
      <c r="K2971" s="15"/>
      <c r="L2971" s="15"/>
      <c r="M2971" s="15"/>
      <c r="N2971" s="15"/>
    </row>
    <row r="2972" spans="9:14" ht="48.2" customHeight="1" x14ac:dyDescent="0.25">
      <c r="I2972" s="15"/>
      <c r="J2972" s="15"/>
      <c r="K2972" s="15"/>
      <c r="L2972" s="15"/>
      <c r="M2972" s="15"/>
      <c r="N2972" s="15"/>
    </row>
    <row r="2973" spans="9:14" ht="48.2" customHeight="1" x14ac:dyDescent="0.25">
      <c r="I2973" s="15"/>
      <c r="J2973" s="15"/>
      <c r="K2973" s="15"/>
      <c r="L2973" s="15"/>
      <c r="M2973" s="15"/>
      <c r="N2973" s="15"/>
    </row>
    <row r="2974" spans="9:14" ht="48.2" customHeight="1" x14ac:dyDescent="0.25">
      <c r="I2974" s="15"/>
      <c r="J2974" s="15"/>
      <c r="K2974" s="15"/>
      <c r="L2974" s="15"/>
      <c r="M2974" s="15"/>
      <c r="N2974" s="15"/>
    </row>
    <row r="2975" spans="9:14" ht="48.2" customHeight="1" x14ac:dyDescent="0.25">
      <c r="I2975" s="15"/>
      <c r="J2975" s="15"/>
      <c r="K2975" s="15"/>
      <c r="L2975" s="15"/>
      <c r="M2975" s="15"/>
      <c r="N2975" s="15"/>
    </row>
    <row r="2976" spans="9:14" ht="48.2" customHeight="1" x14ac:dyDescent="0.25">
      <c r="I2976" s="15"/>
      <c r="J2976" s="15"/>
      <c r="K2976" s="15"/>
      <c r="L2976" s="15"/>
      <c r="M2976" s="15"/>
      <c r="N2976" s="15"/>
    </row>
    <row r="2977" spans="9:14" ht="48.2" customHeight="1" x14ac:dyDescent="0.25">
      <c r="I2977" s="15"/>
      <c r="J2977" s="15"/>
      <c r="K2977" s="15"/>
      <c r="L2977" s="15"/>
      <c r="M2977" s="15"/>
      <c r="N2977" s="15"/>
    </row>
    <row r="2978" spans="9:14" ht="48.2" customHeight="1" x14ac:dyDescent="0.25">
      <c r="I2978" s="15"/>
      <c r="J2978" s="15"/>
      <c r="K2978" s="15"/>
      <c r="L2978" s="15"/>
      <c r="M2978" s="15"/>
      <c r="N2978" s="15"/>
    </row>
    <row r="2979" spans="9:14" ht="48.2" customHeight="1" x14ac:dyDescent="0.25">
      <c r="I2979" s="15"/>
      <c r="J2979" s="15"/>
      <c r="K2979" s="15"/>
      <c r="L2979" s="15"/>
      <c r="M2979" s="15"/>
      <c r="N2979" s="15"/>
    </row>
    <row r="2980" spans="9:14" ht="48.2" customHeight="1" x14ac:dyDescent="0.25">
      <c r="I2980" s="15"/>
      <c r="J2980" s="15"/>
      <c r="K2980" s="15"/>
      <c r="L2980" s="15"/>
      <c r="M2980" s="15"/>
      <c r="N2980" s="15"/>
    </row>
    <row r="2981" spans="9:14" ht="48.2" customHeight="1" x14ac:dyDescent="0.25">
      <c r="I2981" s="15"/>
      <c r="J2981" s="15"/>
      <c r="K2981" s="15"/>
      <c r="L2981" s="15"/>
      <c r="M2981" s="15"/>
      <c r="N2981" s="15"/>
    </row>
    <row r="2982" spans="9:14" ht="48.2" customHeight="1" x14ac:dyDescent="0.25">
      <c r="I2982" s="15"/>
      <c r="J2982" s="15"/>
      <c r="K2982" s="15"/>
      <c r="L2982" s="15"/>
      <c r="M2982" s="15"/>
      <c r="N2982" s="15"/>
    </row>
    <row r="2983" spans="9:14" ht="48.2" customHeight="1" x14ac:dyDescent="0.25">
      <c r="I2983" s="15"/>
      <c r="J2983" s="15"/>
      <c r="K2983" s="15"/>
      <c r="L2983" s="15"/>
      <c r="M2983" s="15"/>
      <c r="N2983" s="15"/>
    </row>
    <row r="2984" spans="9:14" ht="48.2" customHeight="1" x14ac:dyDescent="0.25">
      <c r="I2984" s="15"/>
      <c r="J2984" s="15"/>
      <c r="K2984" s="15"/>
      <c r="L2984" s="15"/>
      <c r="M2984" s="15"/>
      <c r="N2984" s="15"/>
    </row>
    <row r="2985" spans="9:14" ht="48.2" customHeight="1" x14ac:dyDescent="0.25">
      <c r="I2985" s="15"/>
      <c r="J2985" s="15"/>
      <c r="K2985" s="15"/>
      <c r="L2985" s="15"/>
      <c r="M2985" s="15"/>
      <c r="N2985" s="15"/>
    </row>
    <row r="2986" spans="9:14" ht="48.2" customHeight="1" x14ac:dyDescent="0.25">
      <c r="I2986" s="15"/>
      <c r="J2986" s="15"/>
      <c r="K2986" s="15"/>
      <c r="L2986" s="15"/>
      <c r="M2986" s="15"/>
      <c r="N2986" s="15"/>
    </row>
    <row r="2987" spans="9:14" ht="48.2" customHeight="1" x14ac:dyDescent="0.25">
      <c r="I2987" s="15"/>
      <c r="J2987" s="15"/>
      <c r="K2987" s="15"/>
      <c r="L2987" s="15"/>
      <c r="M2987" s="15"/>
      <c r="N2987" s="15"/>
    </row>
    <row r="2988" spans="9:14" ht="48.2" customHeight="1" x14ac:dyDescent="0.25">
      <c r="I2988" s="15"/>
      <c r="J2988" s="15"/>
      <c r="K2988" s="15"/>
      <c r="L2988" s="15"/>
      <c r="M2988" s="15"/>
      <c r="N2988" s="15"/>
    </row>
    <row r="2989" spans="9:14" ht="48.2" customHeight="1" x14ac:dyDescent="0.25">
      <c r="I2989" s="15"/>
      <c r="J2989" s="15"/>
      <c r="K2989" s="15"/>
      <c r="L2989" s="15"/>
      <c r="M2989" s="15"/>
      <c r="N2989" s="15"/>
    </row>
    <row r="2990" spans="9:14" ht="48.2" customHeight="1" x14ac:dyDescent="0.25">
      <c r="I2990" s="15"/>
      <c r="J2990" s="15"/>
      <c r="K2990" s="15"/>
      <c r="L2990" s="15"/>
      <c r="M2990" s="15"/>
      <c r="N2990" s="15"/>
    </row>
    <row r="2991" spans="9:14" ht="48.2" customHeight="1" x14ac:dyDescent="0.25">
      <c r="I2991" s="15"/>
      <c r="J2991" s="15"/>
      <c r="K2991" s="15"/>
      <c r="L2991" s="15"/>
      <c r="M2991" s="15"/>
      <c r="N2991" s="15"/>
    </row>
    <row r="2992" spans="9:14" ht="48.2" customHeight="1" x14ac:dyDescent="0.25">
      <c r="I2992" s="15"/>
      <c r="J2992" s="15"/>
      <c r="K2992" s="15"/>
      <c r="L2992" s="15"/>
      <c r="M2992" s="15"/>
      <c r="N2992" s="15"/>
    </row>
    <row r="2993" spans="9:14" ht="48.2" customHeight="1" x14ac:dyDescent="0.25">
      <c r="I2993" s="15"/>
      <c r="J2993" s="15"/>
      <c r="K2993" s="15"/>
      <c r="L2993" s="15"/>
      <c r="M2993" s="15"/>
      <c r="N2993" s="15"/>
    </row>
    <row r="2994" spans="9:14" ht="48.2" customHeight="1" x14ac:dyDescent="0.25">
      <c r="I2994" s="15"/>
      <c r="J2994" s="15"/>
      <c r="K2994" s="15"/>
      <c r="L2994" s="15"/>
      <c r="M2994" s="15"/>
      <c r="N2994" s="15"/>
    </row>
    <row r="2995" spans="9:14" ht="48.2" customHeight="1" x14ac:dyDescent="0.25">
      <c r="I2995" s="15"/>
      <c r="J2995" s="15"/>
      <c r="K2995" s="15"/>
      <c r="L2995" s="15"/>
      <c r="M2995" s="15"/>
      <c r="N2995" s="15"/>
    </row>
    <row r="2996" spans="9:14" ht="48.2" customHeight="1" x14ac:dyDescent="0.25">
      <c r="I2996" s="15"/>
      <c r="J2996" s="15"/>
      <c r="K2996" s="15"/>
      <c r="L2996" s="15"/>
      <c r="M2996" s="15"/>
      <c r="N2996" s="15"/>
    </row>
    <row r="2997" spans="9:14" ht="48.2" customHeight="1" x14ac:dyDescent="0.25">
      <c r="I2997" s="15"/>
      <c r="J2997" s="15"/>
      <c r="K2997" s="15"/>
      <c r="L2997" s="15"/>
      <c r="M2997" s="15"/>
      <c r="N2997" s="15"/>
    </row>
    <row r="2998" spans="9:14" ht="48.2" customHeight="1" x14ac:dyDescent="0.25">
      <c r="I2998" s="15"/>
      <c r="J2998" s="15"/>
      <c r="K2998" s="15"/>
      <c r="L2998" s="15"/>
      <c r="M2998" s="15"/>
      <c r="N2998" s="15"/>
    </row>
    <row r="2999" spans="9:14" ht="48.2" customHeight="1" x14ac:dyDescent="0.25">
      <c r="I2999" s="15"/>
      <c r="J2999" s="15"/>
      <c r="K2999" s="15"/>
      <c r="L2999" s="15"/>
      <c r="M2999" s="15"/>
      <c r="N2999" s="15"/>
    </row>
    <row r="3000" spans="9:14" ht="48.2" customHeight="1" x14ac:dyDescent="0.25">
      <c r="I3000" s="15"/>
      <c r="J3000" s="15"/>
      <c r="K3000" s="15"/>
      <c r="L3000" s="15"/>
      <c r="M3000" s="15"/>
      <c r="N3000" s="15"/>
    </row>
    <row r="3001" spans="9:14" ht="48.2" customHeight="1" x14ac:dyDescent="0.25">
      <c r="I3001" s="15"/>
      <c r="J3001" s="15"/>
      <c r="K3001" s="15"/>
      <c r="L3001" s="15"/>
      <c r="M3001" s="15"/>
      <c r="N3001" s="15"/>
    </row>
    <row r="3002" spans="9:14" ht="48.2" customHeight="1" x14ac:dyDescent="0.25">
      <c r="I3002" s="15"/>
      <c r="J3002" s="15"/>
      <c r="K3002" s="15"/>
      <c r="L3002" s="15"/>
      <c r="M3002" s="15"/>
      <c r="N3002" s="15"/>
    </row>
    <row r="3003" spans="9:14" ht="48.2" customHeight="1" x14ac:dyDescent="0.25">
      <c r="I3003" s="15"/>
      <c r="J3003" s="15"/>
      <c r="K3003" s="15"/>
      <c r="L3003" s="15"/>
      <c r="M3003" s="15"/>
      <c r="N3003" s="15"/>
    </row>
    <row r="3004" spans="9:14" ht="48.2" customHeight="1" x14ac:dyDescent="0.25">
      <c r="I3004" s="15"/>
      <c r="J3004" s="15"/>
      <c r="K3004" s="15"/>
      <c r="L3004" s="15"/>
      <c r="M3004" s="15"/>
      <c r="N3004" s="15"/>
    </row>
    <row r="3005" spans="9:14" ht="48.2" customHeight="1" x14ac:dyDescent="0.25">
      <c r="I3005" s="15"/>
      <c r="J3005" s="15"/>
      <c r="K3005" s="15"/>
      <c r="L3005" s="15"/>
      <c r="M3005" s="15"/>
      <c r="N3005" s="15"/>
    </row>
    <row r="3006" spans="9:14" ht="48.2" customHeight="1" x14ac:dyDescent="0.25">
      <c r="I3006" s="15"/>
      <c r="J3006" s="15"/>
      <c r="K3006" s="15"/>
      <c r="L3006" s="15"/>
      <c r="M3006" s="15"/>
      <c r="N3006" s="15"/>
    </row>
    <row r="3007" spans="9:14" ht="48.2" customHeight="1" x14ac:dyDescent="0.25">
      <c r="I3007" s="15"/>
      <c r="J3007" s="15"/>
      <c r="K3007" s="15"/>
      <c r="L3007" s="15"/>
      <c r="M3007" s="15"/>
      <c r="N3007" s="15"/>
    </row>
    <row r="3008" spans="9:14" ht="48.2" customHeight="1" x14ac:dyDescent="0.25">
      <c r="I3008" s="15"/>
      <c r="J3008" s="15"/>
      <c r="K3008" s="15"/>
      <c r="L3008" s="15"/>
      <c r="M3008" s="15"/>
      <c r="N3008" s="15"/>
    </row>
    <row r="3009" spans="9:14" ht="48.2" customHeight="1" x14ac:dyDescent="0.25">
      <c r="I3009" s="15"/>
      <c r="J3009" s="15"/>
      <c r="K3009" s="15"/>
      <c r="L3009" s="15"/>
      <c r="M3009" s="15"/>
      <c r="N3009" s="15"/>
    </row>
    <row r="3010" spans="9:14" ht="48.2" customHeight="1" x14ac:dyDescent="0.25">
      <c r="I3010" s="15"/>
      <c r="J3010" s="15"/>
      <c r="K3010" s="15"/>
      <c r="L3010" s="15"/>
      <c r="M3010" s="15"/>
      <c r="N3010" s="15"/>
    </row>
    <row r="3011" spans="9:14" ht="48.2" customHeight="1" x14ac:dyDescent="0.25">
      <c r="I3011" s="15"/>
      <c r="J3011" s="15"/>
      <c r="K3011" s="15"/>
      <c r="L3011" s="15"/>
      <c r="M3011" s="15"/>
      <c r="N3011" s="15"/>
    </row>
    <row r="3012" spans="9:14" ht="48.2" customHeight="1" x14ac:dyDescent="0.25">
      <c r="I3012" s="15"/>
      <c r="J3012" s="15"/>
      <c r="K3012" s="15"/>
      <c r="L3012" s="15"/>
      <c r="M3012" s="15"/>
      <c r="N3012" s="15"/>
    </row>
    <row r="3013" spans="9:14" ht="48.2" customHeight="1" x14ac:dyDescent="0.25">
      <c r="I3013" s="15"/>
      <c r="J3013" s="15"/>
      <c r="K3013" s="15"/>
      <c r="L3013" s="15"/>
      <c r="M3013" s="15"/>
      <c r="N3013" s="15"/>
    </row>
    <row r="3014" spans="9:14" ht="48.2" customHeight="1" x14ac:dyDescent="0.25">
      <c r="I3014" s="15"/>
      <c r="J3014" s="15"/>
      <c r="K3014" s="15"/>
      <c r="L3014" s="15"/>
      <c r="M3014" s="15"/>
      <c r="N3014" s="15"/>
    </row>
    <row r="3015" spans="9:14" ht="48.2" customHeight="1" x14ac:dyDescent="0.25">
      <c r="I3015" s="15"/>
      <c r="J3015" s="15"/>
      <c r="K3015" s="15"/>
      <c r="L3015" s="15"/>
      <c r="M3015" s="15"/>
      <c r="N3015" s="15"/>
    </row>
    <row r="3016" spans="9:14" ht="48.2" customHeight="1" x14ac:dyDescent="0.25">
      <c r="I3016" s="15"/>
      <c r="J3016" s="15"/>
      <c r="K3016" s="15"/>
      <c r="L3016" s="15"/>
      <c r="M3016" s="15"/>
      <c r="N3016" s="15"/>
    </row>
    <row r="3017" spans="9:14" ht="48.2" customHeight="1" x14ac:dyDescent="0.25">
      <c r="I3017" s="15"/>
      <c r="J3017" s="15"/>
      <c r="K3017" s="15"/>
      <c r="L3017" s="15"/>
      <c r="M3017" s="15"/>
      <c r="N3017" s="15"/>
    </row>
    <row r="3018" spans="9:14" ht="48.2" customHeight="1" x14ac:dyDescent="0.25">
      <c r="I3018" s="15"/>
      <c r="J3018" s="15"/>
      <c r="K3018" s="15"/>
      <c r="L3018" s="15"/>
      <c r="M3018" s="15"/>
      <c r="N3018" s="15"/>
    </row>
    <row r="3019" spans="9:14" ht="48.2" customHeight="1" x14ac:dyDescent="0.25">
      <c r="I3019" s="15"/>
      <c r="J3019" s="15"/>
      <c r="K3019" s="15"/>
      <c r="L3019" s="15"/>
      <c r="M3019" s="15"/>
      <c r="N3019" s="15"/>
    </row>
    <row r="3020" spans="9:14" ht="48.2" customHeight="1" x14ac:dyDescent="0.25">
      <c r="I3020" s="15"/>
      <c r="J3020" s="15"/>
      <c r="K3020" s="15"/>
      <c r="L3020" s="15"/>
      <c r="M3020" s="15"/>
      <c r="N3020" s="15"/>
    </row>
    <row r="3021" spans="9:14" ht="48.2" customHeight="1" x14ac:dyDescent="0.25">
      <c r="I3021" s="15"/>
      <c r="J3021" s="15"/>
      <c r="K3021" s="15"/>
      <c r="L3021" s="15"/>
      <c r="M3021" s="15"/>
      <c r="N3021" s="15"/>
    </row>
    <row r="3022" spans="9:14" ht="48.2" customHeight="1" x14ac:dyDescent="0.25">
      <c r="I3022" s="15"/>
      <c r="J3022" s="15"/>
      <c r="K3022" s="15"/>
      <c r="L3022" s="15"/>
      <c r="M3022" s="15"/>
      <c r="N3022" s="15"/>
    </row>
    <row r="3023" spans="9:14" ht="48.2" customHeight="1" x14ac:dyDescent="0.25">
      <c r="I3023" s="15"/>
      <c r="J3023" s="15"/>
      <c r="K3023" s="15"/>
      <c r="L3023" s="15"/>
      <c r="M3023" s="15"/>
      <c r="N3023" s="15"/>
    </row>
    <row r="3024" spans="9:14" ht="48.2" customHeight="1" x14ac:dyDescent="0.25">
      <c r="I3024" s="15"/>
      <c r="J3024" s="15"/>
      <c r="K3024" s="15"/>
      <c r="L3024" s="15"/>
      <c r="M3024" s="15"/>
      <c r="N3024" s="15"/>
    </row>
    <row r="3025" spans="9:14" ht="48.2" customHeight="1" x14ac:dyDescent="0.25">
      <c r="I3025" s="15"/>
      <c r="J3025" s="15"/>
      <c r="K3025" s="15"/>
      <c r="L3025" s="15"/>
      <c r="M3025" s="15"/>
      <c r="N3025" s="15"/>
    </row>
    <row r="3026" spans="9:14" ht="48.2" customHeight="1" x14ac:dyDescent="0.25">
      <c r="I3026" s="15"/>
      <c r="J3026" s="15"/>
      <c r="K3026" s="15"/>
      <c r="L3026" s="15"/>
      <c r="M3026" s="15"/>
      <c r="N3026" s="15"/>
    </row>
    <row r="3027" spans="9:14" ht="48.2" customHeight="1" x14ac:dyDescent="0.25">
      <c r="I3027" s="15"/>
      <c r="J3027" s="15"/>
      <c r="K3027" s="15"/>
      <c r="L3027" s="15"/>
      <c r="M3027" s="15"/>
      <c r="N3027" s="15"/>
    </row>
    <row r="3028" spans="9:14" ht="48.2" customHeight="1" x14ac:dyDescent="0.25">
      <c r="I3028" s="15"/>
      <c r="J3028" s="15"/>
      <c r="K3028" s="15"/>
      <c r="L3028" s="15"/>
      <c r="M3028" s="15"/>
      <c r="N3028" s="15"/>
    </row>
    <row r="3029" spans="9:14" ht="48.2" customHeight="1" x14ac:dyDescent="0.25">
      <c r="I3029" s="15"/>
      <c r="J3029" s="15"/>
      <c r="K3029" s="15"/>
      <c r="L3029" s="15"/>
      <c r="M3029" s="15"/>
      <c r="N3029" s="15"/>
    </row>
    <row r="3030" spans="9:14" ht="48.2" customHeight="1" x14ac:dyDescent="0.25">
      <c r="I3030" s="15"/>
      <c r="J3030" s="15"/>
      <c r="K3030" s="15"/>
      <c r="L3030" s="15"/>
      <c r="M3030" s="15"/>
      <c r="N3030" s="15"/>
    </row>
    <row r="3031" spans="9:14" ht="48.2" customHeight="1" x14ac:dyDescent="0.25">
      <c r="I3031" s="15"/>
      <c r="J3031" s="15"/>
      <c r="K3031" s="15"/>
      <c r="L3031" s="15"/>
      <c r="M3031" s="15"/>
      <c r="N3031" s="15"/>
    </row>
    <row r="3032" spans="9:14" ht="48.2" customHeight="1" x14ac:dyDescent="0.25">
      <c r="I3032" s="15"/>
      <c r="J3032" s="15"/>
      <c r="K3032" s="15"/>
      <c r="L3032" s="15"/>
      <c r="M3032" s="15"/>
      <c r="N3032" s="15"/>
    </row>
    <row r="3033" spans="9:14" ht="48.2" customHeight="1" x14ac:dyDescent="0.25">
      <c r="I3033" s="15"/>
      <c r="J3033" s="15"/>
      <c r="K3033" s="15"/>
      <c r="L3033" s="15"/>
      <c r="M3033" s="15"/>
      <c r="N3033" s="15"/>
    </row>
    <row r="3034" spans="9:14" ht="48.2" customHeight="1" x14ac:dyDescent="0.25">
      <c r="I3034" s="15"/>
      <c r="J3034" s="15"/>
      <c r="K3034" s="15"/>
      <c r="L3034" s="15"/>
      <c r="M3034" s="15"/>
      <c r="N3034" s="15"/>
    </row>
    <row r="3035" spans="9:14" ht="48.2" customHeight="1" x14ac:dyDescent="0.25">
      <c r="I3035" s="15"/>
      <c r="J3035" s="15"/>
      <c r="K3035" s="15"/>
      <c r="L3035" s="15"/>
      <c r="M3035" s="15"/>
      <c r="N3035" s="15"/>
    </row>
    <row r="3036" spans="9:14" ht="48.2" customHeight="1" x14ac:dyDescent="0.25">
      <c r="I3036" s="15"/>
      <c r="J3036" s="15"/>
      <c r="K3036" s="15"/>
      <c r="L3036" s="15"/>
      <c r="M3036" s="15"/>
      <c r="N3036" s="15"/>
    </row>
    <row r="3037" spans="9:14" ht="48.2" customHeight="1" x14ac:dyDescent="0.25">
      <c r="I3037" s="15"/>
      <c r="J3037" s="15"/>
      <c r="K3037" s="15"/>
      <c r="L3037" s="15"/>
      <c r="M3037" s="15"/>
      <c r="N3037" s="15"/>
    </row>
    <row r="3038" spans="9:14" ht="48.2" customHeight="1" x14ac:dyDescent="0.25">
      <c r="I3038" s="15"/>
      <c r="J3038" s="15"/>
      <c r="K3038" s="15"/>
      <c r="L3038" s="15"/>
      <c r="M3038" s="15"/>
      <c r="N3038" s="15"/>
    </row>
    <row r="3039" spans="9:14" ht="48.2" customHeight="1" x14ac:dyDescent="0.25">
      <c r="I3039" s="15"/>
      <c r="J3039" s="15"/>
      <c r="K3039" s="15"/>
      <c r="L3039" s="15"/>
      <c r="M3039" s="15"/>
      <c r="N3039" s="15"/>
    </row>
    <row r="3040" spans="9:14" ht="48.2" customHeight="1" x14ac:dyDescent="0.25">
      <c r="I3040" s="15"/>
      <c r="J3040" s="15"/>
      <c r="K3040" s="15"/>
      <c r="L3040" s="15"/>
      <c r="M3040" s="15"/>
      <c r="N3040" s="15"/>
    </row>
    <row r="3041" spans="9:14" ht="48.2" customHeight="1" x14ac:dyDescent="0.25">
      <c r="I3041" s="15"/>
      <c r="J3041" s="15"/>
      <c r="K3041" s="15"/>
      <c r="L3041" s="15"/>
      <c r="M3041" s="15"/>
      <c r="N3041" s="15"/>
    </row>
    <row r="3042" spans="9:14" ht="48.2" customHeight="1" x14ac:dyDescent="0.25">
      <c r="I3042" s="15"/>
      <c r="J3042" s="15"/>
      <c r="K3042" s="15"/>
      <c r="L3042" s="15"/>
      <c r="M3042" s="15"/>
      <c r="N3042" s="15"/>
    </row>
    <row r="3043" spans="9:14" ht="48.2" customHeight="1" x14ac:dyDescent="0.25">
      <c r="I3043" s="15"/>
      <c r="J3043" s="15"/>
      <c r="K3043" s="15"/>
      <c r="L3043" s="15"/>
      <c r="M3043" s="15"/>
      <c r="N3043" s="15"/>
    </row>
    <row r="3044" spans="9:14" ht="48.2" customHeight="1" x14ac:dyDescent="0.25">
      <c r="I3044" s="15"/>
      <c r="J3044" s="15"/>
      <c r="K3044" s="15"/>
      <c r="L3044" s="15"/>
      <c r="M3044" s="15"/>
      <c r="N3044" s="15"/>
    </row>
    <row r="3045" spans="9:14" ht="48.2" customHeight="1" x14ac:dyDescent="0.25">
      <c r="I3045" s="15"/>
      <c r="J3045" s="15"/>
      <c r="K3045" s="15"/>
      <c r="L3045" s="15"/>
      <c r="M3045" s="15"/>
      <c r="N3045" s="15"/>
    </row>
    <row r="3046" spans="9:14" ht="48.2" customHeight="1" x14ac:dyDescent="0.25">
      <c r="I3046" s="15"/>
      <c r="J3046" s="15"/>
      <c r="K3046" s="15"/>
      <c r="L3046" s="15"/>
      <c r="M3046" s="15"/>
      <c r="N3046" s="15"/>
    </row>
    <row r="3047" spans="9:14" ht="48.2" customHeight="1" x14ac:dyDescent="0.25">
      <c r="I3047" s="15"/>
      <c r="J3047" s="15"/>
      <c r="K3047" s="15"/>
      <c r="L3047" s="15"/>
      <c r="M3047" s="15"/>
      <c r="N3047" s="15"/>
    </row>
    <row r="3048" spans="9:14" ht="48.2" customHeight="1" x14ac:dyDescent="0.25">
      <c r="I3048" s="15"/>
      <c r="J3048" s="15"/>
      <c r="K3048" s="15"/>
      <c r="L3048" s="15"/>
      <c r="M3048" s="15"/>
      <c r="N3048" s="15"/>
    </row>
    <row r="3049" spans="9:14" ht="48.2" customHeight="1" x14ac:dyDescent="0.25">
      <c r="I3049" s="15"/>
      <c r="J3049" s="15"/>
      <c r="K3049" s="15"/>
      <c r="L3049" s="15"/>
      <c r="M3049" s="15"/>
      <c r="N3049" s="15"/>
    </row>
    <row r="3050" spans="9:14" ht="48.2" customHeight="1" x14ac:dyDescent="0.25">
      <c r="I3050" s="15"/>
      <c r="J3050" s="15"/>
      <c r="K3050" s="15"/>
      <c r="L3050" s="15"/>
      <c r="M3050" s="15"/>
      <c r="N3050" s="15"/>
    </row>
    <row r="3051" spans="9:14" ht="48.2" customHeight="1" x14ac:dyDescent="0.25">
      <c r="I3051" s="15"/>
      <c r="J3051" s="15"/>
      <c r="K3051" s="15"/>
      <c r="L3051" s="15"/>
      <c r="M3051" s="15"/>
      <c r="N3051" s="15"/>
    </row>
    <row r="3052" spans="9:14" ht="48.2" customHeight="1" x14ac:dyDescent="0.25">
      <c r="I3052" s="15"/>
      <c r="J3052" s="15"/>
      <c r="K3052" s="15"/>
      <c r="L3052" s="15"/>
      <c r="M3052" s="15"/>
      <c r="N3052" s="15"/>
    </row>
    <row r="3053" spans="9:14" ht="48.2" customHeight="1" x14ac:dyDescent="0.25">
      <c r="I3053" s="15"/>
      <c r="J3053" s="15"/>
      <c r="K3053" s="15"/>
      <c r="L3053" s="15"/>
      <c r="M3053" s="15"/>
      <c r="N3053" s="15"/>
    </row>
    <row r="3054" spans="9:14" ht="48.2" customHeight="1" x14ac:dyDescent="0.25">
      <c r="I3054" s="15"/>
      <c r="J3054" s="15"/>
      <c r="K3054" s="15"/>
      <c r="L3054" s="15"/>
      <c r="M3054" s="15"/>
      <c r="N3054" s="15"/>
    </row>
    <row r="3055" spans="9:14" ht="48.2" customHeight="1" x14ac:dyDescent="0.25">
      <c r="I3055" s="15"/>
      <c r="J3055" s="15"/>
      <c r="K3055" s="15"/>
      <c r="L3055" s="15"/>
      <c r="M3055" s="15"/>
      <c r="N3055" s="15"/>
    </row>
    <row r="3056" spans="9:14" ht="48.2" customHeight="1" x14ac:dyDescent="0.25">
      <c r="I3056" s="15"/>
      <c r="J3056" s="15"/>
      <c r="K3056" s="15"/>
      <c r="L3056" s="15"/>
      <c r="M3056" s="15"/>
      <c r="N3056" s="15"/>
    </row>
    <row r="3057" spans="9:14" ht="48.2" customHeight="1" x14ac:dyDescent="0.25">
      <c r="I3057" s="15"/>
      <c r="J3057" s="15"/>
      <c r="K3057" s="15"/>
      <c r="L3057" s="15"/>
      <c r="M3057" s="15"/>
      <c r="N3057" s="15"/>
    </row>
    <row r="3058" spans="9:14" ht="48.2" customHeight="1" x14ac:dyDescent="0.25">
      <c r="I3058" s="15"/>
      <c r="J3058" s="15"/>
      <c r="K3058" s="15"/>
      <c r="L3058" s="15"/>
      <c r="M3058" s="15"/>
      <c r="N3058" s="15"/>
    </row>
    <row r="3059" spans="9:14" ht="48.2" customHeight="1" x14ac:dyDescent="0.25">
      <c r="I3059" s="15"/>
      <c r="J3059" s="15"/>
      <c r="K3059" s="15"/>
      <c r="L3059" s="15"/>
      <c r="M3059" s="15"/>
      <c r="N3059" s="15"/>
    </row>
    <row r="3060" spans="9:14" ht="48.2" customHeight="1" x14ac:dyDescent="0.25">
      <c r="I3060" s="15"/>
      <c r="J3060" s="15"/>
      <c r="K3060" s="15"/>
      <c r="L3060" s="15"/>
      <c r="M3060" s="15"/>
      <c r="N3060" s="15"/>
    </row>
    <row r="3061" spans="9:14" ht="48.2" customHeight="1" x14ac:dyDescent="0.25">
      <c r="I3061" s="15"/>
      <c r="J3061" s="15"/>
      <c r="K3061" s="15"/>
      <c r="L3061" s="15"/>
      <c r="M3061" s="15"/>
      <c r="N3061" s="15"/>
    </row>
    <row r="3062" spans="9:14" ht="48.2" customHeight="1" x14ac:dyDescent="0.25">
      <c r="I3062" s="15"/>
      <c r="J3062" s="15"/>
      <c r="K3062" s="15"/>
      <c r="L3062" s="15"/>
      <c r="M3062" s="15"/>
      <c r="N3062" s="15"/>
    </row>
    <row r="3063" spans="9:14" ht="48.2" customHeight="1" x14ac:dyDescent="0.25">
      <c r="I3063" s="15"/>
      <c r="J3063" s="15"/>
      <c r="K3063" s="15"/>
      <c r="L3063" s="15"/>
      <c r="M3063" s="15"/>
      <c r="N3063" s="15"/>
    </row>
    <row r="3064" spans="9:14" ht="48.2" customHeight="1" x14ac:dyDescent="0.25">
      <c r="I3064" s="15"/>
      <c r="J3064" s="15"/>
      <c r="K3064" s="15"/>
      <c r="L3064" s="15"/>
      <c r="M3064" s="15"/>
      <c r="N3064" s="15"/>
    </row>
    <row r="3065" spans="9:14" ht="48.2" customHeight="1" x14ac:dyDescent="0.25">
      <c r="I3065" s="15"/>
      <c r="J3065" s="15"/>
      <c r="K3065" s="15"/>
      <c r="L3065" s="15"/>
      <c r="M3065" s="15"/>
      <c r="N3065" s="15"/>
    </row>
    <row r="3066" spans="9:14" ht="48.2" customHeight="1" x14ac:dyDescent="0.25">
      <c r="I3066" s="15"/>
      <c r="J3066" s="15"/>
      <c r="K3066" s="15"/>
      <c r="L3066" s="15"/>
      <c r="M3066" s="15"/>
      <c r="N3066" s="15"/>
    </row>
    <row r="3067" spans="9:14" ht="48.2" customHeight="1" x14ac:dyDescent="0.25">
      <c r="I3067" s="15"/>
      <c r="J3067" s="15"/>
      <c r="K3067" s="15"/>
      <c r="L3067" s="15"/>
      <c r="M3067" s="15"/>
      <c r="N3067" s="15"/>
    </row>
    <row r="3068" spans="9:14" ht="48.2" customHeight="1" x14ac:dyDescent="0.25">
      <c r="I3068" s="15"/>
      <c r="J3068" s="15"/>
      <c r="K3068" s="15"/>
      <c r="L3068" s="15"/>
      <c r="M3068" s="15"/>
      <c r="N3068" s="15"/>
    </row>
    <row r="3069" spans="9:14" ht="48.2" customHeight="1" x14ac:dyDescent="0.25">
      <c r="I3069" s="15"/>
      <c r="J3069" s="15"/>
      <c r="K3069" s="15"/>
      <c r="L3069" s="15"/>
      <c r="M3069" s="15"/>
      <c r="N3069" s="15"/>
    </row>
    <row r="3070" spans="9:14" ht="48.2" customHeight="1" x14ac:dyDescent="0.25">
      <c r="I3070" s="15"/>
      <c r="J3070" s="15"/>
      <c r="K3070" s="15"/>
      <c r="L3070" s="15"/>
      <c r="M3070" s="15"/>
      <c r="N3070" s="15"/>
    </row>
    <row r="3071" spans="9:14" ht="48.2" customHeight="1" x14ac:dyDescent="0.25">
      <c r="I3071" s="15"/>
      <c r="J3071" s="15"/>
      <c r="K3071" s="15"/>
      <c r="L3071" s="15"/>
      <c r="M3071" s="15"/>
      <c r="N3071" s="15"/>
    </row>
    <row r="3072" spans="9:14" ht="48.2" customHeight="1" x14ac:dyDescent="0.25">
      <c r="I3072" s="15"/>
      <c r="J3072" s="15"/>
      <c r="K3072" s="15"/>
      <c r="L3072" s="15"/>
      <c r="M3072" s="15"/>
      <c r="N3072" s="15"/>
    </row>
    <row r="3073" spans="9:14" ht="48.2" customHeight="1" x14ac:dyDescent="0.25">
      <c r="I3073" s="15"/>
      <c r="J3073" s="15"/>
      <c r="K3073" s="15"/>
      <c r="L3073" s="15"/>
      <c r="M3073" s="15"/>
      <c r="N3073" s="15"/>
    </row>
    <row r="3074" spans="9:14" ht="48.2" customHeight="1" x14ac:dyDescent="0.25">
      <c r="I3074" s="15"/>
      <c r="J3074" s="15"/>
      <c r="K3074" s="15"/>
      <c r="L3074" s="15"/>
      <c r="M3074" s="15"/>
      <c r="N3074" s="15"/>
    </row>
    <row r="3075" spans="9:14" ht="48.2" customHeight="1" x14ac:dyDescent="0.25">
      <c r="I3075" s="15"/>
      <c r="J3075" s="15"/>
      <c r="K3075" s="15"/>
      <c r="L3075" s="15"/>
      <c r="M3075" s="15"/>
      <c r="N3075" s="15"/>
    </row>
    <row r="3076" spans="9:14" ht="48.2" customHeight="1" x14ac:dyDescent="0.25">
      <c r="I3076" s="15"/>
      <c r="J3076" s="15"/>
      <c r="K3076" s="15"/>
      <c r="L3076" s="15"/>
      <c r="M3076" s="15"/>
      <c r="N3076" s="15"/>
    </row>
    <row r="3077" spans="9:14" ht="48.2" customHeight="1" x14ac:dyDescent="0.25">
      <c r="I3077" s="15"/>
      <c r="J3077" s="15"/>
      <c r="K3077" s="15"/>
      <c r="L3077" s="15"/>
      <c r="M3077" s="15"/>
      <c r="N3077" s="15"/>
    </row>
    <row r="3078" spans="9:14" ht="48.2" customHeight="1" x14ac:dyDescent="0.25">
      <c r="I3078" s="15"/>
      <c r="J3078" s="15"/>
      <c r="K3078" s="15"/>
      <c r="L3078" s="15"/>
      <c r="M3078" s="15"/>
      <c r="N3078" s="15"/>
    </row>
    <row r="3079" spans="9:14" ht="48.2" customHeight="1" x14ac:dyDescent="0.25">
      <c r="I3079" s="15"/>
      <c r="J3079" s="15"/>
      <c r="K3079" s="15"/>
      <c r="L3079" s="15"/>
      <c r="M3079" s="15"/>
      <c r="N3079" s="15"/>
    </row>
    <row r="3080" spans="9:14" ht="48.2" customHeight="1" x14ac:dyDescent="0.25">
      <c r="I3080" s="15"/>
      <c r="J3080" s="15"/>
      <c r="K3080" s="15"/>
      <c r="L3080" s="15"/>
      <c r="M3080" s="15"/>
      <c r="N3080" s="15"/>
    </row>
    <row r="3081" spans="9:14" ht="48.2" customHeight="1" x14ac:dyDescent="0.25">
      <c r="I3081" s="15"/>
      <c r="J3081" s="15"/>
      <c r="K3081" s="15"/>
      <c r="L3081" s="15"/>
      <c r="M3081" s="15"/>
      <c r="N3081" s="15"/>
    </row>
    <row r="3082" spans="9:14" ht="48.2" customHeight="1" x14ac:dyDescent="0.25">
      <c r="I3082" s="15"/>
      <c r="J3082" s="15"/>
      <c r="K3082" s="15"/>
      <c r="L3082" s="15"/>
      <c r="M3082" s="15"/>
      <c r="N3082" s="15"/>
    </row>
    <row r="3083" spans="9:14" ht="48.2" customHeight="1" x14ac:dyDescent="0.25">
      <c r="I3083" s="15"/>
      <c r="J3083" s="15"/>
      <c r="K3083" s="15"/>
      <c r="L3083" s="15"/>
      <c r="M3083" s="15"/>
      <c r="N3083" s="15"/>
    </row>
    <row r="3084" spans="9:14" ht="48.2" customHeight="1" x14ac:dyDescent="0.25">
      <c r="I3084" s="15"/>
      <c r="J3084" s="15"/>
      <c r="K3084" s="15"/>
      <c r="L3084" s="15"/>
      <c r="M3084" s="15"/>
      <c r="N3084" s="15"/>
    </row>
    <row r="3085" spans="9:14" ht="48.2" customHeight="1" x14ac:dyDescent="0.25">
      <c r="I3085" s="15"/>
      <c r="J3085" s="15"/>
      <c r="K3085" s="15"/>
      <c r="L3085" s="15"/>
      <c r="M3085" s="15"/>
      <c r="N3085" s="15"/>
    </row>
    <row r="3086" spans="9:14" ht="48.2" customHeight="1" x14ac:dyDescent="0.25">
      <c r="I3086" s="15"/>
      <c r="J3086" s="15"/>
      <c r="K3086" s="15"/>
      <c r="L3086" s="15"/>
      <c r="M3086" s="15"/>
      <c r="N3086" s="15"/>
    </row>
    <row r="3087" spans="9:14" ht="48.2" customHeight="1" x14ac:dyDescent="0.25">
      <c r="I3087" s="15"/>
      <c r="J3087" s="15"/>
      <c r="K3087" s="15"/>
      <c r="L3087" s="15"/>
      <c r="M3087" s="15"/>
      <c r="N3087" s="15"/>
    </row>
    <row r="3088" spans="9:14" ht="48.2" customHeight="1" x14ac:dyDescent="0.25">
      <c r="I3088" s="15"/>
      <c r="J3088" s="15"/>
      <c r="K3088" s="15"/>
      <c r="L3088" s="15"/>
      <c r="M3088" s="15"/>
      <c r="N3088" s="15"/>
    </row>
    <row r="3089" spans="9:14" ht="48.2" customHeight="1" x14ac:dyDescent="0.25">
      <c r="I3089" s="15"/>
      <c r="J3089" s="15"/>
      <c r="K3089" s="15"/>
      <c r="L3089" s="15"/>
      <c r="M3089" s="15"/>
      <c r="N3089" s="15"/>
    </row>
    <row r="3090" spans="9:14" ht="48.2" customHeight="1" x14ac:dyDescent="0.25">
      <c r="I3090" s="15"/>
      <c r="J3090" s="15"/>
      <c r="K3090" s="15"/>
      <c r="L3090" s="15"/>
      <c r="M3090" s="15"/>
      <c r="N3090" s="15"/>
    </row>
    <row r="3091" spans="9:14" ht="48.2" customHeight="1" x14ac:dyDescent="0.25">
      <c r="I3091" s="15"/>
      <c r="J3091" s="15"/>
      <c r="K3091" s="15"/>
      <c r="L3091" s="15"/>
      <c r="M3091" s="15"/>
      <c r="N3091" s="15"/>
    </row>
    <row r="3092" spans="9:14" ht="48.2" customHeight="1" x14ac:dyDescent="0.25">
      <c r="I3092" s="15"/>
      <c r="J3092" s="15"/>
      <c r="K3092" s="15"/>
      <c r="L3092" s="15"/>
      <c r="M3092" s="15"/>
      <c r="N3092" s="15"/>
    </row>
    <row r="3093" spans="9:14" ht="48.2" customHeight="1" x14ac:dyDescent="0.25">
      <c r="I3093" s="15"/>
      <c r="J3093" s="15"/>
      <c r="K3093" s="15"/>
      <c r="L3093" s="15"/>
      <c r="M3093" s="15"/>
      <c r="N3093" s="15"/>
    </row>
    <row r="3094" spans="9:14" ht="48.2" customHeight="1" x14ac:dyDescent="0.25">
      <c r="I3094" s="15"/>
      <c r="J3094" s="15"/>
      <c r="K3094" s="15"/>
      <c r="L3094" s="15"/>
      <c r="M3094" s="15"/>
      <c r="N3094" s="15"/>
    </row>
    <row r="3095" spans="9:14" ht="48.2" customHeight="1" x14ac:dyDescent="0.25">
      <c r="I3095" s="15"/>
      <c r="J3095" s="15"/>
      <c r="K3095" s="15"/>
      <c r="L3095" s="15"/>
      <c r="M3095" s="15"/>
      <c r="N3095" s="15"/>
    </row>
    <row r="3096" spans="9:14" ht="48.2" customHeight="1" x14ac:dyDescent="0.25">
      <c r="I3096" s="15"/>
      <c r="J3096" s="15"/>
      <c r="K3096" s="15"/>
      <c r="L3096" s="15"/>
      <c r="M3096" s="15"/>
      <c r="N3096" s="15"/>
    </row>
    <row r="3097" spans="9:14" ht="48.2" customHeight="1" x14ac:dyDescent="0.25">
      <c r="I3097" s="15"/>
      <c r="J3097" s="15"/>
      <c r="K3097" s="15"/>
      <c r="L3097" s="15"/>
      <c r="M3097" s="15"/>
      <c r="N3097" s="15"/>
    </row>
    <row r="3098" spans="9:14" ht="48.2" customHeight="1" x14ac:dyDescent="0.25">
      <c r="I3098" s="15"/>
      <c r="J3098" s="15"/>
      <c r="K3098" s="15"/>
      <c r="L3098" s="15"/>
      <c r="M3098" s="15"/>
      <c r="N3098" s="15"/>
    </row>
    <row r="3099" spans="9:14" ht="48.2" customHeight="1" x14ac:dyDescent="0.25">
      <c r="I3099" s="15"/>
      <c r="J3099" s="15"/>
      <c r="K3099" s="15"/>
      <c r="L3099" s="15"/>
      <c r="M3099" s="15"/>
      <c r="N3099" s="15"/>
    </row>
    <row r="3100" spans="9:14" ht="48.2" customHeight="1" x14ac:dyDescent="0.25">
      <c r="I3100" s="15"/>
      <c r="J3100" s="15"/>
      <c r="K3100" s="15"/>
      <c r="L3100" s="15"/>
      <c r="M3100" s="15"/>
      <c r="N3100" s="15"/>
    </row>
    <row r="3101" spans="9:14" ht="48.2" customHeight="1" x14ac:dyDescent="0.25">
      <c r="I3101" s="15"/>
      <c r="J3101" s="15"/>
      <c r="K3101" s="15"/>
      <c r="L3101" s="15"/>
      <c r="M3101" s="15"/>
      <c r="N3101" s="15"/>
    </row>
    <row r="3102" spans="9:14" ht="48.2" customHeight="1" x14ac:dyDescent="0.25">
      <c r="I3102" s="15"/>
      <c r="J3102" s="15"/>
      <c r="K3102" s="15"/>
      <c r="L3102" s="15"/>
      <c r="M3102" s="15"/>
      <c r="N3102" s="15"/>
    </row>
    <row r="3103" spans="9:14" ht="48.2" customHeight="1" x14ac:dyDescent="0.25">
      <c r="I3103" s="15"/>
      <c r="J3103" s="15"/>
      <c r="K3103" s="15"/>
      <c r="L3103" s="15"/>
      <c r="M3103" s="15"/>
      <c r="N3103" s="15"/>
    </row>
    <row r="3104" spans="9:14" ht="48.2" customHeight="1" x14ac:dyDescent="0.25">
      <c r="I3104" s="15"/>
      <c r="J3104" s="15"/>
      <c r="K3104" s="15"/>
      <c r="L3104" s="15"/>
      <c r="M3104" s="15"/>
      <c r="N3104" s="15"/>
    </row>
    <row r="3105" spans="9:14" ht="48.2" customHeight="1" x14ac:dyDescent="0.25">
      <c r="I3105" s="15"/>
      <c r="J3105" s="15"/>
      <c r="K3105" s="15"/>
      <c r="L3105" s="15"/>
      <c r="M3105" s="15"/>
      <c r="N3105" s="15"/>
    </row>
    <row r="3106" spans="9:14" ht="48.2" customHeight="1" x14ac:dyDescent="0.25">
      <c r="I3106" s="15"/>
      <c r="J3106" s="15"/>
      <c r="K3106" s="15"/>
      <c r="L3106" s="15"/>
      <c r="M3106" s="15"/>
      <c r="N3106" s="15"/>
    </row>
    <row r="3107" spans="9:14" ht="48.2" customHeight="1" x14ac:dyDescent="0.25">
      <c r="I3107" s="15"/>
      <c r="J3107" s="15"/>
      <c r="K3107" s="15"/>
      <c r="L3107" s="15"/>
      <c r="M3107" s="15"/>
      <c r="N3107" s="15"/>
    </row>
    <row r="3108" spans="9:14" ht="48.2" customHeight="1" x14ac:dyDescent="0.25">
      <c r="I3108" s="15"/>
      <c r="J3108" s="15"/>
      <c r="K3108" s="15"/>
      <c r="L3108" s="15"/>
      <c r="M3108" s="15"/>
      <c r="N3108" s="15"/>
    </row>
    <row r="3109" spans="9:14" ht="48.2" customHeight="1" x14ac:dyDescent="0.25">
      <c r="I3109" s="15"/>
      <c r="J3109" s="15"/>
      <c r="K3109" s="15"/>
      <c r="L3109" s="15"/>
      <c r="M3109" s="15"/>
      <c r="N3109" s="15"/>
    </row>
    <row r="3110" spans="9:14" ht="48.2" customHeight="1" x14ac:dyDescent="0.25">
      <c r="I3110" s="15"/>
      <c r="J3110" s="15"/>
      <c r="K3110" s="15"/>
      <c r="L3110" s="15"/>
      <c r="M3110" s="15"/>
      <c r="N3110" s="15"/>
    </row>
    <row r="3111" spans="9:14" ht="48.2" customHeight="1" x14ac:dyDescent="0.25">
      <c r="I3111" s="15"/>
      <c r="J3111" s="15"/>
      <c r="K3111" s="15"/>
      <c r="L3111" s="15"/>
      <c r="M3111" s="15"/>
      <c r="N3111" s="15"/>
    </row>
    <row r="3112" spans="9:14" ht="48.2" customHeight="1" x14ac:dyDescent="0.25">
      <c r="I3112" s="15"/>
      <c r="J3112" s="15"/>
      <c r="K3112" s="15"/>
      <c r="L3112" s="15"/>
      <c r="M3112" s="15"/>
      <c r="N3112" s="15"/>
    </row>
    <row r="3113" spans="9:14" ht="48.2" customHeight="1" x14ac:dyDescent="0.25">
      <c r="I3113" s="15"/>
      <c r="J3113" s="15"/>
      <c r="K3113" s="15"/>
      <c r="L3113" s="15"/>
      <c r="M3113" s="15"/>
      <c r="N3113" s="15"/>
    </row>
    <row r="3114" spans="9:14" ht="48.2" customHeight="1" x14ac:dyDescent="0.25">
      <c r="I3114" s="15"/>
      <c r="J3114" s="15"/>
      <c r="K3114" s="15"/>
      <c r="L3114" s="15"/>
      <c r="M3114" s="15"/>
      <c r="N3114" s="15"/>
    </row>
    <row r="3115" spans="9:14" ht="48.2" customHeight="1" x14ac:dyDescent="0.25">
      <c r="I3115" s="15"/>
      <c r="J3115" s="15"/>
      <c r="K3115" s="15"/>
      <c r="L3115" s="15"/>
      <c r="M3115" s="15"/>
      <c r="N3115" s="15"/>
    </row>
    <row r="3116" spans="9:14" ht="48.2" customHeight="1" x14ac:dyDescent="0.25">
      <c r="I3116" s="15"/>
      <c r="J3116" s="15"/>
      <c r="K3116" s="15"/>
      <c r="L3116" s="15"/>
      <c r="M3116" s="15"/>
      <c r="N3116" s="15"/>
    </row>
    <row r="3117" spans="9:14" ht="48.2" customHeight="1" x14ac:dyDescent="0.25">
      <c r="I3117" s="15"/>
      <c r="J3117" s="15"/>
      <c r="K3117" s="15"/>
      <c r="L3117" s="15"/>
      <c r="M3117" s="15"/>
      <c r="N3117" s="15"/>
    </row>
    <row r="3118" spans="9:14" ht="48.2" customHeight="1" x14ac:dyDescent="0.25">
      <c r="I3118" s="15"/>
      <c r="J3118" s="15"/>
      <c r="K3118" s="15"/>
      <c r="L3118" s="15"/>
      <c r="M3118" s="15"/>
      <c r="N3118" s="15"/>
    </row>
    <row r="3119" spans="9:14" ht="48.2" customHeight="1" x14ac:dyDescent="0.25">
      <c r="I3119" s="15"/>
      <c r="J3119" s="15"/>
      <c r="K3119" s="15"/>
      <c r="L3119" s="15"/>
      <c r="M3119" s="15"/>
      <c r="N3119" s="15"/>
    </row>
    <row r="3120" spans="9:14" ht="48.2" customHeight="1" x14ac:dyDescent="0.25">
      <c r="I3120" s="15"/>
      <c r="J3120" s="15"/>
      <c r="K3120" s="15"/>
      <c r="L3120" s="15"/>
      <c r="M3120" s="15"/>
      <c r="N3120" s="15"/>
    </row>
    <row r="3121" spans="9:14" ht="48.2" customHeight="1" x14ac:dyDescent="0.25">
      <c r="I3121" s="15"/>
      <c r="J3121" s="15"/>
      <c r="K3121" s="15"/>
      <c r="L3121" s="15"/>
      <c r="M3121" s="15"/>
      <c r="N3121" s="15"/>
    </row>
    <row r="3122" spans="9:14" ht="48.2" customHeight="1" x14ac:dyDescent="0.25">
      <c r="I3122" s="15"/>
      <c r="J3122" s="15"/>
      <c r="K3122" s="15"/>
      <c r="L3122" s="15"/>
      <c r="M3122" s="15"/>
      <c r="N3122" s="15"/>
    </row>
    <row r="3123" spans="9:14" ht="48.2" customHeight="1" x14ac:dyDescent="0.25">
      <c r="I3123" s="15"/>
      <c r="J3123" s="15"/>
      <c r="K3123" s="15"/>
      <c r="L3123" s="15"/>
      <c r="M3123" s="15"/>
      <c r="N3123" s="15"/>
    </row>
    <row r="3124" spans="9:14" ht="48.2" customHeight="1" x14ac:dyDescent="0.25">
      <c r="I3124" s="15"/>
      <c r="J3124" s="15"/>
      <c r="K3124" s="15"/>
      <c r="L3124" s="15"/>
      <c r="M3124" s="15"/>
      <c r="N3124" s="15"/>
    </row>
    <row r="3125" spans="9:14" ht="48.2" customHeight="1" x14ac:dyDescent="0.25">
      <c r="I3125" s="15"/>
      <c r="J3125" s="15"/>
      <c r="K3125" s="15"/>
      <c r="L3125" s="15"/>
      <c r="M3125" s="15"/>
      <c r="N3125" s="15"/>
    </row>
    <row r="3126" spans="9:14" ht="48.2" customHeight="1" x14ac:dyDescent="0.25">
      <c r="I3126" s="15"/>
      <c r="J3126" s="15"/>
      <c r="K3126" s="15"/>
      <c r="L3126" s="15"/>
      <c r="M3126" s="15"/>
      <c r="N3126" s="15"/>
    </row>
    <row r="3127" spans="9:14" ht="48.2" customHeight="1" x14ac:dyDescent="0.25">
      <c r="I3127" s="15"/>
      <c r="J3127" s="15"/>
      <c r="K3127" s="15"/>
      <c r="L3127" s="15"/>
      <c r="M3127" s="15"/>
      <c r="N3127" s="15"/>
    </row>
    <row r="3128" spans="9:14" ht="48.2" customHeight="1" x14ac:dyDescent="0.25">
      <c r="I3128" s="15"/>
      <c r="J3128" s="15"/>
      <c r="K3128" s="15"/>
      <c r="L3128" s="15"/>
      <c r="M3128" s="15"/>
      <c r="N3128" s="15"/>
    </row>
    <row r="3129" spans="9:14" ht="48.2" customHeight="1" x14ac:dyDescent="0.25">
      <c r="I3129" s="15"/>
      <c r="J3129" s="15"/>
      <c r="K3129" s="15"/>
      <c r="L3129" s="15"/>
      <c r="M3129" s="15"/>
      <c r="N3129" s="15"/>
    </row>
    <row r="3130" spans="9:14" ht="48.2" customHeight="1" x14ac:dyDescent="0.25">
      <c r="I3130" s="15"/>
      <c r="J3130" s="15"/>
      <c r="K3130" s="15"/>
      <c r="L3130" s="15"/>
      <c r="M3130" s="15"/>
      <c r="N3130" s="15"/>
    </row>
    <row r="3131" spans="9:14" ht="48.2" customHeight="1" x14ac:dyDescent="0.25">
      <c r="I3131" s="15"/>
      <c r="J3131" s="15"/>
      <c r="K3131" s="15"/>
      <c r="L3131" s="15"/>
      <c r="M3131" s="15"/>
      <c r="N3131" s="15"/>
    </row>
    <row r="3132" spans="9:14" ht="48.2" customHeight="1" x14ac:dyDescent="0.25">
      <c r="I3132" s="15"/>
      <c r="J3132" s="15"/>
      <c r="K3132" s="15"/>
      <c r="L3132" s="15"/>
      <c r="M3132" s="15"/>
      <c r="N3132" s="15"/>
    </row>
    <row r="3133" spans="9:14" ht="48.2" customHeight="1" x14ac:dyDescent="0.25">
      <c r="I3133" s="15"/>
      <c r="J3133" s="15"/>
      <c r="K3133" s="15"/>
      <c r="L3133" s="15"/>
      <c r="M3133" s="15"/>
      <c r="N3133" s="15"/>
    </row>
    <row r="3134" spans="9:14" ht="48.2" customHeight="1" x14ac:dyDescent="0.25">
      <c r="I3134" s="15"/>
      <c r="J3134" s="15"/>
      <c r="K3134" s="15"/>
      <c r="L3134" s="15"/>
      <c r="M3134" s="15"/>
      <c r="N3134" s="15"/>
    </row>
    <row r="3135" spans="9:14" ht="48.2" customHeight="1" x14ac:dyDescent="0.25">
      <c r="I3135" s="15"/>
      <c r="J3135" s="15"/>
      <c r="K3135" s="15"/>
      <c r="L3135" s="15"/>
      <c r="M3135" s="15"/>
      <c r="N3135" s="15"/>
    </row>
    <row r="3136" spans="9:14" ht="48.2" customHeight="1" x14ac:dyDescent="0.25">
      <c r="I3136" s="15"/>
      <c r="J3136" s="15"/>
      <c r="K3136" s="15"/>
      <c r="L3136" s="15"/>
      <c r="M3136" s="15"/>
      <c r="N3136" s="15"/>
    </row>
    <row r="3137" spans="9:14" ht="48.2" customHeight="1" x14ac:dyDescent="0.25">
      <c r="I3137" s="15"/>
      <c r="J3137" s="15"/>
      <c r="K3137" s="15"/>
      <c r="L3137" s="15"/>
      <c r="M3137" s="15"/>
      <c r="N3137" s="15"/>
    </row>
    <row r="3138" spans="9:14" ht="48.2" customHeight="1" x14ac:dyDescent="0.25">
      <c r="I3138" s="15"/>
      <c r="J3138" s="15"/>
      <c r="K3138" s="15"/>
      <c r="L3138" s="15"/>
      <c r="M3138" s="15"/>
      <c r="N3138" s="15"/>
    </row>
    <row r="3139" spans="9:14" ht="48.2" customHeight="1" x14ac:dyDescent="0.25">
      <c r="I3139" s="15"/>
      <c r="J3139" s="15"/>
      <c r="K3139" s="15"/>
      <c r="L3139" s="15"/>
      <c r="M3139" s="15"/>
      <c r="N3139" s="15"/>
    </row>
    <row r="3140" spans="9:14" ht="48.2" customHeight="1" x14ac:dyDescent="0.25">
      <c r="I3140" s="15"/>
      <c r="J3140" s="15"/>
      <c r="K3140" s="15"/>
      <c r="L3140" s="15"/>
      <c r="M3140" s="15"/>
      <c r="N3140" s="15"/>
    </row>
    <row r="3141" spans="9:14" ht="48.2" customHeight="1" x14ac:dyDescent="0.25">
      <c r="I3141" s="15"/>
      <c r="J3141" s="15"/>
      <c r="K3141" s="15"/>
      <c r="L3141" s="15"/>
      <c r="M3141" s="15"/>
      <c r="N3141" s="15"/>
    </row>
    <row r="3142" spans="9:14" ht="48.2" customHeight="1" x14ac:dyDescent="0.25">
      <c r="I3142" s="15"/>
      <c r="J3142" s="15"/>
      <c r="K3142" s="15"/>
      <c r="L3142" s="15"/>
      <c r="M3142" s="15"/>
      <c r="N3142" s="15"/>
    </row>
    <row r="3143" spans="9:14" ht="48.2" customHeight="1" x14ac:dyDescent="0.25">
      <c r="I3143" s="15"/>
      <c r="J3143" s="15"/>
      <c r="K3143" s="15"/>
      <c r="L3143" s="15"/>
      <c r="M3143" s="15"/>
      <c r="N3143" s="15"/>
    </row>
    <row r="3144" spans="9:14" ht="48.2" customHeight="1" x14ac:dyDescent="0.25">
      <c r="I3144" s="15"/>
      <c r="J3144" s="15"/>
      <c r="K3144" s="15"/>
      <c r="L3144" s="15"/>
      <c r="M3144" s="15"/>
      <c r="N3144" s="15"/>
    </row>
    <row r="3145" spans="9:14" ht="48.2" customHeight="1" x14ac:dyDescent="0.25">
      <c r="I3145" s="15"/>
      <c r="J3145" s="15"/>
      <c r="K3145" s="15"/>
      <c r="L3145" s="15"/>
      <c r="M3145" s="15"/>
      <c r="N3145" s="15"/>
    </row>
    <row r="3146" spans="9:14" ht="48.2" customHeight="1" x14ac:dyDescent="0.25">
      <c r="I3146" s="15"/>
      <c r="J3146" s="15"/>
      <c r="K3146" s="15"/>
      <c r="L3146" s="15"/>
      <c r="M3146" s="15"/>
      <c r="N3146" s="15"/>
    </row>
    <row r="3147" spans="9:14" ht="48.2" customHeight="1" x14ac:dyDescent="0.25">
      <c r="I3147" s="15"/>
      <c r="J3147" s="15"/>
      <c r="K3147" s="15"/>
      <c r="L3147" s="15"/>
      <c r="M3147" s="15"/>
      <c r="N3147" s="15"/>
    </row>
    <row r="3148" spans="9:14" ht="48.2" customHeight="1" x14ac:dyDescent="0.25">
      <c r="I3148" s="15"/>
      <c r="J3148" s="15"/>
      <c r="K3148" s="15"/>
      <c r="L3148" s="15"/>
      <c r="M3148" s="15"/>
      <c r="N3148" s="15"/>
    </row>
    <row r="3149" spans="9:14" ht="48.2" customHeight="1" x14ac:dyDescent="0.25">
      <c r="I3149" s="15"/>
      <c r="J3149" s="15"/>
      <c r="K3149" s="15"/>
      <c r="L3149" s="15"/>
      <c r="M3149" s="15"/>
      <c r="N3149" s="15"/>
    </row>
    <row r="3150" spans="9:14" ht="48.2" customHeight="1" x14ac:dyDescent="0.25">
      <c r="I3150" s="15"/>
      <c r="J3150" s="15"/>
      <c r="K3150" s="15"/>
      <c r="L3150" s="15"/>
      <c r="M3150" s="15"/>
      <c r="N3150" s="15"/>
    </row>
    <row r="3151" spans="9:14" ht="48.2" customHeight="1" x14ac:dyDescent="0.25">
      <c r="I3151" s="15"/>
      <c r="J3151" s="15"/>
      <c r="K3151" s="15"/>
      <c r="L3151" s="15"/>
      <c r="M3151" s="15"/>
      <c r="N3151" s="15"/>
    </row>
    <row r="3152" spans="9:14" ht="48.2" customHeight="1" x14ac:dyDescent="0.25">
      <c r="I3152" s="15"/>
      <c r="J3152" s="15"/>
      <c r="K3152" s="15"/>
      <c r="L3152" s="15"/>
      <c r="M3152" s="15"/>
      <c r="N3152" s="15"/>
    </row>
    <row r="3153" spans="9:14" ht="48.2" customHeight="1" x14ac:dyDescent="0.25">
      <c r="I3153" s="15"/>
      <c r="J3153" s="15"/>
      <c r="K3153" s="15"/>
      <c r="L3153" s="15"/>
      <c r="M3153" s="15"/>
      <c r="N3153" s="15"/>
    </row>
    <row r="3154" spans="9:14" ht="48.2" customHeight="1" x14ac:dyDescent="0.25">
      <c r="I3154" s="15"/>
      <c r="J3154" s="15"/>
      <c r="K3154" s="15"/>
      <c r="L3154" s="15"/>
      <c r="M3154" s="15"/>
      <c r="N3154" s="15"/>
    </row>
    <row r="3155" spans="9:14" ht="48.2" customHeight="1" x14ac:dyDescent="0.25">
      <c r="I3155" s="15"/>
      <c r="J3155" s="15"/>
      <c r="K3155" s="15"/>
      <c r="L3155" s="15"/>
      <c r="M3155" s="15"/>
      <c r="N3155" s="15"/>
    </row>
    <row r="3156" spans="9:14" ht="48.2" customHeight="1" x14ac:dyDescent="0.25">
      <c r="I3156" s="15"/>
      <c r="J3156" s="15"/>
      <c r="K3156" s="15"/>
      <c r="L3156" s="15"/>
      <c r="M3156" s="15"/>
      <c r="N3156" s="15"/>
    </row>
    <row r="3157" spans="9:14" ht="48.2" customHeight="1" x14ac:dyDescent="0.25">
      <c r="I3157" s="15"/>
      <c r="J3157" s="15"/>
      <c r="K3157" s="15"/>
      <c r="L3157" s="15"/>
      <c r="M3157" s="15"/>
      <c r="N3157" s="15"/>
    </row>
    <row r="3158" spans="9:14" ht="48.2" customHeight="1" x14ac:dyDescent="0.25">
      <c r="I3158" s="15"/>
      <c r="J3158" s="15"/>
      <c r="K3158" s="15"/>
      <c r="L3158" s="15"/>
      <c r="M3158" s="15"/>
      <c r="N3158" s="15"/>
    </row>
    <row r="3159" spans="9:14" ht="48.2" customHeight="1" x14ac:dyDescent="0.25">
      <c r="I3159" s="15"/>
      <c r="J3159" s="15"/>
      <c r="K3159" s="15"/>
      <c r="L3159" s="15"/>
      <c r="M3159" s="15"/>
      <c r="N3159" s="15"/>
    </row>
    <row r="3160" spans="9:14" ht="48.2" customHeight="1" x14ac:dyDescent="0.25">
      <c r="I3160" s="15"/>
      <c r="J3160" s="15"/>
      <c r="K3160" s="15"/>
      <c r="L3160" s="15"/>
      <c r="M3160" s="15"/>
      <c r="N3160" s="15"/>
    </row>
    <row r="3161" spans="9:14" ht="48.2" customHeight="1" x14ac:dyDescent="0.25">
      <c r="I3161" s="15"/>
      <c r="J3161" s="15"/>
      <c r="K3161" s="15"/>
      <c r="L3161" s="15"/>
      <c r="M3161" s="15"/>
      <c r="N3161" s="15"/>
    </row>
    <row r="3162" spans="9:14" ht="48.2" customHeight="1" x14ac:dyDescent="0.25">
      <c r="I3162" s="15"/>
      <c r="J3162" s="15"/>
      <c r="K3162" s="15"/>
      <c r="L3162" s="15"/>
      <c r="M3162" s="15"/>
      <c r="N3162" s="15"/>
    </row>
    <row r="3163" spans="9:14" ht="48.2" customHeight="1" x14ac:dyDescent="0.25">
      <c r="I3163" s="15"/>
      <c r="J3163" s="15"/>
      <c r="K3163" s="15"/>
      <c r="L3163" s="15"/>
      <c r="M3163" s="15"/>
      <c r="N3163" s="15"/>
    </row>
    <row r="3164" spans="9:14" ht="48.2" customHeight="1" x14ac:dyDescent="0.25">
      <c r="I3164" s="15"/>
      <c r="J3164" s="15"/>
      <c r="K3164" s="15"/>
      <c r="L3164" s="15"/>
      <c r="M3164" s="15"/>
      <c r="N3164" s="15"/>
    </row>
    <row r="3165" spans="9:14" ht="48.2" customHeight="1" x14ac:dyDescent="0.25">
      <c r="I3165" s="15"/>
      <c r="J3165" s="15"/>
      <c r="K3165" s="15"/>
      <c r="L3165" s="15"/>
      <c r="M3165" s="15"/>
      <c r="N3165" s="15"/>
    </row>
    <row r="3166" spans="9:14" ht="48.2" customHeight="1" x14ac:dyDescent="0.25">
      <c r="I3166" s="15"/>
      <c r="J3166" s="15"/>
      <c r="K3166" s="15"/>
      <c r="L3166" s="15"/>
      <c r="M3166" s="15"/>
      <c r="N3166" s="15"/>
    </row>
    <row r="3167" spans="9:14" ht="48.2" customHeight="1" x14ac:dyDescent="0.25">
      <c r="I3167" s="15"/>
      <c r="J3167" s="15"/>
      <c r="K3167" s="15"/>
      <c r="L3167" s="15"/>
      <c r="M3167" s="15"/>
      <c r="N3167" s="15"/>
    </row>
    <row r="3168" spans="9:14" ht="48.2" customHeight="1" x14ac:dyDescent="0.25">
      <c r="I3168" s="15"/>
      <c r="J3168" s="15"/>
      <c r="K3168" s="15"/>
      <c r="L3168" s="15"/>
      <c r="M3168" s="15"/>
      <c r="N3168" s="15"/>
    </row>
    <row r="3169" spans="9:14" ht="48.2" customHeight="1" x14ac:dyDescent="0.25">
      <c r="I3169" s="15"/>
      <c r="J3169" s="15"/>
      <c r="K3169" s="15"/>
      <c r="L3169" s="15"/>
      <c r="M3169" s="15"/>
      <c r="N3169" s="15"/>
    </row>
    <row r="3170" spans="9:14" ht="48.2" customHeight="1" x14ac:dyDescent="0.25">
      <c r="I3170" s="15"/>
      <c r="J3170" s="15"/>
      <c r="K3170" s="15"/>
      <c r="L3170" s="15"/>
      <c r="M3170" s="15"/>
      <c r="N3170" s="15"/>
    </row>
    <row r="3171" spans="9:14" ht="48.2" customHeight="1" x14ac:dyDescent="0.25">
      <c r="I3171" s="15"/>
      <c r="J3171" s="15"/>
      <c r="K3171" s="15"/>
      <c r="L3171" s="15"/>
      <c r="M3171" s="15"/>
      <c r="N3171" s="15"/>
    </row>
    <row r="3172" spans="9:14" ht="48.2" customHeight="1" x14ac:dyDescent="0.25">
      <c r="I3172" s="15"/>
      <c r="J3172" s="15"/>
      <c r="K3172" s="15"/>
      <c r="L3172" s="15"/>
      <c r="M3172" s="15"/>
      <c r="N3172" s="15"/>
    </row>
    <row r="3173" spans="9:14" ht="48.2" customHeight="1" x14ac:dyDescent="0.25">
      <c r="I3173" s="15"/>
      <c r="J3173" s="15"/>
      <c r="K3173" s="15"/>
      <c r="L3173" s="15"/>
      <c r="M3173" s="15"/>
      <c r="N3173" s="15"/>
    </row>
    <row r="3174" spans="9:14" ht="48.2" customHeight="1" x14ac:dyDescent="0.25">
      <c r="I3174" s="15"/>
      <c r="J3174" s="15"/>
      <c r="K3174" s="15"/>
      <c r="L3174" s="15"/>
      <c r="M3174" s="15"/>
      <c r="N3174" s="15"/>
    </row>
    <row r="3175" spans="9:14" ht="48.2" customHeight="1" x14ac:dyDescent="0.25">
      <c r="I3175" s="15"/>
      <c r="J3175" s="15"/>
      <c r="K3175" s="15"/>
      <c r="L3175" s="15"/>
      <c r="M3175" s="15"/>
      <c r="N3175" s="15"/>
    </row>
    <row r="3176" spans="9:14" ht="48.2" customHeight="1" x14ac:dyDescent="0.25">
      <c r="I3176" s="15"/>
      <c r="J3176" s="15"/>
      <c r="K3176" s="15"/>
      <c r="L3176" s="15"/>
      <c r="M3176" s="15"/>
      <c r="N3176" s="15"/>
    </row>
    <row r="3177" spans="9:14" ht="48.2" customHeight="1" x14ac:dyDescent="0.25">
      <c r="I3177" s="15"/>
      <c r="J3177" s="15"/>
      <c r="K3177" s="15"/>
      <c r="L3177" s="15"/>
      <c r="M3177" s="15"/>
      <c r="N3177" s="15"/>
    </row>
    <row r="3178" spans="9:14" ht="48.2" customHeight="1" x14ac:dyDescent="0.25">
      <c r="I3178" s="15"/>
      <c r="J3178" s="15"/>
      <c r="K3178" s="15"/>
      <c r="L3178" s="15"/>
      <c r="M3178" s="15"/>
      <c r="N3178" s="15"/>
    </row>
    <row r="3179" spans="9:14" ht="48.2" customHeight="1" x14ac:dyDescent="0.25">
      <c r="I3179" s="15"/>
      <c r="J3179" s="15"/>
      <c r="K3179" s="15"/>
      <c r="L3179" s="15"/>
      <c r="M3179" s="15"/>
      <c r="N3179" s="15"/>
    </row>
    <row r="3180" spans="9:14" ht="48.2" customHeight="1" x14ac:dyDescent="0.25">
      <c r="I3180" s="15"/>
      <c r="J3180" s="15"/>
      <c r="K3180" s="15"/>
      <c r="L3180" s="15"/>
      <c r="M3180" s="15"/>
      <c r="N3180" s="15"/>
    </row>
    <row r="3181" spans="9:14" ht="48.2" customHeight="1" x14ac:dyDescent="0.25">
      <c r="I3181" s="15"/>
      <c r="J3181" s="15"/>
      <c r="K3181" s="15"/>
      <c r="L3181" s="15"/>
      <c r="M3181" s="15"/>
      <c r="N3181" s="15"/>
    </row>
    <row r="3182" spans="9:14" ht="48.2" customHeight="1" x14ac:dyDescent="0.25">
      <c r="I3182" s="15"/>
      <c r="J3182" s="15"/>
      <c r="K3182" s="15"/>
      <c r="L3182" s="15"/>
      <c r="M3182" s="15"/>
      <c r="N3182" s="15"/>
    </row>
    <row r="3183" spans="9:14" ht="48.2" customHeight="1" x14ac:dyDescent="0.25">
      <c r="I3183" s="15"/>
      <c r="J3183" s="15"/>
      <c r="K3183" s="15"/>
      <c r="L3183" s="15"/>
      <c r="M3183" s="15"/>
      <c r="N3183" s="15"/>
    </row>
    <row r="3184" spans="9:14" ht="48.2" customHeight="1" x14ac:dyDescent="0.25">
      <c r="I3184" s="15"/>
      <c r="J3184" s="15"/>
      <c r="K3184" s="15"/>
      <c r="L3184" s="15"/>
      <c r="M3184" s="15"/>
      <c r="N3184" s="15"/>
    </row>
    <row r="3185" spans="9:14" ht="48.2" customHeight="1" x14ac:dyDescent="0.25">
      <c r="I3185" s="15"/>
      <c r="J3185" s="15"/>
      <c r="K3185" s="15"/>
      <c r="L3185" s="15"/>
      <c r="M3185" s="15"/>
      <c r="N3185" s="15"/>
    </row>
    <row r="3186" spans="9:14" ht="48.2" customHeight="1" x14ac:dyDescent="0.25">
      <c r="I3186" s="15"/>
      <c r="J3186" s="15"/>
      <c r="K3186" s="15"/>
      <c r="L3186" s="15"/>
      <c r="M3186" s="15"/>
      <c r="N3186" s="15"/>
    </row>
    <row r="3187" spans="9:14" ht="48.2" customHeight="1" x14ac:dyDescent="0.25">
      <c r="I3187" s="15"/>
      <c r="J3187" s="15"/>
      <c r="K3187" s="15"/>
      <c r="L3187" s="15"/>
      <c r="M3187" s="15"/>
      <c r="N3187" s="15"/>
    </row>
    <row r="3188" spans="9:14" ht="48.2" customHeight="1" x14ac:dyDescent="0.25">
      <c r="I3188" s="15"/>
      <c r="J3188" s="15"/>
      <c r="K3188" s="15"/>
      <c r="L3188" s="15"/>
      <c r="M3188" s="15"/>
      <c r="N3188" s="15"/>
    </row>
    <row r="3189" spans="9:14" ht="48.2" customHeight="1" x14ac:dyDescent="0.25">
      <c r="I3189" s="15"/>
      <c r="J3189" s="15"/>
      <c r="K3189" s="15"/>
      <c r="L3189" s="15"/>
      <c r="M3189" s="15"/>
      <c r="N3189" s="15"/>
    </row>
    <row r="3190" spans="9:14" ht="48.2" customHeight="1" x14ac:dyDescent="0.25">
      <c r="I3190" s="15"/>
      <c r="J3190" s="15"/>
      <c r="K3190" s="15"/>
      <c r="L3190" s="15"/>
      <c r="M3190" s="15"/>
      <c r="N3190" s="15"/>
    </row>
    <row r="3191" spans="9:14" ht="48.2" customHeight="1" x14ac:dyDescent="0.25">
      <c r="I3191" s="15"/>
      <c r="J3191" s="15"/>
      <c r="K3191" s="15"/>
      <c r="L3191" s="15"/>
      <c r="M3191" s="15"/>
      <c r="N3191" s="15"/>
    </row>
    <row r="3192" spans="9:14" ht="48.2" customHeight="1" x14ac:dyDescent="0.25">
      <c r="I3192" s="15"/>
      <c r="J3192" s="15"/>
      <c r="K3192" s="15"/>
      <c r="L3192" s="15"/>
      <c r="M3192" s="15"/>
      <c r="N3192" s="15"/>
    </row>
    <row r="3193" spans="9:14" ht="48.2" customHeight="1" x14ac:dyDescent="0.25">
      <c r="I3193" s="15"/>
      <c r="J3193" s="15"/>
      <c r="K3193" s="15"/>
      <c r="L3193" s="15"/>
      <c r="M3193" s="15"/>
      <c r="N3193" s="15"/>
    </row>
    <row r="3194" spans="9:14" ht="48.2" customHeight="1" x14ac:dyDescent="0.25">
      <c r="I3194" s="15"/>
      <c r="J3194" s="15"/>
      <c r="K3194" s="15"/>
      <c r="L3194" s="15"/>
      <c r="M3194" s="15"/>
      <c r="N3194" s="15"/>
    </row>
    <row r="3195" spans="9:14" ht="48.2" customHeight="1" x14ac:dyDescent="0.25">
      <c r="I3195" s="15"/>
      <c r="J3195" s="15"/>
      <c r="K3195" s="15"/>
      <c r="L3195" s="15"/>
      <c r="M3195" s="15"/>
      <c r="N3195" s="15"/>
    </row>
    <row r="3196" spans="9:14" ht="48.2" customHeight="1" x14ac:dyDescent="0.25">
      <c r="I3196" s="15"/>
      <c r="J3196" s="15"/>
      <c r="K3196" s="15"/>
      <c r="L3196" s="15"/>
      <c r="M3196" s="15"/>
      <c r="N3196" s="15"/>
    </row>
    <row r="3197" spans="9:14" ht="48.2" customHeight="1" x14ac:dyDescent="0.25">
      <c r="I3197" s="15"/>
      <c r="J3197" s="15"/>
      <c r="K3197" s="15"/>
      <c r="L3197" s="15"/>
      <c r="M3197" s="15"/>
      <c r="N3197" s="15"/>
    </row>
    <row r="3198" spans="9:14" ht="48.2" customHeight="1" x14ac:dyDescent="0.25">
      <c r="I3198" s="15"/>
      <c r="J3198" s="15"/>
      <c r="K3198" s="15"/>
      <c r="L3198" s="15"/>
      <c r="M3198" s="15"/>
      <c r="N3198" s="15"/>
    </row>
    <row r="3199" spans="9:14" ht="48.2" customHeight="1" x14ac:dyDescent="0.25">
      <c r="I3199" s="15"/>
      <c r="J3199" s="15"/>
      <c r="K3199" s="15"/>
      <c r="L3199" s="15"/>
      <c r="M3199" s="15"/>
      <c r="N3199" s="15"/>
    </row>
    <row r="3200" spans="9:14" ht="48.2" customHeight="1" x14ac:dyDescent="0.25">
      <c r="I3200" s="15"/>
      <c r="J3200" s="15"/>
      <c r="K3200" s="15"/>
      <c r="L3200" s="15"/>
      <c r="M3200" s="15"/>
      <c r="N3200" s="15"/>
    </row>
    <row r="3201" spans="9:14" ht="48.2" customHeight="1" x14ac:dyDescent="0.25">
      <c r="I3201" s="15"/>
      <c r="J3201" s="15"/>
      <c r="K3201" s="15"/>
      <c r="L3201" s="15"/>
      <c r="M3201" s="15"/>
      <c r="N3201" s="15"/>
    </row>
    <row r="3202" spans="9:14" ht="48.2" customHeight="1" x14ac:dyDescent="0.25">
      <c r="I3202" s="15"/>
      <c r="J3202" s="15"/>
      <c r="K3202" s="15"/>
      <c r="L3202" s="15"/>
      <c r="M3202" s="15"/>
      <c r="N3202" s="15"/>
    </row>
    <row r="3203" spans="9:14" ht="48.2" customHeight="1" x14ac:dyDescent="0.25">
      <c r="I3203" s="15"/>
      <c r="J3203" s="15"/>
      <c r="K3203" s="15"/>
      <c r="L3203" s="15"/>
      <c r="M3203" s="15"/>
      <c r="N3203" s="15"/>
    </row>
    <row r="3204" spans="9:14" ht="48.2" customHeight="1" x14ac:dyDescent="0.25">
      <c r="I3204" s="15"/>
      <c r="J3204" s="15"/>
      <c r="K3204" s="15"/>
      <c r="L3204" s="15"/>
      <c r="M3204" s="15"/>
      <c r="N3204" s="15"/>
    </row>
    <row r="3205" spans="9:14" ht="48.2" customHeight="1" x14ac:dyDescent="0.25">
      <c r="I3205" s="15"/>
      <c r="J3205" s="15"/>
      <c r="K3205" s="15"/>
      <c r="L3205" s="15"/>
      <c r="M3205" s="15"/>
      <c r="N3205" s="15"/>
    </row>
    <row r="3206" spans="9:14" ht="48.2" customHeight="1" x14ac:dyDescent="0.25">
      <c r="I3206" s="15"/>
      <c r="J3206" s="15"/>
      <c r="K3206" s="15"/>
      <c r="L3206" s="15"/>
      <c r="M3206" s="15"/>
      <c r="N3206" s="15"/>
    </row>
    <row r="3207" spans="9:14" ht="48.2" customHeight="1" x14ac:dyDescent="0.25">
      <c r="I3207" s="15"/>
      <c r="J3207" s="15"/>
      <c r="K3207" s="15"/>
      <c r="L3207" s="15"/>
      <c r="M3207" s="15"/>
      <c r="N3207" s="15"/>
    </row>
    <row r="3208" spans="9:14" ht="48.2" customHeight="1" x14ac:dyDescent="0.25">
      <c r="I3208" s="15"/>
      <c r="J3208" s="15"/>
      <c r="K3208" s="15"/>
      <c r="L3208" s="15"/>
      <c r="M3208" s="15"/>
      <c r="N3208" s="15"/>
    </row>
    <row r="3209" spans="9:14" ht="48.2" customHeight="1" x14ac:dyDescent="0.25">
      <c r="I3209" s="15"/>
      <c r="J3209" s="15"/>
      <c r="K3209" s="15"/>
      <c r="L3209" s="15"/>
      <c r="M3209" s="15"/>
      <c r="N3209" s="15"/>
    </row>
    <row r="3210" spans="9:14" ht="48.2" customHeight="1" x14ac:dyDescent="0.25">
      <c r="I3210" s="15"/>
      <c r="J3210" s="15"/>
      <c r="K3210" s="15"/>
      <c r="L3210" s="15"/>
      <c r="M3210" s="15"/>
      <c r="N3210" s="15"/>
    </row>
    <row r="3211" spans="9:14" ht="48.2" customHeight="1" x14ac:dyDescent="0.25">
      <c r="I3211" s="15"/>
      <c r="J3211" s="15"/>
      <c r="K3211" s="15"/>
      <c r="L3211" s="15"/>
      <c r="M3211" s="15"/>
      <c r="N3211" s="15"/>
    </row>
    <row r="3212" spans="9:14" ht="48.2" customHeight="1" x14ac:dyDescent="0.25">
      <c r="I3212" s="15"/>
      <c r="J3212" s="15"/>
      <c r="K3212" s="15"/>
      <c r="L3212" s="15"/>
      <c r="M3212" s="15"/>
      <c r="N3212" s="15"/>
    </row>
    <row r="3213" spans="9:14" ht="48.2" customHeight="1" x14ac:dyDescent="0.25">
      <c r="I3213" s="15"/>
      <c r="J3213" s="15"/>
      <c r="K3213" s="15"/>
      <c r="L3213" s="15"/>
      <c r="M3213" s="15"/>
      <c r="N3213" s="15"/>
    </row>
    <row r="3214" spans="9:14" ht="48.2" customHeight="1" x14ac:dyDescent="0.25">
      <c r="I3214" s="15"/>
      <c r="J3214" s="15"/>
      <c r="K3214" s="15"/>
      <c r="L3214" s="15"/>
      <c r="M3214" s="15"/>
      <c r="N3214" s="15"/>
    </row>
    <row r="3215" spans="9:14" ht="48.2" customHeight="1" x14ac:dyDescent="0.25">
      <c r="I3215" s="15"/>
      <c r="J3215" s="15"/>
      <c r="K3215" s="15"/>
      <c r="L3215" s="15"/>
      <c r="M3215" s="15"/>
      <c r="N3215" s="15"/>
    </row>
    <row r="3216" spans="9:14" ht="48.2" customHeight="1" x14ac:dyDescent="0.25">
      <c r="I3216" s="15"/>
      <c r="J3216" s="15"/>
      <c r="K3216" s="15"/>
      <c r="L3216" s="15"/>
      <c r="M3216" s="15"/>
      <c r="N3216" s="15"/>
    </row>
    <row r="3217" spans="9:14" ht="48.2" customHeight="1" x14ac:dyDescent="0.25">
      <c r="I3217" s="15"/>
      <c r="J3217" s="15"/>
      <c r="K3217" s="15"/>
      <c r="L3217" s="15"/>
      <c r="M3217" s="15"/>
      <c r="N3217" s="15"/>
    </row>
    <row r="3218" spans="9:14" ht="48.2" customHeight="1" x14ac:dyDescent="0.25">
      <c r="I3218" s="15"/>
      <c r="J3218" s="15"/>
      <c r="K3218" s="15"/>
      <c r="L3218" s="15"/>
      <c r="M3218" s="15"/>
      <c r="N3218" s="15"/>
    </row>
    <row r="3219" spans="9:14" ht="48.2" customHeight="1" x14ac:dyDescent="0.25">
      <c r="I3219" s="15"/>
      <c r="J3219" s="15"/>
      <c r="K3219" s="15"/>
      <c r="L3219" s="15"/>
      <c r="M3219" s="15"/>
      <c r="N3219" s="15"/>
    </row>
    <row r="3220" spans="9:14" ht="48.2" customHeight="1" x14ac:dyDescent="0.25">
      <c r="I3220" s="15"/>
      <c r="J3220" s="15"/>
      <c r="K3220" s="15"/>
      <c r="L3220" s="15"/>
      <c r="M3220" s="15"/>
      <c r="N3220" s="15"/>
    </row>
    <row r="3221" spans="9:14" ht="48.2" customHeight="1" x14ac:dyDescent="0.25">
      <c r="I3221" s="15"/>
      <c r="J3221" s="15"/>
      <c r="K3221" s="15"/>
      <c r="L3221" s="15"/>
      <c r="M3221" s="15"/>
      <c r="N3221" s="15"/>
    </row>
    <row r="3222" spans="9:14" ht="48.2" customHeight="1" x14ac:dyDescent="0.25">
      <c r="I3222" s="15"/>
      <c r="J3222" s="15"/>
      <c r="K3222" s="15"/>
      <c r="L3222" s="15"/>
      <c r="M3222" s="15"/>
      <c r="N3222" s="15"/>
    </row>
    <row r="3223" spans="9:14" ht="48.2" customHeight="1" x14ac:dyDescent="0.25">
      <c r="I3223" s="15"/>
      <c r="J3223" s="15"/>
      <c r="K3223" s="15"/>
      <c r="L3223" s="15"/>
      <c r="M3223" s="15"/>
      <c r="N3223" s="15"/>
    </row>
    <row r="3224" spans="9:14" ht="48.2" customHeight="1" x14ac:dyDescent="0.25">
      <c r="I3224" s="15"/>
      <c r="J3224" s="15"/>
      <c r="K3224" s="15"/>
      <c r="L3224" s="15"/>
      <c r="M3224" s="15"/>
      <c r="N3224" s="15"/>
    </row>
    <row r="3225" spans="9:14" ht="48.2" customHeight="1" x14ac:dyDescent="0.25">
      <c r="I3225" s="15"/>
      <c r="J3225" s="15"/>
      <c r="K3225" s="15"/>
      <c r="L3225" s="15"/>
      <c r="M3225" s="15"/>
      <c r="N3225" s="15"/>
    </row>
    <row r="3226" spans="9:14" ht="48.2" customHeight="1" x14ac:dyDescent="0.25">
      <c r="I3226" s="15"/>
      <c r="J3226" s="15"/>
      <c r="K3226" s="15"/>
      <c r="L3226" s="15"/>
      <c r="M3226" s="15"/>
      <c r="N3226" s="15"/>
    </row>
    <row r="3227" spans="9:14" ht="48.2" customHeight="1" x14ac:dyDescent="0.25">
      <c r="I3227" s="15"/>
      <c r="J3227" s="15"/>
      <c r="K3227" s="15"/>
      <c r="L3227" s="15"/>
      <c r="M3227" s="15"/>
      <c r="N3227" s="15"/>
    </row>
    <row r="3228" spans="9:14" ht="48.2" customHeight="1" x14ac:dyDescent="0.25">
      <c r="I3228" s="15"/>
      <c r="J3228" s="15"/>
      <c r="K3228" s="15"/>
      <c r="L3228" s="15"/>
      <c r="M3228" s="15"/>
      <c r="N3228" s="15"/>
    </row>
    <row r="3229" spans="9:14" ht="48.2" customHeight="1" x14ac:dyDescent="0.25">
      <c r="I3229" s="15"/>
      <c r="J3229" s="15"/>
      <c r="K3229" s="15"/>
      <c r="L3229" s="15"/>
      <c r="M3229" s="15"/>
      <c r="N3229" s="15"/>
    </row>
    <row r="3230" spans="9:14" ht="48.2" customHeight="1" x14ac:dyDescent="0.25">
      <c r="I3230" s="15"/>
      <c r="J3230" s="15"/>
      <c r="K3230" s="15"/>
      <c r="L3230" s="15"/>
      <c r="M3230" s="15"/>
      <c r="N3230" s="15"/>
    </row>
    <row r="3231" spans="9:14" ht="48.2" customHeight="1" x14ac:dyDescent="0.25">
      <c r="I3231" s="15"/>
      <c r="J3231" s="15"/>
      <c r="K3231" s="15"/>
      <c r="L3231" s="15"/>
      <c r="M3231" s="15"/>
      <c r="N3231" s="15"/>
    </row>
    <row r="3232" spans="9:14" ht="48.2" customHeight="1" x14ac:dyDescent="0.25">
      <c r="I3232" s="15"/>
      <c r="J3232" s="15"/>
      <c r="K3232" s="15"/>
      <c r="L3232" s="15"/>
      <c r="M3232" s="15"/>
      <c r="N3232" s="15"/>
    </row>
    <row r="3233" spans="9:14" ht="48.2" customHeight="1" x14ac:dyDescent="0.25">
      <c r="I3233" s="15"/>
      <c r="J3233" s="15"/>
      <c r="K3233" s="15"/>
      <c r="L3233" s="15"/>
      <c r="M3233" s="15"/>
      <c r="N3233" s="15"/>
    </row>
    <row r="3234" spans="9:14" ht="48.2" customHeight="1" x14ac:dyDescent="0.25">
      <c r="I3234" s="15"/>
      <c r="J3234" s="15"/>
      <c r="K3234" s="15"/>
      <c r="L3234" s="15"/>
      <c r="M3234" s="15"/>
      <c r="N3234" s="15"/>
    </row>
    <row r="3235" spans="9:14" ht="48.2" customHeight="1" x14ac:dyDescent="0.25">
      <c r="I3235" s="15"/>
      <c r="J3235" s="15"/>
      <c r="K3235" s="15"/>
      <c r="L3235" s="15"/>
      <c r="M3235" s="15"/>
      <c r="N3235" s="15"/>
    </row>
    <row r="3236" spans="9:14" ht="48.2" customHeight="1" x14ac:dyDescent="0.25">
      <c r="I3236" s="15"/>
      <c r="J3236" s="15"/>
      <c r="K3236" s="15"/>
      <c r="L3236" s="15"/>
      <c r="M3236" s="15"/>
      <c r="N3236" s="15"/>
    </row>
    <row r="3237" spans="9:14" ht="48.2" customHeight="1" x14ac:dyDescent="0.25">
      <c r="I3237" s="15"/>
      <c r="J3237" s="15"/>
      <c r="K3237" s="15"/>
      <c r="L3237" s="15"/>
      <c r="M3237" s="15"/>
      <c r="N3237" s="15"/>
    </row>
    <row r="3238" spans="9:14" ht="48.2" customHeight="1" x14ac:dyDescent="0.25">
      <c r="I3238" s="15"/>
      <c r="J3238" s="15"/>
      <c r="K3238" s="15"/>
      <c r="L3238" s="15"/>
      <c r="M3238" s="15"/>
      <c r="N3238" s="15"/>
    </row>
    <row r="3239" spans="9:14" ht="48.2" customHeight="1" x14ac:dyDescent="0.25">
      <c r="I3239" s="15"/>
      <c r="J3239" s="15"/>
      <c r="K3239" s="15"/>
      <c r="L3239" s="15"/>
      <c r="M3239" s="15"/>
      <c r="N3239" s="15"/>
    </row>
    <row r="3240" spans="9:14" ht="48.2" customHeight="1" x14ac:dyDescent="0.25">
      <c r="I3240" s="15"/>
      <c r="J3240" s="15"/>
      <c r="K3240" s="15"/>
      <c r="L3240" s="15"/>
      <c r="M3240" s="15"/>
      <c r="N3240" s="15"/>
    </row>
    <row r="3241" spans="9:14" ht="48.2" customHeight="1" x14ac:dyDescent="0.25">
      <c r="I3241" s="15"/>
      <c r="J3241" s="15"/>
      <c r="K3241" s="15"/>
      <c r="L3241" s="15"/>
      <c r="M3241" s="15"/>
      <c r="N3241" s="15"/>
    </row>
    <row r="3242" spans="9:14" ht="48.2" customHeight="1" x14ac:dyDescent="0.25">
      <c r="I3242" s="15"/>
      <c r="J3242" s="15"/>
      <c r="K3242" s="15"/>
      <c r="L3242" s="15"/>
      <c r="M3242" s="15"/>
      <c r="N3242" s="15"/>
    </row>
    <row r="3243" spans="9:14" ht="48.2" customHeight="1" x14ac:dyDescent="0.25">
      <c r="I3243" s="15"/>
      <c r="J3243" s="15"/>
      <c r="K3243" s="15"/>
      <c r="L3243" s="15"/>
      <c r="M3243" s="15"/>
      <c r="N3243" s="15"/>
    </row>
    <row r="3244" spans="9:14" ht="48.2" customHeight="1" x14ac:dyDescent="0.25">
      <c r="I3244" s="15"/>
      <c r="J3244" s="15"/>
      <c r="K3244" s="15"/>
      <c r="L3244" s="15"/>
      <c r="M3244" s="15"/>
      <c r="N3244" s="15"/>
    </row>
    <row r="3245" spans="9:14" ht="48.2" customHeight="1" x14ac:dyDescent="0.25">
      <c r="I3245" s="15"/>
      <c r="J3245" s="15"/>
      <c r="K3245" s="15"/>
      <c r="L3245" s="15"/>
      <c r="M3245" s="15"/>
      <c r="N3245" s="15"/>
    </row>
    <row r="3246" spans="9:14" ht="48.2" customHeight="1" x14ac:dyDescent="0.25">
      <c r="I3246" s="15"/>
      <c r="J3246" s="15"/>
      <c r="K3246" s="15"/>
      <c r="L3246" s="15"/>
      <c r="M3246" s="15"/>
      <c r="N3246" s="15"/>
    </row>
    <row r="3247" spans="9:14" ht="48.2" customHeight="1" x14ac:dyDescent="0.25">
      <c r="I3247" s="15"/>
      <c r="J3247" s="15"/>
      <c r="K3247" s="15"/>
      <c r="L3247" s="15"/>
      <c r="M3247" s="15"/>
      <c r="N3247" s="15"/>
    </row>
    <row r="3248" spans="9:14" ht="48.2" customHeight="1" x14ac:dyDescent="0.25">
      <c r="I3248" s="15"/>
      <c r="J3248" s="15"/>
      <c r="K3248" s="15"/>
      <c r="L3248" s="15"/>
      <c r="M3248" s="15"/>
      <c r="N3248" s="15"/>
    </row>
    <row r="3249" spans="9:14" ht="48.2" customHeight="1" x14ac:dyDescent="0.25">
      <c r="I3249" s="15"/>
      <c r="J3249" s="15"/>
      <c r="K3249" s="15"/>
      <c r="L3249" s="15"/>
      <c r="M3249" s="15"/>
      <c r="N3249" s="15"/>
    </row>
    <row r="3250" spans="9:14" ht="48.2" customHeight="1" x14ac:dyDescent="0.25">
      <c r="I3250" s="15"/>
      <c r="J3250" s="15"/>
      <c r="K3250" s="15"/>
      <c r="L3250" s="15"/>
      <c r="M3250" s="15"/>
      <c r="N3250" s="15"/>
    </row>
    <row r="3251" spans="9:14" ht="48.2" customHeight="1" x14ac:dyDescent="0.25">
      <c r="I3251" s="15"/>
      <c r="J3251" s="15"/>
      <c r="K3251" s="15"/>
      <c r="L3251" s="15"/>
      <c r="M3251" s="15"/>
      <c r="N3251" s="15"/>
    </row>
    <row r="3252" spans="9:14" ht="48.2" customHeight="1" x14ac:dyDescent="0.25">
      <c r="I3252" s="15"/>
      <c r="J3252" s="15"/>
      <c r="K3252" s="15"/>
      <c r="L3252" s="15"/>
      <c r="M3252" s="15"/>
      <c r="N3252" s="15"/>
    </row>
    <row r="3253" spans="9:14" ht="48.2" customHeight="1" x14ac:dyDescent="0.25">
      <c r="I3253" s="15"/>
      <c r="J3253" s="15"/>
      <c r="K3253" s="15"/>
      <c r="L3253" s="15"/>
      <c r="M3253" s="15"/>
      <c r="N3253" s="15"/>
    </row>
    <row r="3254" spans="9:14" ht="48.2" customHeight="1" x14ac:dyDescent="0.25">
      <c r="I3254" s="15"/>
      <c r="J3254" s="15"/>
      <c r="K3254" s="15"/>
      <c r="L3254" s="15"/>
      <c r="M3254" s="15"/>
      <c r="N3254" s="15"/>
    </row>
    <row r="3255" spans="9:14" ht="48.2" customHeight="1" x14ac:dyDescent="0.25">
      <c r="I3255" s="15"/>
      <c r="J3255" s="15"/>
      <c r="K3255" s="15"/>
      <c r="L3255" s="15"/>
      <c r="M3255" s="15"/>
      <c r="N3255" s="15"/>
    </row>
    <row r="3256" spans="9:14" ht="48.2" customHeight="1" x14ac:dyDescent="0.25">
      <c r="I3256" s="15"/>
      <c r="J3256" s="15"/>
      <c r="K3256" s="15"/>
      <c r="L3256" s="15"/>
      <c r="M3256" s="15"/>
      <c r="N3256" s="15"/>
    </row>
    <row r="3257" spans="9:14" ht="48.2" customHeight="1" x14ac:dyDescent="0.25">
      <c r="I3257" s="15"/>
      <c r="J3257" s="15"/>
      <c r="K3257" s="15"/>
      <c r="L3257" s="15"/>
      <c r="M3257" s="15"/>
      <c r="N3257" s="15"/>
    </row>
    <row r="3258" spans="9:14" ht="48.2" customHeight="1" x14ac:dyDescent="0.25">
      <c r="I3258" s="15"/>
      <c r="J3258" s="15"/>
      <c r="K3258" s="15"/>
      <c r="L3258" s="15"/>
      <c r="M3258" s="15"/>
      <c r="N3258" s="15"/>
    </row>
    <row r="3259" spans="9:14" ht="48.2" customHeight="1" x14ac:dyDescent="0.25">
      <c r="I3259" s="15"/>
      <c r="J3259" s="15"/>
      <c r="K3259" s="15"/>
      <c r="L3259" s="15"/>
      <c r="M3259" s="15"/>
      <c r="N3259" s="15"/>
    </row>
    <row r="3260" spans="9:14" ht="48.2" customHeight="1" x14ac:dyDescent="0.25">
      <c r="I3260" s="15"/>
      <c r="J3260" s="15"/>
      <c r="K3260" s="15"/>
      <c r="L3260" s="15"/>
      <c r="M3260" s="15"/>
      <c r="N3260" s="15"/>
    </row>
    <row r="3261" spans="9:14" ht="48.2" customHeight="1" x14ac:dyDescent="0.25">
      <c r="I3261" s="15"/>
      <c r="J3261" s="15"/>
      <c r="K3261" s="15"/>
      <c r="L3261" s="15"/>
      <c r="M3261" s="15"/>
      <c r="N3261" s="15"/>
    </row>
    <row r="3262" spans="9:14" ht="48.2" customHeight="1" x14ac:dyDescent="0.25">
      <c r="I3262" s="15"/>
      <c r="J3262" s="15"/>
      <c r="K3262" s="15"/>
      <c r="L3262" s="15"/>
      <c r="M3262" s="15"/>
      <c r="N3262" s="15"/>
    </row>
    <row r="3263" spans="9:14" ht="48.2" customHeight="1" x14ac:dyDescent="0.25">
      <c r="I3263" s="15"/>
      <c r="J3263" s="15"/>
      <c r="K3263" s="15"/>
      <c r="L3263" s="15"/>
      <c r="M3263" s="15"/>
      <c r="N3263" s="15"/>
    </row>
    <row r="3264" spans="9:14" ht="48.2" customHeight="1" x14ac:dyDescent="0.25">
      <c r="I3264" s="15"/>
      <c r="J3264" s="15"/>
      <c r="K3264" s="15"/>
      <c r="L3264" s="15"/>
      <c r="M3264" s="15"/>
      <c r="N3264" s="15"/>
    </row>
    <row r="3265" spans="9:14" ht="48.2" customHeight="1" x14ac:dyDescent="0.25">
      <c r="I3265" s="15"/>
      <c r="J3265" s="15"/>
      <c r="K3265" s="15"/>
      <c r="L3265" s="15"/>
      <c r="M3265" s="15"/>
      <c r="N3265" s="15"/>
    </row>
    <row r="3266" spans="9:14" ht="48.2" customHeight="1" x14ac:dyDescent="0.25">
      <c r="I3266" s="15"/>
      <c r="J3266" s="15"/>
      <c r="K3266" s="15"/>
      <c r="L3266" s="15"/>
      <c r="M3266" s="15"/>
      <c r="N3266" s="15"/>
    </row>
    <row r="3267" spans="9:14" ht="48.2" customHeight="1" x14ac:dyDescent="0.25">
      <c r="I3267" s="15"/>
      <c r="J3267" s="15"/>
      <c r="K3267" s="15"/>
      <c r="L3267" s="15"/>
      <c r="M3267" s="15"/>
      <c r="N3267" s="15"/>
    </row>
    <row r="3268" spans="9:14" ht="48.2" customHeight="1" x14ac:dyDescent="0.25">
      <c r="I3268" s="15"/>
      <c r="J3268" s="15"/>
      <c r="K3268" s="15"/>
      <c r="L3268" s="15"/>
      <c r="M3268" s="15"/>
      <c r="N3268" s="15"/>
    </row>
    <row r="3269" spans="9:14" ht="48.2" customHeight="1" x14ac:dyDescent="0.25">
      <c r="I3269" s="15"/>
      <c r="J3269" s="15"/>
      <c r="K3269" s="15"/>
      <c r="L3269" s="15"/>
      <c r="M3269" s="15"/>
      <c r="N3269" s="15"/>
    </row>
    <row r="3270" spans="9:14" ht="48.2" customHeight="1" x14ac:dyDescent="0.25">
      <c r="I3270" s="15"/>
      <c r="J3270" s="15"/>
      <c r="K3270" s="15"/>
      <c r="L3270" s="15"/>
      <c r="M3270" s="15"/>
      <c r="N3270" s="15"/>
    </row>
    <row r="3271" spans="9:14" ht="48.2" customHeight="1" x14ac:dyDescent="0.25">
      <c r="I3271" s="15"/>
      <c r="J3271" s="15"/>
      <c r="K3271" s="15"/>
      <c r="L3271" s="15"/>
      <c r="M3271" s="15"/>
      <c r="N3271" s="15"/>
    </row>
    <row r="3272" spans="9:14" ht="48.2" customHeight="1" x14ac:dyDescent="0.25">
      <c r="I3272" s="15"/>
      <c r="J3272" s="15"/>
      <c r="K3272" s="15"/>
      <c r="L3272" s="15"/>
      <c r="M3272" s="15"/>
      <c r="N3272" s="15"/>
    </row>
    <row r="3273" spans="9:14" ht="48.2" customHeight="1" x14ac:dyDescent="0.25">
      <c r="I3273" s="15"/>
      <c r="J3273" s="15"/>
      <c r="K3273" s="15"/>
      <c r="L3273" s="15"/>
      <c r="M3273" s="15"/>
      <c r="N3273" s="15"/>
    </row>
    <row r="3274" spans="9:14" ht="48.2" customHeight="1" x14ac:dyDescent="0.25">
      <c r="I3274" s="15"/>
      <c r="J3274" s="15"/>
      <c r="K3274" s="15"/>
      <c r="L3274" s="15"/>
      <c r="M3274" s="15"/>
      <c r="N3274" s="15"/>
    </row>
    <row r="3275" spans="9:14" ht="48.2" customHeight="1" x14ac:dyDescent="0.25">
      <c r="I3275" s="15"/>
      <c r="J3275" s="15"/>
      <c r="K3275" s="15"/>
      <c r="L3275" s="15"/>
      <c r="M3275" s="15"/>
      <c r="N3275" s="15"/>
    </row>
    <row r="3276" spans="9:14" ht="48.2" customHeight="1" x14ac:dyDescent="0.25">
      <c r="I3276" s="15"/>
      <c r="J3276" s="15"/>
      <c r="K3276" s="15"/>
      <c r="L3276" s="15"/>
      <c r="M3276" s="15"/>
      <c r="N3276" s="15"/>
    </row>
    <row r="3277" spans="9:14" ht="48.2" customHeight="1" x14ac:dyDescent="0.25">
      <c r="I3277" s="15"/>
      <c r="J3277" s="15"/>
      <c r="K3277" s="15"/>
      <c r="L3277" s="15"/>
      <c r="M3277" s="15"/>
      <c r="N3277" s="15"/>
    </row>
    <row r="3278" spans="9:14" ht="48.2" customHeight="1" x14ac:dyDescent="0.25">
      <c r="I3278" s="15"/>
      <c r="J3278" s="15"/>
      <c r="K3278" s="15"/>
      <c r="L3278" s="15"/>
      <c r="M3278" s="15"/>
      <c r="N3278" s="15"/>
    </row>
    <row r="3279" spans="9:14" ht="48.2" customHeight="1" x14ac:dyDescent="0.25">
      <c r="I3279" s="15"/>
      <c r="J3279" s="15"/>
      <c r="K3279" s="15"/>
      <c r="L3279" s="15"/>
      <c r="M3279" s="15"/>
      <c r="N3279" s="15"/>
    </row>
    <row r="3280" spans="9:14" ht="48.2" customHeight="1" x14ac:dyDescent="0.25">
      <c r="I3280" s="15"/>
      <c r="J3280" s="15"/>
      <c r="K3280" s="15"/>
      <c r="L3280" s="15"/>
      <c r="M3280" s="15"/>
      <c r="N3280" s="15"/>
    </row>
    <row r="3281" spans="9:14" ht="48.2" customHeight="1" x14ac:dyDescent="0.25">
      <c r="I3281" s="15"/>
      <c r="J3281" s="15"/>
      <c r="K3281" s="15"/>
      <c r="L3281" s="15"/>
      <c r="M3281" s="15"/>
      <c r="N3281" s="15"/>
    </row>
    <row r="3282" spans="9:14" ht="48.2" customHeight="1" x14ac:dyDescent="0.25">
      <c r="I3282" s="15"/>
      <c r="J3282" s="15"/>
      <c r="K3282" s="15"/>
      <c r="L3282" s="15"/>
      <c r="M3282" s="15"/>
      <c r="N3282" s="15"/>
    </row>
    <row r="3283" spans="9:14" ht="48.2" customHeight="1" x14ac:dyDescent="0.25">
      <c r="I3283" s="15"/>
      <c r="J3283" s="15"/>
      <c r="K3283" s="15"/>
      <c r="L3283" s="15"/>
      <c r="M3283" s="15"/>
      <c r="N3283" s="15"/>
    </row>
    <row r="3284" spans="9:14" ht="48.2" customHeight="1" x14ac:dyDescent="0.25">
      <c r="I3284" s="15"/>
      <c r="J3284" s="15"/>
      <c r="K3284" s="15"/>
      <c r="L3284" s="15"/>
      <c r="M3284" s="15"/>
      <c r="N3284" s="15"/>
    </row>
    <row r="3285" spans="9:14" ht="48.2" customHeight="1" x14ac:dyDescent="0.25">
      <c r="I3285" s="15"/>
      <c r="J3285" s="15"/>
      <c r="K3285" s="15"/>
      <c r="L3285" s="15"/>
      <c r="M3285" s="15"/>
      <c r="N3285" s="15"/>
    </row>
    <row r="3286" spans="9:14" ht="48.2" customHeight="1" x14ac:dyDescent="0.25">
      <c r="I3286" s="15"/>
      <c r="J3286" s="15"/>
      <c r="K3286" s="15"/>
      <c r="L3286" s="15"/>
      <c r="M3286" s="15"/>
      <c r="N3286" s="15"/>
    </row>
    <row r="3287" spans="9:14" ht="48.2" customHeight="1" x14ac:dyDescent="0.25">
      <c r="I3287" s="15"/>
      <c r="J3287" s="15"/>
      <c r="K3287" s="15"/>
      <c r="L3287" s="15"/>
      <c r="M3287" s="15"/>
      <c r="N3287" s="15"/>
    </row>
    <row r="3288" spans="9:14" ht="48.2" customHeight="1" x14ac:dyDescent="0.25">
      <c r="I3288" s="15"/>
      <c r="J3288" s="15"/>
      <c r="K3288" s="15"/>
      <c r="L3288" s="15"/>
      <c r="M3288" s="15"/>
      <c r="N3288" s="15"/>
    </row>
    <row r="3289" spans="9:14" ht="48.2" customHeight="1" x14ac:dyDescent="0.25">
      <c r="I3289" s="15"/>
      <c r="J3289" s="15"/>
      <c r="K3289" s="15"/>
      <c r="L3289" s="15"/>
      <c r="M3289" s="15"/>
      <c r="N3289" s="15"/>
    </row>
    <row r="3290" spans="9:14" ht="48.2" customHeight="1" x14ac:dyDescent="0.25">
      <c r="I3290" s="15"/>
      <c r="J3290" s="15"/>
      <c r="K3290" s="15"/>
      <c r="L3290" s="15"/>
      <c r="M3290" s="15"/>
      <c r="N3290" s="15"/>
    </row>
    <row r="3291" spans="9:14" ht="48.2" customHeight="1" x14ac:dyDescent="0.25">
      <c r="I3291" s="15"/>
      <c r="J3291" s="15"/>
      <c r="K3291" s="15"/>
      <c r="L3291" s="15"/>
      <c r="M3291" s="15"/>
      <c r="N3291" s="15"/>
    </row>
    <row r="3292" spans="9:14" ht="48.2" customHeight="1" x14ac:dyDescent="0.25">
      <c r="I3292" s="15"/>
      <c r="J3292" s="15"/>
      <c r="K3292" s="15"/>
      <c r="L3292" s="15"/>
      <c r="M3292" s="15"/>
      <c r="N3292" s="15"/>
    </row>
    <row r="3293" spans="9:14" ht="48.2" customHeight="1" x14ac:dyDescent="0.25">
      <c r="I3293" s="15"/>
      <c r="J3293" s="15"/>
      <c r="K3293" s="15"/>
      <c r="L3293" s="15"/>
      <c r="M3293" s="15"/>
      <c r="N3293" s="15"/>
    </row>
    <row r="3294" spans="9:14" ht="48.2" customHeight="1" x14ac:dyDescent="0.25">
      <c r="I3294" s="15"/>
      <c r="J3294" s="15"/>
      <c r="K3294" s="15"/>
      <c r="L3294" s="15"/>
      <c r="M3294" s="15"/>
      <c r="N3294" s="15"/>
    </row>
    <row r="3295" spans="9:14" ht="48.2" customHeight="1" x14ac:dyDescent="0.25">
      <c r="I3295" s="15"/>
      <c r="J3295" s="15"/>
      <c r="K3295" s="15"/>
      <c r="L3295" s="15"/>
      <c r="M3295" s="15"/>
      <c r="N3295" s="15"/>
    </row>
    <row r="3296" spans="9:14" ht="48.2" customHeight="1" x14ac:dyDescent="0.25">
      <c r="I3296" s="15"/>
      <c r="J3296" s="15"/>
      <c r="K3296" s="15"/>
      <c r="L3296" s="15"/>
      <c r="M3296" s="15"/>
      <c r="N3296" s="15"/>
    </row>
    <row r="3297" spans="9:14" ht="48.2" customHeight="1" x14ac:dyDescent="0.25">
      <c r="I3297" s="15"/>
      <c r="J3297" s="15"/>
      <c r="K3297" s="15"/>
      <c r="L3297" s="15"/>
      <c r="M3297" s="15"/>
      <c r="N3297" s="15"/>
    </row>
    <row r="3298" spans="9:14" ht="48.2" customHeight="1" x14ac:dyDescent="0.25">
      <c r="I3298" s="15"/>
      <c r="J3298" s="15"/>
      <c r="K3298" s="15"/>
      <c r="L3298" s="15"/>
      <c r="M3298" s="15"/>
      <c r="N3298" s="15"/>
    </row>
    <row r="3299" spans="9:14" ht="48.2" customHeight="1" x14ac:dyDescent="0.25">
      <c r="I3299" s="15"/>
      <c r="J3299" s="15"/>
      <c r="K3299" s="15"/>
      <c r="L3299" s="15"/>
      <c r="M3299" s="15"/>
      <c r="N3299" s="15"/>
    </row>
    <row r="3300" spans="9:14" ht="48.2" customHeight="1" x14ac:dyDescent="0.25">
      <c r="I3300" s="15"/>
      <c r="J3300" s="15"/>
      <c r="K3300" s="15"/>
      <c r="L3300" s="15"/>
      <c r="M3300" s="15"/>
      <c r="N3300" s="15"/>
    </row>
    <row r="3301" spans="9:14" ht="48.2" customHeight="1" x14ac:dyDescent="0.25">
      <c r="I3301" s="15"/>
      <c r="J3301" s="15"/>
      <c r="K3301" s="15"/>
      <c r="L3301" s="15"/>
      <c r="M3301" s="15"/>
      <c r="N3301" s="15"/>
    </row>
    <row r="3302" spans="9:14" ht="48.2" customHeight="1" x14ac:dyDescent="0.25">
      <c r="I3302" s="15"/>
      <c r="J3302" s="15"/>
      <c r="K3302" s="15"/>
      <c r="L3302" s="15"/>
      <c r="M3302" s="15"/>
      <c r="N3302" s="15"/>
    </row>
    <row r="3303" spans="9:14" ht="48.2" customHeight="1" x14ac:dyDescent="0.25">
      <c r="I3303" s="15"/>
      <c r="J3303" s="15"/>
      <c r="K3303" s="15"/>
      <c r="L3303" s="15"/>
      <c r="M3303" s="15"/>
      <c r="N3303" s="15"/>
    </row>
    <row r="3304" spans="9:14" ht="48.2" customHeight="1" x14ac:dyDescent="0.25">
      <c r="I3304" s="15"/>
      <c r="J3304" s="15"/>
      <c r="K3304" s="15"/>
      <c r="L3304" s="15"/>
      <c r="M3304" s="15"/>
      <c r="N3304" s="15"/>
    </row>
    <row r="3305" spans="9:14" ht="48.2" customHeight="1" x14ac:dyDescent="0.25">
      <c r="I3305" s="15"/>
      <c r="J3305" s="15"/>
      <c r="K3305" s="15"/>
      <c r="L3305" s="15"/>
      <c r="M3305" s="15"/>
      <c r="N3305" s="15"/>
    </row>
    <row r="3306" spans="9:14" ht="48.2" customHeight="1" x14ac:dyDescent="0.25">
      <c r="I3306" s="15"/>
      <c r="J3306" s="15"/>
      <c r="K3306" s="15"/>
      <c r="L3306" s="15"/>
      <c r="M3306" s="15"/>
      <c r="N3306" s="15"/>
    </row>
    <row r="3307" spans="9:14" ht="48.2" customHeight="1" x14ac:dyDescent="0.25">
      <c r="I3307" s="15"/>
      <c r="J3307" s="15"/>
      <c r="K3307" s="15"/>
      <c r="L3307" s="15"/>
      <c r="M3307" s="15"/>
      <c r="N3307" s="15"/>
    </row>
    <row r="3308" spans="9:14" ht="48.2" customHeight="1" x14ac:dyDescent="0.25">
      <c r="I3308" s="15"/>
      <c r="J3308" s="15"/>
      <c r="K3308" s="15"/>
      <c r="L3308" s="15"/>
      <c r="M3308" s="15"/>
      <c r="N3308" s="15"/>
    </row>
    <row r="3309" spans="9:14" ht="48.2" customHeight="1" x14ac:dyDescent="0.25">
      <c r="I3309" s="15"/>
      <c r="J3309" s="15"/>
      <c r="K3309" s="15"/>
      <c r="L3309" s="15"/>
      <c r="M3309" s="15"/>
      <c r="N3309" s="15"/>
    </row>
    <row r="3310" spans="9:14" ht="48.2" customHeight="1" x14ac:dyDescent="0.25">
      <c r="I3310" s="15"/>
      <c r="J3310" s="15"/>
      <c r="K3310" s="15"/>
      <c r="L3310" s="15"/>
      <c r="M3310" s="15"/>
      <c r="N3310" s="15"/>
    </row>
    <row r="3311" spans="9:14" ht="48.2" customHeight="1" x14ac:dyDescent="0.25">
      <c r="I3311" s="15"/>
      <c r="J3311" s="15"/>
      <c r="K3311" s="15"/>
      <c r="L3311" s="15"/>
      <c r="M3311" s="15"/>
      <c r="N3311" s="15"/>
    </row>
    <row r="3312" spans="9:14" ht="48.2" customHeight="1" x14ac:dyDescent="0.25">
      <c r="I3312" s="15"/>
      <c r="J3312" s="15"/>
      <c r="K3312" s="15"/>
      <c r="L3312" s="15"/>
      <c r="M3312" s="15"/>
      <c r="N3312" s="15"/>
    </row>
    <row r="3313" spans="9:14" ht="48.2" customHeight="1" x14ac:dyDescent="0.25">
      <c r="I3313" s="15"/>
      <c r="J3313" s="15"/>
      <c r="K3313" s="15"/>
      <c r="L3313" s="15"/>
      <c r="M3313" s="15"/>
      <c r="N3313" s="15"/>
    </row>
    <row r="3314" spans="9:14" ht="48.2" customHeight="1" x14ac:dyDescent="0.25">
      <c r="I3314" s="15"/>
      <c r="J3314" s="15"/>
      <c r="K3314" s="15"/>
      <c r="L3314" s="15"/>
      <c r="M3314" s="15"/>
      <c r="N3314" s="15"/>
    </row>
    <row r="3315" spans="9:14" ht="48.2" customHeight="1" x14ac:dyDescent="0.25">
      <c r="I3315" s="15"/>
      <c r="J3315" s="15"/>
      <c r="K3315" s="15"/>
      <c r="L3315" s="15"/>
      <c r="M3315" s="15"/>
      <c r="N3315" s="15"/>
    </row>
    <row r="3316" spans="9:14" ht="48.2" customHeight="1" x14ac:dyDescent="0.25">
      <c r="I3316" s="15"/>
      <c r="J3316" s="15"/>
      <c r="K3316" s="15"/>
      <c r="L3316" s="15"/>
      <c r="M3316" s="15"/>
      <c r="N3316" s="15"/>
    </row>
    <row r="3317" spans="9:14" ht="48.2" customHeight="1" x14ac:dyDescent="0.25">
      <c r="I3317" s="15"/>
      <c r="J3317" s="15"/>
      <c r="K3317" s="15"/>
      <c r="L3317" s="15"/>
      <c r="M3317" s="15"/>
      <c r="N3317" s="15"/>
    </row>
    <row r="3318" spans="9:14" ht="48.2" customHeight="1" x14ac:dyDescent="0.25">
      <c r="I3318" s="15"/>
      <c r="J3318" s="15"/>
      <c r="K3318" s="15"/>
      <c r="L3318" s="15"/>
      <c r="M3318" s="15"/>
      <c r="N3318" s="15"/>
    </row>
    <row r="3319" spans="9:14" ht="48.2" customHeight="1" x14ac:dyDescent="0.25">
      <c r="I3319" s="15"/>
      <c r="J3319" s="15"/>
      <c r="K3319" s="15"/>
      <c r="L3319" s="15"/>
      <c r="M3319" s="15"/>
      <c r="N3319" s="15"/>
    </row>
    <row r="3320" spans="9:14" ht="48.2" customHeight="1" x14ac:dyDescent="0.25">
      <c r="I3320" s="15"/>
      <c r="J3320" s="15"/>
      <c r="K3320" s="15"/>
      <c r="L3320" s="15"/>
      <c r="M3320" s="15"/>
      <c r="N3320" s="15"/>
    </row>
    <row r="3321" spans="9:14" ht="48.2" customHeight="1" x14ac:dyDescent="0.25">
      <c r="I3321" s="15"/>
      <c r="J3321" s="15"/>
      <c r="K3321" s="15"/>
      <c r="L3321" s="15"/>
      <c r="M3321" s="15"/>
      <c r="N3321" s="15"/>
    </row>
    <row r="3322" spans="9:14" ht="48.2" customHeight="1" x14ac:dyDescent="0.25">
      <c r="I3322" s="15"/>
      <c r="J3322" s="15"/>
      <c r="K3322" s="15"/>
      <c r="L3322" s="15"/>
      <c r="M3322" s="15"/>
      <c r="N3322" s="15"/>
    </row>
    <row r="3323" spans="9:14" ht="48.2" customHeight="1" x14ac:dyDescent="0.25">
      <c r="I3323" s="15"/>
      <c r="J3323" s="15"/>
      <c r="K3323" s="15"/>
      <c r="L3323" s="15"/>
      <c r="M3323" s="15"/>
      <c r="N3323" s="15"/>
    </row>
    <row r="3324" spans="9:14" ht="48.2" customHeight="1" x14ac:dyDescent="0.25">
      <c r="I3324" s="15"/>
      <c r="J3324" s="15"/>
      <c r="K3324" s="15"/>
      <c r="L3324" s="15"/>
      <c r="M3324" s="15"/>
      <c r="N3324" s="15"/>
    </row>
    <row r="3325" spans="9:14" ht="48.2" customHeight="1" x14ac:dyDescent="0.25">
      <c r="I3325" s="15"/>
      <c r="J3325" s="15"/>
      <c r="K3325" s="15"/>
      <c r="L3325" s="15"/>
      <c r="M3325" s="15"/>
      <c r="N3325" s="15"/>
    </row>
    <row r="3326" spans="9:14" ht="48.2" customHeight="1" x14ac:dyDescent="0.25">
      <c r="I3326" s="15"/>
      <c r="J3326" s="15"/>
      <c r="K3326" s="15"/>
      <c r="L3326" s="15"/>
      <c r="M3326" s="15"/>
      <c r="N3326" s="15"/>
    </row>
    <row r="3327" spans="9:14" ht="48.2" customHeight="1" x14ac:dyDescent="0.25">
      <c r="I3327" s="15"/>
      <c r="J3327" s="15"/>
      <c r="K3327" s="15"/>
      <c r="L3327" s="15"/>
      <c r="M3327" s="15"/>
      <c r="N3327" s="15"/>
    </row>
    <row r="3328" spans="9:14" ht="48.2" customHeight="1" x14ac:dyDescent="0.25">
      <c r="I3328" s="15"/>
      <c r="J3328" s="15"/>
      <c r="K3328" s="15"/>
      <c r="L3328" s="15"/>
      <c r="M3328" s="15"/>
      <c r="N3328" s="15"/>
    </row>
    <row r="3329" spans="9:14" ht="48.2" customHeight="1" x14ac:dyDescent="0.25">
      <c r="I3329" s="15"/>
      <c r="J3329" s="15"/>
      <c r="K3329" s="15"/>
      <c r="L3329" s="15"/>
      <c r="M3329" s="15"/>
      <c r="N3329" s="15"/>
    </row>
    <row r="3330" spans="9:14" ht="48.2" customHeight="1" x14ac:dyDescent="0.25">
      <c r="I3330" s="15"/>
      <c r="J3330" s="15"/>
      <c r="K3330" s="15"/>
      <c r="L3330" s="15"/>
      <c r="M3330" s="15"/>
      <c r="N3330" s="15"/>
    </row>
    <row r="3331" spans="9:14" ht="48.2" customHeight="1" x14ac:dyDescent="0.25">
      <c r="I3331" s="15"/>
      <c r="J3331" s="15"/>
      <c r="K3331" s="15"/>
      <c r="L3331" s="15"/>
      <c r="M3331" s="15"/>
      <c r="N3331" s="15"/>
    </row>
    <row r="3332" spans="9:14" ht="48.2" customHeight="1" x14ac:dyDescent="0.25">
      <c r="I3332" s="15"/>
      <c r="J3332" s="15"/>
      <c r="K3332" s="15"/>
      <c r="L3332" s="15"/>
      <c r="M3332" s="15"/>
      <c r="N3332" s="15"/>
    </row>
    <row r="3333" spans="9:14" ht="48.2" customHeight="1" x14ac:dyDescent="0.25">
      <c r="I3333" s="15"/>
      <c r="J3333" s="15"/>
      <c r="K3333" s="15"/>
      <c r="L3333" s="15"/>
      <c r="M3333" s="15"/>
      <c r="N3333" s="15"/>
    </row>
    <row r="3334" spans="9:14" ht="48.2" customHeight="1" x14ac:dyDescent="0.25">
      <c r="I3334" s="15"/>
      <c r="J3334" s="15"/>
      <c r="K3334" s="15"/>
      <c r="L3334" s="15"/>
      <c r="M3334" s="15"/>
      <c r="N3334" s="15"/>
    </row>
    <row r="3335" spans="9:14" ht="48.2" customHeight="1" x14ac:dyDescent="0.25">
      <c r="I3335" s="15"/>
      <c r="J3335" s="15"/>
      <c r="K3335" s="15"/>
      <c r="L3335" s="15"/>
      <c r="M3335" s="15"/>
      <c r="N3335" s="15"/>
    </row>
    <row r="3336" spans="9:14" ht="48.2" customHeight="1" x14ac:dyDescent="0.25">
      <c r="I3336" s="15"/>
      <c r="J3336" s="15"/>
      <c r="K3336" s="15"/>
      <c r="L3336" s="15"/>
      <c r="M3336" s="15"/>
      <c r="N3336" s="15"/>
    </row>
    <row r="3337" spans="9:14" ht="48.2" customHeight="1" x14ac:dyDescent="0.25">
      <c r="I3337" s="15"/>
      <c r="J3337" s="15"/>
      <c r="K3337" s="15"/>
      <c r="L3337" s="15"/>
      <c r="M3337" s="15"/>
      <c r="N3337" s="15"/>
    </row>
    <row r="3338" spans="9:14" ht="48.2" customHeight="1" x14ac:dyDescent="0.25">
      <c r="I3338" s="15"/>
      <c r="J3338" s="15"/>
      <c r="K3338" s="15"/>
      <c r="L3338" s="15"/>
      <c r="M3338" s="15"/>
      <c r="N3338" s="15"/>
    </row>
    <row r="3339" spans="9:14" ht="48.2" customHeight="1" x14ac:dyDescent="0.25">
      <c r="I3339" s="15"/>
      <c r="J3339" s="15"/>
      <c r="K3339" s="15"/>
      <c r="L3339" s="15"/>
      <c r="M3339" s="15"/>
      <c r="N3339" s="15"/>
    </row>
    <row r="3340" spans="9:14" ht="48.2" customHeight="1" x14ac:dyDescent="0.25">
      <c r="I3340" s="15"/>
      <c r="J3340" s="15"/>
      <c r="K3340" s="15"/>
      <c r="L3340" s="15"/>
      <c r="M3340" s="15"/>
      <c r="N3340" s="15"/>
    </row>
    <row r="3341" spans="9:14" ht="48.2" customHeight="1" x14ac:dyDescent="0.25">
      <c r="I3341" s="15"/>
      <c r="J3341" s="15"/>
      <c r="K3341" s="15"/>
      <c r="L3341" s="15"/>
      <c r="M3341" s="15"/>
      <c r="N3341" s="15"/>
    </row>
    <row r="3342" spans="9:14" ht="48.2" customHeight="1" x14ac:dyDescent="0.25">
      <c r="I3342" s="15"/>
      <c r="J3342" s="15"/>
      <c r="K3342" s="15"/>
      <c r="L3342" s="15"/>
      <c r="M3342" s="15"/>
      <c r="N3342" s="15"/>
    </row>
    <row r="3343" spans="9:14" ht="48.2" customHeight="1" x14ac:dyDescent="0.25">
      <c r="I3343" s="15"/>
      <c r="J3343" s="15"/>
      <c r="K3343" s="15"/>
      <c r="L3343" s="15"/>
      <c r="M3343" s="15"/>
      <c r="N3343" s="15"/>
    </row>
    <row r="3344" spans="9:14" ht="48.2" customHeight="1" x14ac:dyDescent="0.25">
      <c r="I3344" s="15"/>
      <c r="J3344" s="15"/>
      <c r="K3344" s="15"/>
      <c r="L3344" s="15"/>
      <c r="M3344" s="15"/>
      <c r="N3344" s="15"/>
    </row>
    <row r="3345" spans="9:14" ht="48.2" customHeight="1" x14ac:dyDescent="0.25">
      <c r="I3345" s="15"/>
      <c r="J3345" s="15"/>
      <c r="K3345" s="15"/>
      <c r="L3345" s="15"/>
      <c r="M3345" s="15"/>
      <c r="N3345" s="15"/>
    </row>
    <row r="3346" spans="9:14" ht="48.2" customHeight="1" x14ac:dyDescent="0.25">
      <c r="I3346" s="15"/>
      <c r="J3346" s="15"/>
      <c r="K3346" s="15"/>
      <c r="L3346" s="15"/>
      <c r="M3346" s="15"/>
      <c r="N3346" s="15"/>
    </row>
    <row r="3347" spans="9:14" ht="48.2" customHeight="1" x14ac:dyDescent="0.25">
      <c r="I3347" s="15"/>
      <c r="J3347" s="15"/>
      <c r="K3347" s="15"/>
      <c r="L3347" s="15"/>
      <c r="M3347" s="15"/>
      <c r="N3347" s="15"/>
    </row>
    <row r="3348" spans="9:14" ht="48.2" customHeight="1" x14ac:dyDescent="0.25">
      <c r="I3348" s="15"/>
      <c r="J3348" s="15"/>
      <c r="K3348" s="15"/>
      <c r="L3348" s="15"/>
      <c r="M3348" s="15"/>
      <c r="N3348" s="15"/>
    </row>
    <row r="3349" spans="9:14" ht="48.2" customHeight="1" x14ac:dyDescent="0.25">
      <c r="I3349" s="15"/>
      <c r="J3349" s="15"/>
      <c r="K3349" s="15"/>
      <c r="L3349" s="15"/>
      <c r="M3349" s="15"/>
      <c r="N3349" s="15"/>
    </row>
    <row r="3350" spans="9:14" ht="48.2" customHeight="1" x14ac:dyDescent="0.25">
      <c r="I3350" s="15"/>
      <c r="J3350" s="15"/>
      <c r="K3350" s="15"/>
      <c r="L3350" s="15"/>
      <c r="M3350" s="15"/>
      <c r="N3350" s="15"/>
    </row>
    <row r="3351" spans="9:14" ht="48.2" customHeight="1" x14ac:dyDescent="0.25">
      <c r="I3351" s="15"/>
      <c r="J3351" s="15"/>
      <c r="K3351" s="15"/>
      <c r="L3351" s="15"/>
      <c r="M3351" s="15"/>
      <c r="N3351" s="15"/>
    </row>
    <row r="3352" spans="9:14" ht="48.2" customHeight="1" x14ac:dyDescent="0.25">
      <c r="I3352" s="15"/>
      <c r="J3352" s="15"/>
      <c r="K3352" s="15"/>
      <c r="L3352" s="15"/>
      <c r="M3352" s="15"/>
      <c r="N3352" s="15"/>
    </row>
    <row r="3353" spans="9:14" ht="48.2" customHeight="1" x14ac:dyDescent="0.25">
      <c r="I3353" s="15"/>
      <c r="J3353" s="15"/>
      <c r="K3353" s="15"/>
      <c r="L3353" s="15"/>
      <c r="M3353" s="15"/>
      <c r="N3353" s="15"/>
    </row>
    <row r="3354" spans="9:14" ht="48.2" customHeight="1" x14ac:dyDescent="0.25">
      <c r="I3354" s="15"/>
      <c r="J3354" s="15"/>
      <c r="K3354" s="15"/>
      <c r="L3354" s="15"/>
      <c r="M3354" s="15"/>
      <c r="N3354" s="15"/>
    </row>
    <row r="3355" spans="9:14" ht="48.2" customHeight="1" x14ac:dyDescent="0.25">
      <c r="I3355" s="15"/>
      <c r="J3355" s="15"/>
      <c r="K3355" s="15"/>
      <c r="L3355" s="15"/>
      <c r="M3355" s="15"/>
      <c r="N3355" s="15"/>
    </row>
    <row r="3356" spans="9:14" ht="48.2" customHeight="1" x14ac:dyDescent="0.25">
      <c r="I3356" s="15"/>
      <c r="J3356" s="15"/>
      <c r="K3356" s="15"/>
      <c r="L3356" s="15"/>
      <c r="M3356" s="15"/>
      <c r="N3356" s="15"/>
    </row>
    <row r="3357" spans="9:14" ht="48.2" customHeight="1" x14ac:dyDescent="0.25">
      <c r="I3357" s="15"/>
      <c r="J3357" s="15"/>
      <c r="K3357" s="15"/>
      <c r="L3357" s="15"/>
      <c r="M3357" s="15"/>
      <c r="N3357" s="15"/>
    </row>
    <row r="3358" spans="9:14" ht="48.2" customHeight="1" x14ac:dyDescent="0.25">
      <c r="I3358" s="15"/>
      <c r="J3358" s="15"/>
      <c r="K3358" s="15"/>
      <c r="L3358" s="15"/>
      <c r="M3358" s="15"/>
      <c r="N3358" s="15"/>
    </row>
    <row r="3359" spans="9:14" ht="48.2" customHeight="1" x14ac:dyDescent="0.25">
      <c r="I3359" s="15"/>
      <c r="J3359" s="15"/>
      <c r="K3359" s="15"/>
      <c r="L3359" s="15"/>
      <c r="M3359" s="15"/>
      <c r="N3359" s="15"/>
    </row>
    <row r="3360" spans="9:14" ht="48.2" customHeight="1" x14ac:dyDescent="0.25">
      <c r="I3360" s="15"/>
      <c r="J3360" s="15"/>
      <c r="K3360" s="15"/>
      <c r="L3360" s="15"/>
      <c r="M3360" s="15"/>
      <c r="N3360" s="15"/>
    </row>
    <row r="3361" spans="9:14" ht="48.2" customHeight="1" x14ac:dyDescent="0.25">
      <c r="I3361" s="15"/>
      <c r="J3361" s="15"/>
      <c r="K3361" s="15"/>
      <c r="L3361" s="15"/>
      <c r="M3361" s="15"/>
      <c r="N3361" s="15"/>
    </row>
    <row r="3362" spans="9:14" ht="48.2" customHeight="1" x14ac:dyDescent="0.25">
      <c r="I3362" s="15"/>
      <c r="J3362" s="15"/>
      <c r="K3362" s="15"/>
      <c r="L3362" s="15"/>
      <c r="M3362" s="15"/>
      <c r="N3362" s="15"/>
    </row>
  </sheetData>
  <mergeCells count="1">
    <mergeCell ref="A1136:W1136"/>
  </mergeCells>
  <conditionalFormatting sqref="A2:A1606">
    <cfRule type="expression" dxfId="29" priority="14">
      <formula>OR(TRIM(A2)="14S",TRIM(A2)="15",TRIM(A2)="22")</formula>
    </cfRule>
  </conditionalFormatting>
  <conditionalFormatting sqref="F1:F1135">
    <cfRule type="containsText" dxfId="28" priority="19" operator="containsText" text="N   913 036 01">
      <formula>NOT(ISERROR(SEARCH("N   913 036 01",F1)))</formula>
    </cfRule>
    <cfRule type="containsText" dxfId="27" priority="20" operator="containsText" text="N   912 291 01">
      <formula>NOT(ISERROR(SEARCH("N   912 291 01",F1)))</formula>
    </cfRule>
    <cfRule type="containsText" dxfId="26" priority="21" operator="containsText" text="N   912 449 01">
      <formula>NOT(ISERROR(SEARCH("N   912 449 01",F1)))</formula>
    </cfRule>
    <cfRule type="containsText" dxfId="25" priority="22" operator="containsText" text="N 913 257 01">
      <formula>NOT(ISERROR(SEARCH("N 913 257 01",F1)))</formula>
    </cfRule>
    <cfRule type="containsText" dxfId="24" priority="23" operator="containsText" text="N   912 280 01">
      <formula>NOT(ISERROR(SEARCH("N   912 280 01",F1)))</formula>
    </cfRule>
    <cfRule type="containsText" dxfId="23" priority="24" operator="containsText" text="N   912 566 01">
      <formula>NOT(ISERROR(SEARCH("N   912 566 01",F1)))</formula>
    </cfRule>
    <cfRule type="containsText" dxfId="22" priority="25" operator="containsText" text="N   911 422 01">
      <formula>NOT(ISERROR(SEARCH("N   911 422 01",F1)))</formula>
    </cfRule>
    <cfRule type="containsText" dxfId="21" priority="26" operator="containsText" text="N   910 166 02">
      <formula>NOT(ISERROR(SEARCH("N   910 166 02",F1)))</formula>
    </cfRule>
    <cfRule type="containsText" dxfId="20" priority="27" operator="containsText" text="N   107 180 01">
      <formula>NOT(ISERROR(SEARCH("N   107 180 01",F1)))</formula>
    </cfRule>
  </conditionalFormatting>
  <conditionalFormatting sqref="F1137:F1048576">
    <cfRule type="containsText" dxfId="19" priority="5" operator="containsText" text="N   913 036 01">
      <formula>NOT(ISERROR(SEARCH("N   913 036 01",F1137)))</formula>
    </cfRule>
    <cfRule type="containsText" dxfId="18" priority="6" operator="containsText" text="N   912 291 01">
      <formula>NOT(ISERROR(SEARCH("N   912 291 01",F1137)))</formula>
    </cfRule>
    <cfRule type="containsText" dxfId="17" priority="7" operator="containsText" text="N   912 449 01">
      <formula>NOT(ISERROR(SEARCH("N   912 449 01",F1137)))</formula>
    </cfRule>
    <cfRule type="containsText" dxfId="16" priority="8" operator="containsText" text="N 913 257 01">
      <formula>NOT(ISERROR(SEARCH("N 913 257 01",F1137)))</formula>
    </cfRule>
    <cfRule type="containsText" dxfId="15" priority="9" operator="containsText" text="N   912 280 01">
      <formula>NOT(ISERROR(SEARCH("N   912 280 01",F1137)))</formula>
    </cfRule>
    <cfRule type="containsText" dxfId="14" priority="10" operator="containsText" text="N   912 566 01">
      <formula>NOT(ISERROR(SEARCH("N   912 566 01",F1137)))</formula>
    </cfRule>
    <cfRule type="containsText" dxfId="13" priority="11" operator="containsText" text="N   911 422 01">
      <formula>NOT(ISERROR(SEARCH("N   911 422 01",F1137)))</formula>
    </cfRule>
    <cfRule type="containsText" dxfId="12" priority="12" operator="containsText" text="N   910 166 02">
      <formula>NOT(ISERROR(SEARCH("N   910 166 02",F1137)))</formula>
    </cfRule>
    <cfRule type="containsText" dxfId="11" priority="13" operator="containsText" text="N   107 180 01">
      <formula>NOT(ISERROR(SEARCH("N   107 180 01",F1137)))</formula>
    </cfRule>
  </conditionalFormatting>
  <conditionalFormatting sqref="G1">
    <cfRule type="containsText" dxfId="10" priority="28" operator="containsText" text="93610100">
      <formula>NOT(ISERROR(SEARCH("93610100",G1)))</formula>
    </cfRule>
    <cfRule type="cellIs" dxfId="9" priority="29" operator="equal">
      <formula>93610100</formula>
    </cfRule>
    <cfRule type="expression" priority="30">
      <formula>93610100</formula>
    </cfRule>
    <cfRule type="cellIs" dxfId="8" priority="31" operator="equal">
      <formula>93610100</formula>
    </cfRule>
  </conditionalFormatting>
  <conditionalFormatting sqref="G2:G1135">
    <cfRule type="duplicateValues" dxfId="7" priority="33"/>
  </conditionalFormatting>
  <conditionalFormatting sqref="G1225:G1229">
    <cfRule type="expression" priority="15">
      <formula>93610100</formula>
    </cfRule>
    <cfRule type="containsText" dxfId="6" priority="16" operator="containsText" text="93610100">
      <formula>NOT(ISERROR(SEARCH("93610100",G1225)))</formula>
    </cfRule>
    <cfRule type="cellIs" dxfId="5" priority="17" operator="equal">
      <formula>93610100</formula>
    </cfRule>
    <cfRule type="cellIs" dxfId="4" priority="18" operator="equal">
      <formula>93610100</formula>
    </cfRule>
  </conditionalFormatting>
  <conditionalFormatting sqref="G1234:G1048576">
    <cfRule type="containsText" dxfId="3" priority="1" operator="containsText" text="93610100">
      <formula>NOT(ISERROR(SEARCH("93610100",G1234)))</formula>
    </cfRule>
    <cfRule type="cellIs" dxfId="2" priority="2" operator="equal">
      <formula>93610100</formula>
    </cfRule>
    <cfRule type="expression" priority="3">
      <formula>93610100</formula>
    </cfRule>
    <cfRule type="cellIs" dxfId="1" priority="4" operator="equal">
      <formula>93610100</formula>
    </cfRule>
  </conditionalFormatting>
  <conditionalFormatting sqref="I1:I1135 I1137:I1048576">
    <cfRule type="expression" dxfId="0" priority="32">
      <formula>AND($I1&lt;&gt;"",VALUE($I1)=0)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Okan KOÇAK</cp:lastModifiedBy>
  <cp:revision>1</cp:revision>
  <dcterms:modified xsi:type="dcterms:W3CDTF">2026-10-13T13:54:56Z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0f4697-83a3-47ee-b147-c457ae42defe_Enabled">
    <vt:lpwstr>true</vt:lpwstr>
  </property>
  <property fmtid="{D5CDD505-2E9C-101B-9397-08002B2CF9AE}" pid="3" name="MSIP_Label_b00f4697-83a3-47ee-b147-c457ae42defe_SetDate">
    <vt:lpwstr>2026-10-08T14:39:55Z</vt:lpwstr>
  </property>
  <property fmtid="{D5CDD505-2E9C-101B-9397-08002B2CF9AE}" pid="4" name="MSIP_Label_b00f4697-83a3-47ee-b147-c457ae42defe_Method">
    <vt:lpwstr>Privileged</vt:lpwstr>
  </property>
  <property fmtid="{D5CDD505-2E9C-101B-9397-08002B2CF9AE}" pid="5" name="MSIP_Label_b00f4697-83a3-47ee-b147-c457ae42defe_Name">
    <vt:lpwstr>General</vt:lpwstr>
  </property>
  <property fmtid="{D5CDD505-2E9C-101B-9397-08002B2CF9AE}" pid="6" name="MSIP_Label_b00f4697-83a3-47ee-b147-c457ae42defe_SiteId">
    <vt:lpwstr>1d6be259-8f86-4f26-bcb2-45285eaf54bb</vt:lpwstr>
  </property>
  <property fmtid="{D5CDD505-2E9C-101B-9397-08002B2CF9AE}" pid="7" name="MSIP_Label_b00f4697-83a3-47ee-b147-c457ae42defe_ActionId">
    <vt:lpwstr>8b2de13e-de90-4e03-a71e-d268f079ef08</vt:lpwstr>
  </property>
  <property fmtid="{D5CDD505-2E9C-101B-9397-08002B2CF9AE}" pid="8" name="MSIP_Label_b00f4697-83a3-47ee-b147-c457ae42defe_ContentBits">
    <vt:lpwstr>0</vt:lpwstr>
  </property>
  <property fmtid="{D5CDD505-2E9C-101B-9397-08002B2CF9AE}" pid="9" name="MSIP_Label_b00f4697-83a3-47ee-b147-c457ae42defe_Tag">
    <vt:lpwstr>10, 0, 1, 1</vt:lpwstr>
  </property>
</Properties>
</file>